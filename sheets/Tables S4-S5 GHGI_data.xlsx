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ukefinland.sharepoint.com/sites/GHGIpaper/Shared Documents/General/Data/submitted/"/>
    </mc:Choice>
  </mc:AlternateContent>
  <xr:revisionPtr revIDLastSave="405" documentId="13_ncr:1_{36E2AD90-4AB7-4C16-A8E7-048F79C435A5}" xr6:coauthVersionLast="47" xr6:coauthVersionMax="47" xr10:uidLastSave="{7DFF9CFD-F347-46A6-8A0F-08F40F53F282}"/>
  <bookViews>
    <workbookView xWindow="-120" yWindow="-120" windowWidth="38640" windowHeight="21120" activeTab="3" xr2:uid="{C771B4B6-DFDD-4196-A94C-4D3FB3B92398}"/>
  </bookViews>
  <sheets>
    <sheet name="Index" sheetId="8" r:id="rId1"/>
    <sheet name="Tabelle2" sheetId="7" r:id="rId2"/>
    <sheet name="Table S4" sheetId="4" r:id="rId3"/>
    <sheet name="Table S5 weighted avg" sheetId="6" r:id="rId4"/>
    <sheet name="pivot tables" sheetId="2" r:id="rId5"/>
    <sheet name="Table4.A FL" sheetId="1" r:id="rId6"/>
    <sheet name="Total HWP Domestic gains" sheetId="3" r:id="rId7"/>
  </sheets>
  <calcPr calcId="191028"/>
  <pivotCaches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8" i="4" l="1"/>
  <c r="AH88" i="4"/>
  <c r="J90" i="4"/>
  <c r="R90" i="4"/>
  <c r="AG90" i="4"/>
  <c r="I91" i="4"/>
  <c r="G92" i="4"/>
  <c r="AD93" i="4"/>
  <c r="T94" i="4"/>
  <c r="AB94" i="4"/>
  <c r="M95" i="4"/>
  <c r="Z96" i="4"/>
  <c r="AH96" i="4"/>
  <c r="I99" i="4"/>
  <c r="C99" i="4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54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C45" i="6"/>
  <c r="C44" i="6"/>
  <c r="C43" i="6"/>
  <c r="C42" i="6"/>
  <c r="C41" i="6"/>
  <c r="C37" i="6"/>
  <c r="C38" i="6"/>
  <c r="C39" i="6"/>
  <c r="C40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1" i="6"/>
  <c r="C22" i="6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F91" i="4" s="1"/>
  <c r="AG32" i="4"/>
  <c r="AH32" i="4"/>
  <c r="AI32" i="4"/>
  <c r="AJ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V92" i="4" s="1"/>
  <c r="W33" i="4"/>
  <c r="X33" i="4"/>
  <c r="Y33" i="4"/>
  <c r="Z33" i="4"/>
  <c r="AA33" i="4"/>
  <c r="AB33" i="4"/>
  <c r="AC33" i="4"/>
  <c r="AD33" i="4"/>
  <c r="AD92" i="4" s="1"/>
  <c r="AE33" i="4"/>
  <c r="AF33" i="4"/>
  <c r="AG33" i="4"/>
  <c r="AH33" i="4"/>
  <c r="AI33" i="4"/>
  <c r="AJ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C57" i="4"/>
  <c r="C88" i="4" s="1"/>
  <c r="D57" i="4"/>
  <c r="D88" i="4" s="1"/>
  <c r="E57" i="4"/>
  <c r="F57" i="4"/>
  <c r="F88" i="4" s="1"/>
  <c r="G57" i="4"/>
  <c r="H57" i="4"/>
  <c r="I57" i="4"/>
  <c r="I88" i="4" s="1"/>
  <c r="J57" i="4"/>
  <c r="J88" i="4" s="1"/>
  <c r="K57" i="4"/>
  <c r="K88" i="4" s="1"/>
  <c r="L57" i="4"/>
  <c r="L88" i="4" s="1"/>
  <c r="M57" i="4"/>
  <c r="N57" i="4"/>
  <c r="N88" i="4" s="1"/>
  <c r="O57" i="4"/>
  <c r="P57" i="4"/>
  <c r="Q57" i="4"/>
  <c r="Q88" i="4" s="1"/>
  <c r="R57" i="4"/>
  <c r="R88" i="4" s="1"/>
  <c r="S57" i="4"/>
  <c r="S88" i="4" s="1"/>
  <c r="T57" i="4"/>
  <c r="T88" i="4" s="1"/>
  <c r="U57" i="4"/>
  <c r="V57" i="4"/>
  <c r="V88" i="4" s="1"/>
  <c r="W57" i="4"/>
  <c r="X57" i="4"/>
  <c r="Y57" i="4"/>
  <c r="Y88" i="4" s="1"/>
  <c r="Z57" i="4"/>
  <c r="AA57" i="4"/>
  <c r="AA88" i="4" s="1"/>
  <c r="AB57" i="4"/>
  <c r="AB88" i="4" s="1"/>
  <c r="AC57" i="4"/>
  <c r="AD57" i="4"/>
  <c r="AD88" i="4" s="1"/>
  <c r="AE57" i="4"/>
  <c r="AF57" i="4"/>
  <c r="AG57" i="4"/>
  <c r="AG88" i="4" s="1"/>
  <c r="AH57" i="4"/>
  <c r="AI57" i="4"/>
  <c r="AI88" i="4" s="1"/>
  <c r="AJ57" i="4"/>
  <c r="AJ88" i="4" s="1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C61" i="4"/>
  <c r="C90" i="4" s="1"/>
  <c r="D61" i="4"/>
  <c r="D90" i="4" s="1"/>
  <c r="E61" i="4"/>
  <c r="F61" i="4"/>
  <c r="F90" i="4" s="1"/>
  <c r="G61" i="4"/>
  <c r="H61" i="4"/>
  <c r="H90" i="4" s="1"/>
  <c r="I61" i="4"/>
  <c r="I90" i="4" s="1"/>
  <c r="J61" i="4"/>
  <c r="K61" i="4"/>
  <c r="K90" i="4" s="1"/>
  <c r="L61" i="4"/>
  <c r="L90" i="4" s="1"/>
  <c r="M61" i="4"/>
  <c r="N61" i="4"/>
  <c r="N90" i="4" s="1"/>
  <c r="O61" i="4"/>
  <c r="P61" i="4"/>
  <c r="P90" i="4" s="1"/>
  <c r="Q61" i="4"/>
  <c r="Q90" i="4" s="1"/>
  <c r="R61" i="4"/>
  <c r="S61" i="4"/>
  <c r="S90" i="4" s="1"/>
  <c r="T61" i="4"/>
  <c r="T90" i="4" s="1"/>
  <c r="U61" i="4"/>
  <c r="V61" i="4"/>
  <c r="V90" i="4" s="1"/>
  <c r="W61" i="4"/>
  <c r="X61" i="4"/>
  <c r="X90" i="4" s="1"/>
  <c r="Y61" i="4"/>
  <c r="Y90" i="4" s="1"/>
  <c r="Z61" i="4"/>
  <c r="Z90" i="4" s="1"/>
  <c r="AA61" i="4"/>
  <c r="AA90" i="4" s="1"/>
  <c r="AB61" i="4"/>
  <c r="AB90" i="4" s="1"/>
  <c r="AC61" i="4"/>
  <c r="AD61" i="4"/>
  <c r="AD90" i="4" s="1"/>
  <c r="AE61" i="4"/>
  <c r="AF61" i="4"/>
  <c r="AF90" i="4" s="1"/>
  <c r="AG61" i="4"/>
  <c r="AH61" i="4"/>
  <c r="AH90" i="4" s="1"/>
  <c r="AI61" i="4"/>
  <c r="AI90" i="4" s="1"/>
  <c r="AJ61" i="4"/>
  <c r="AJ90" i="4" s="1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C65" i="4"/>
  <c r="C91" i="4" s="1"/>
  <c r="D65" i="4"/>
  <c r="D91" i="4" s="1"/>
  <c r="E65" i="4"/>
  <c r="F65" i="4"/>
  <c r="F91" i="4" s="1"/>
  <c r="G65" i="4"/>
  <c r="H65" i="4"/>
  <c r="H91" i="4" s="1"/>
  <c r="I65" i="4"/>
  <c r="J65" i="4"/>
  <c r="J91" i="4" s="1"/>
  <c r="K65" i="4"/>
  <c r="K91" i="4" s="1"/>
  <c r="L65" i="4"/>
  <c r="L91" i="4" s="1"/>
  <c r="M65" i="4"/>
  <c r="N65" i="4"/>
  <c r="N91" i="4" s="1"/>
  <c r="O65" i="4"/>
  <c r="P65" i="4"/>
  <c r="P91" i="4" s="1"/>
  <c r="Q65" i="4"/>
  <c r="Q91" i="4" s="1"/>
  <c r="R65" i="4"/>
  <c r="R91" i="4" s="1"/>
  <c r="S65" i="4"/>
  <c r="S91" i="4" s="1"/>
  <c r="T65" i="4"/>
  <c r="T91" i="4" s="1"/>
  <c r="U65" i="4"/>
  <c r="V65" i="4"/>
  <c r="V91" i="4" s="1"/>
  <c r="W65" i="4"/>
  <c r="X65" i="4"/>
  <c r="X91" i="4" s="1"/>
  <c r="Y65" i="4"/>
  <c r="Y91" i="4" s="1"/>
  <c r="Z65" i="4"/>
  <c r="Z91" i="4" s="1"/>
  <c r="AA65" i="4"/>
  <c r="AA91" i="4" s="1"/>
  <c r="AB65" i="4"/>
  <c r="AB91" i="4" s="1"/>
  <c r="AC65" i="4"/>
  <c r="AD65" i="4"/>
  <c r="AD91" i="4" s="1"/>
  <c r="AE65" i="4"/>
  <c r="AF65" i="4"/>
  <c r="AG65" i="4"/>
  <c r="AG91" i="4" s="1"/>
  <c r="AH65" i="4"/>
  <c r="AH91" i="4" s="1"/>
  <c r="AI65" i="4"/>
  <c r="AI91" i="4" s="1"/>
  <c r="AJ65" i="4"/>
  <c r="AJ91" i="4" s="1"/>
  <c r="C66" i="4"/>
  <c r="D66" i="4"/>
  <c r="D92" i="4" s="1"/>
  <c r="E66" i="4"/>
  <c r="F66" i="4"/>
  <c r="F92" i="4" s="1"/>
  <c r="G66" i="4"/>
  <c r="H66" i="4"/>
  <c r="H92" i="4" s="1"/>
  <c r="I66" i="4"/>
  <c r="I92" i="4" s="1"/>
  <c r="J66" i="4"/>
  <c r="J92" i="4" s="1"/>
  <c r="K66" i="4"/>
  <c r="L66" i="4"/>
  <c r="L92" i="4" s="1"/>
  <c r="M66" i="4"/>
  <c r="N66" i="4"/>
  <c r="N92" i="4" s="1"/>
  <c r="O66" i="4"/>
  <c r="O92" i="4" s="1"/>
  <c r="P66" i="4"/>
  <c r="P92" i="4" s="1"/>
  <c r="Q66" i="4"/>
  <c r="Q92" i="4" s="1"/>
  <c r="R66" i="4"/>
  <c r="R92" i="4" s="1"/>
  <c r="S66" i="4"/>
  <c r="T66" i="4"/>
  <c r="T92" i="4" s="1"/>
  <c r="U66" i="4"/>
  <c r="V66" i="4"/>
  <c r="W66" i="4"/>
  <c r="W92" i="4" s="1"/>
  <c r="X66" i="4"/>
  <c r="X92" i="4" s="1"/>
  <c r="Y66" i="4"/>
  <c r="Y92" i="4" s="1"/>
  <c r="Z66" i="4"/>
  <c r="Z92" i="4" s="1"/>
  <c r="AA66" i="4"/>
  <c r="AB66" i="4"/>
  <c r="AB92" i="4" s="1"/>
  <c r="AC66" i="4"/>
  <c r="AD66" i="4"/>
  <c r="AE66" i="4"/>
  <c r="AE92" i="4" s="1"/>
  <c r="AF66" i="4"/>
  <c r="AF92" i="4" s="1"/>
  <c r="AG66" i="4"/>
  <c r="AG92" i="4" s="1"/>
  <c r="AH66" i="4"/>
  <c r="AH92" i="4" s="1"/>
  <c r="AI66" i="4"/>
  <c r="AJ66" i="4"/>
  <c r="AJ92" i="4" s="1"/>
  <c r="C67" i="4"/>
  <c r="D67" i="4"/>
  <c r="E67" i="4"/>
  <c r="E93" i="4" s="1"/>
  <c r="F67" i="4"/>
  <c r="F93" i="4" s="1"/>
  <c r="G67" i="4"/>
  <c r="G93" i="4" s="1"/>
  <c r="H67" i="4"/>
  <c r="H93" i="4" s="1"/>
  <c r="I67" i="4"/>
  <c r="J67" i="4"/>
  <c r="J93" i="4" s="1"/>
  <c r="K67" i="4"/>
  <c r="L67" i="4"/>
  <c r="M67" i="4"/>
  <c r="M93" i="4" s="1"/>
  <c r="N67" i="4"/>
  <c r="N93" i="4" s="1"/>
  <c r="O67" i="4"/>
  <c r="O93" i="4" s="1"/>
  <c r="P67" i="4"/>
  <c r="P93" i="4" s="1"/>
  <c r="Q67" i="4"/>
  <c r="R67" i="4"/>
  <c r="R93" i="4" s="1"/>
  <c r="S67" i="4"/>
  <c r="T67" i="4"/>
  <c r="U67" i="4"/>
  <c r="U93" i="4" s="1"/>
  <c r="V67" i="4"/>
  <c r="V93" i="4" s="1"/>
  <c r="W67" i="4"/>
  <c r="W93" i="4" s="1"/>
  <c r="X67" i="4"/>
  <c r="X93" i="4" s="1"/>
  <c r="Y67" i="4"/>
  <c r="Z67" i="4"/>
  <c r="Z93" i="4" s="1"/>
  <c r="AA67" i="4"/>
  <c r="AB67" i="4"/>
  <c r="AC67" i="4"/>
  <c r="AC93" i="4" s="1"/>
  <c r="AD67" i="4"/>
  <c r="AE67" i="4"/>
  <c r="AE93" i="4" s="1"/>
  <c r="AF67" i="4"/>
  <c r="AF93" i="4" s="1"/>
  <c r="AG67" i="4"/>
  <c r="AH67" i="4"/>
  <c r="AH93" i="4" s="1"/>
  <c r="AI67" i="4"/>
  <c r="AJ67" i="4"/>
  <c r="C68" i="4"/>
  <c r="C100" i="4" s="1"/>
  <c r="D68" i="4"/>
  <c r="D100" i="4" s="1"/>
  <c r="E68" i="4"/>
  <c r="E100" i="4" s="1"/>
  <c r="F68" i="4"/>
  <c r="F100" i="4" s="1"/>
  <c r="G68" i="4"/>
  <c r="H68" i="4"/>
  <c r="H100" i="4" s="1"/>
  <c r="I68" i="4"/>
  <c r="J68" i="4"/>
  <c r="K68" i="4"/>
  <c r="K100" i="4" s="1"/>
  <c r="L68" i="4"/>
  <c r="L100" i="4" s="1"/>
  <c r="M68" i="4"/>
  <c r="M100" i="4" s="1"/>
  <c r="N68" i="4"/>
  <c r="N100" i="4" s="1"/>
  <c r="O68" i="4"/>
  <c r="P68" i="4"/>
  <c r="P100" i="4" s="1"/>
  <c r="Q68" i="4"/>
  <c r="R68" i="4"/>
  <c r="S68" i="4"/>
  <c r="S100" i="4" s="1"/>
  <c r="T68" i="4"/>
  <c r="T100" i="4" s="1"/>
  <c r="U68" i="4"/>
  <c r="U100" i="4" s="1"/>
  <c r="V68" i="4"/>
  <c r="V100" i="4" s="1"/>
  <c r="W68" i="4"/>
  <c r="X68" i="4"/>
  <c r="X100" i="4" s="1"/>
  <c r="Y68" i="4"/>
  <c r="Z68" i="4"/>
  <c r="AA68" i="4"/>
  <c r="AA100" i="4" s="1"/>
  <c r="AB68" i="4"/>
  <c r="AB100" i="4" s="1"/>
  <c r="AC68" i="4"/>
  <c r="AC100" i="4" s="1"/>
  <c r="AD68" i="4"/>
  <c r="AD100" i="4" s="1"/>
  <c r="AE68" i="4"/>
  <c r="AF68" i="4"/>
  <c r="AF100" i="4" s="1"/>
  <c r="AG68" i="4"/>
  <c r="AH68" i="4"/>
  <c r="AI68" i="4"/>
  <c r="AI100" i="4" s="1"/>
  <c r="AJ68" i="4"/>
  <c r="AJ100" i="4" s="1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C70" i="4"/>
  <c r="D70" i="4"/>
  <c r="D89" i="4" s="1"/>
  <c r="E70" i="4"/>
  <c r="F70" i="4"/>
  <c r="G70" i="4"/>
  <c r="G89" i="4" s="1"/>
  <c r="H70" i="4"/>
  <c r="H89" i="4" s="1"/>
  <c r="I70" i="4"/>
  <c r="I89" i="4" s="1"/>
  <c r="J70" i="4"/>
  <c r="J89" i="4" s="1"/>
  <c r="K70" i="4"/>
  <c r="L70" i="4"/>
  <c r="L89" i="4" s="1"/>
  <c r="M70" i="4"/>
  <c r="N70" i="4"/>
  <c r="O70" i="4"/>
  <c r="O89" i="4" s="1"/>
  <c r="P70" i="4"/>
  <c r="P89" i="4" s="1"/>
  <c r="Q70" i="4"/>
  <c r="Q89" i="4" s="1"/>
  <c r="R70" i="4"/>
  <c r="R89" i="4" s="1"/>
  <c r="S70" i="4"/>
  <c r="T70" i="4"/>
  <c r="T89" i="4" s="1"/>
  <c r="U70" i="4"/>
  <c r="V70" i="4"/>
  <c r="W70" i="4"/>
  <c r="W89" i="4" s="1"/>
  <c r="X70" i="4"/>
  <c r="X89" i="4" s="1"/>
  <c r="Y70" i="4"/>
  <c r="Y89" i="4" s="1"/>
  <c r="Z70" i="4"/>
  <c r="Z89" i="4" s="1"/>
  <c r="AA70" i="4"/>
  <c r="AB70" i="4"/>
  <c r="AB89" i="4" s="1"/>
  <c r="AC70" i="4"/>
  <c r="AD70" i="4"/>
  <c r="AE70" i="4"/>
  <c r="AE89" i="4" s="1"/>
  <c r="AF70" i="4"/>
  <c r="AF89" i="4" s="1"/>
  <c r="AG70" i="4"/>
  <c r="AG89" i="4" s="1"/>
  <c r="AH70" i="4"/>
  <c r="AH89" i="4" s="1"/>
  <c r="AI70" i="4"/>
  <c r="AJ70" i="4"/>
  <c r="AJ89" i="4" s="1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C72" i="4"/>
  <c r="C94" i="4" s="1"/>
  <c r="D72" i="4"/>
  <c r="D94" i="4" s="1"/>
  <c r="E72" i="4"/>
  <c r="E94" i="4" s="1"/>
  <c r="F72" i="4"/>
  <c r="F94" i="4" s="1"/>
  <c r="G72" i="4"/>
  <c r="H72" i="4"/>
  <c r="H94" i="4" s="1"/>
  <c r="I72" i="4"/>
  <c r="J72" i="4"/>
  <c r="K72" i="4"/>
  <c r="K94" i="4" s="1"/>
  <c r="L72" i="4"/>
  <c r="L94" i="4" s="1"/>
  <c r="M72" i="4"/>
  <c r="M94" i="4" s="1"/>
  <c r="N72" i="4"/>
  <c r="N94" i="4" s="1"/>
  <c r="O72" i="4"/>
  <c r="P72" i="4"/>
  <c r="P94" i="4" s="1"/>
  <c r="Q72" i="4"/>
  <c r="R72" i="4"/>
  <c r="S72" i="4"/>
  <c r="S94" i="4" s="1"/>
  <c r="T72" i="4"/>
  <c r="U72" i="4"/>
  <c r="U94" i="4" s="1"/>
  <c r="V72" i="4"/>
  <c r="V94" i="4" s="1"/>
  <c r="W72" i="4"/>
  <c r="X72" i="4"/>
  <c r="X94" i="4" s="1"/>
  <c r="Y72" i="4"/>
  <c r="Z72" i="4"/>
  <c r="AA72" i="4"/>
  <c r="AA94" i="4" s="1"/>
  <c r="AB72" i="4"/>
  <c r="AC72" i="4"/>
  <c r="AC94" i="4" s="1"/>
  <c r="AD72" i="4"/>
  <c r="AD94" i="4" s="1"/>
  <c r="AE72" i="4"/>
  <c r="AF72" i="4"/>
  <c r="AF94" i="4" s="1"/>
  <c r="AG72" i="4"/>
  <c r="AH72" i="4"/>
  <c r="AI72" i="4"/>
  <c r="AI94" i="4" s="1"/>
  <c r="AJ72" i="4"/>
  <c r="AJ94" i="4" s="1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C74" i="4"/>
  <c r="D74" i="4"/>
  <c r="E74" i="4"/>
  <c r="E95" i="4" s="1"/>
  <c r="F74" i="4"/>
  <c r="G74" i="4"/>
  <c r="G95" i="4" s="1"/>
  <c r="H74" i="4"/>
  <c r="H95" i="4" s="1"/>
  <c r="I74" i="4"/>
  <c r="I95" i="4" s="1"/>
  <c r="J74" i="4"/>
  <c r="J95" i="4" s="1"/>
  <c r="K74" i="4"/>
  <c r="L74" i="4"/>
  <c r="M74" i="4"/>
  <c r="N74" i="4"/>
  <c r="O74" i="4"/>
  <c r="O95" i="4" s="1"/>
  <c r="P74" i="4"/>
  <c r="P95" i="4" s="1"/>
  <c r="Q74" i="4"/>
  <c r="Q95" i="4" s="1"/>
  <c r="R74" i="4"/>
  <c r="R95" i="4" s="1"/>
  <c r="S74" i="4"/>
  <c r="T74" i="4"/>
  <c r="U74" i="4"/>
  <c r="V74" i="4"/>
  <c r="W74" i="4"/>
  <c r="W95" i="4" s="1"/>
  <c r="X74" i="4"/>
  <c r="X95" i="4" s="1"/>
  <c r="Y74" i="4"/>
  <c r="Y95" i="4" s="1"/>
  <c r="Z74" i="4"/>
  <c r="Z95" i="4" s="1"/>
  <c r="AA74" i="4"/>
  <c r="AB74" i="4"/>
  <c r="AC74" i="4"/>
  <c r="AD74" i="4"/>
  <c r="AE74" i="4"/>
  <c r="AE95" i="4" s="1"/>
  <c r="AF74" i="4"/>
  <c r="AF95" i="4" s="1"/>
  <c r="AG74" i="4"/>
  <c r="AG95" i="4" s="1"/>
  <c r="AH74" i="4"/>
  <c r="AH95" i="4" s="1"/>
  <c r="AI74" i="4"/>
  <c r="AJ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C77" i="4"/>
  <c r="C96" i="4" s="1"/>
  <c r="D77" i="4"/>
  <c r="D96" i="4" s="1"/>
  <c r="E77" i="4"/>
  <c r="F77" i="4"/>
  <c r="F96" i="4" s="1"/>
  <c r="G77" i="4"/>
  <c r="H77" i="4"/>
  <c r="I77" i="4"/>
  <c r="I96" i="4" s="1"/>
  <c r="J77" i="4"/>
  <c r="J96" i="4" s="1"/>
  <c r="K77" i="4"/>
  <c r="K96" i="4" s="1"/>
  <c r="L77" i="4"/>
  <c r="L96" i="4" s="1"/>
  <c r="M77" i="4"/>
  <c r="N77" i="4"/>
  <c r="N96" i="4" s="1"/>
  <c r="O77" i="4"/>
  <c r="P77" i="4"/>
  <c r="Q77" i="4"/>
  <c r="Q96" i="4" s="1"/>
  <c r="R77" i="4"/>
  <c r="R96" i="4" s="1"/>
  <c r="S77" i="4"/>
  <c r="S96" i="4" s="1"/>
  <c r="T77" i="4"/>
  <c r="T96" i="4" s="1"/>
  <c r="U77" i="4"/>
  <c r="V77" i="4"/>
  <c r="V96" i="4" s="1"/>
  <c r="W77" i="4"/>
  <c r="X77" i="4"/>
  <c r="Y77" i="4"/>
  <c r="Y96" i="4" s="1"/>
  <c r="Z77" i="4"/>
  <c r="AA77" i="4"/>
  <c r="AA96" i="4" s="1"/>
  <c r="AB77" i="4"/>
  <c r="AB96" i="4" s="1"/>
  <c r="AC77" i="4"/>
  <c r="AD77" i="4"/>
  <c r="AD96" i="4" s="1"/>
  <c r="AE77" i="4"/>
  <c r="AF77" i="4"/>
  <c r="AG77" i="4"/>
  <c r="AG96" i="4" s="1"/>
  <c r="AH77" i="4"/>
  <c r="AI77" i="4"/>
  <c r="AI96" i="4" s="1"/>
  <c r="AJ77" i="4"/>
  <c r="AJ96" i="4" s="1"/>
  <c r="C78" i="4"/>
  <c r="D78" i="4"/>
  <c r="D97" i="4" s="1"/>
  <c r="E78" i="4"/>
  <c r="F78" i="4"/>
  <c r="G78" i="4"/>
  <c r="G97" i="4" s="1"/>
  <c r="H78" i="4"/>
  <c r="H97" i="4" s="1"/>
  <c r="I78" i="4"/>
  <c r="I97" i="4" s="1"/>
  <c r="J78" i="4"/>
  <c r="J97" i="4" s="1"/>
  <c r="K78" i="4"/>
  <c r="K97" i="4" s="1"/>
  <c r="L78" i="4"/>
  <c r="L97" i="4" s="1"/>
  <c r="M78" i="4"/>
  <c r="N78" i="4"/>
  <c r="O78" i="4"/>
  <c r="O97" i="4" s="1"/>
  <c r="P78" i="4"/>
  <c r="P97" i="4" s="1"/>
  <c r="Q78" i="4"/>
  <c r="Q97" i="4" s="1"/>
  <c r="R78" i="4"/>
  <c r="R97" i="4" s="1"/>
  <c r="S78" i="4"/>
  <c r="T78" i="4"/>
  <c r="T97" i="4" s="1"/>
  <c r="U78" i="4"/>
  <c r="V78" i="4"/>
  <c r="W78" i="4"/>
  <c r="W97" i="4" s="1"/>
  <c r="X78" i="4"/>
  <c r="X97" i="4" s="1"/>
  <c r="Y78" i="4"/>
  <c r="Y97" i="4" s="1"/>
  <c r="Z78" i="4"/>
  <c r="Z97" i="4" s="1"/>
  <c r="AA78" i="4"/>
  <c r="AB78" i="4"/>
  <c r="AB97" i="4" s="1"/>
  <c r="AC78" i="4"/>
  <c r="AD78" i="4"/>
  <c r="AE78" i="4"/>
  <c r="AE97" i="4" s="1"/>
  <c r="AF78" i="4"/>
  <c r="AF97" i="4" s="1"/>
  <c r="AG78" i="4"/>
  <c r="AG97" i="4" s="1"/>
  <c r="AH78" i="4"/>
  <c r="AH97" i="4" s="1"/>
  <c r="AI78" i="4"/>
  <c r="AJ78" i="4"/>
  <c r="AJ97" i="4" s="1"/>
  <c r="C79" i="4"/>
  <c r="D79" i="4"/>
  <c r="E79" i="4"/>
  <c r="E98" i="4" s="1"/>
  <c r="F79" i="4"/>
  <c r="F98" i="4" s="1"/>
  <c r="G79" i="4"/>
  <c r="G98" i="4" s="1"/>
  <c r="H79" i="4"/>
  <c r="H98" i="4" s="1"/>
  <c r="I79" i="4"/>
  <c r="J79" i="4"/>
  <c r="J98" i="4" s="1"/>
  <c r="K79" i="4"/>
  <c r="L79" i="4"/>
  <c r="M79" i="4"/>
  <c r="M98" i="4" s="1"/>
  <c r="N79" i="4"/>
  <c r="N98" i="4" s="1"/>
  <c r="O79" i="4"/>
  <c r="O98" i="4" s="1"/>
  <c r="P79" i="4"/>
  <c r="P98" i="4" s="1"/>
  <c r="Q79" i="4"/>
  <c r="R79" i="4"/>
  <c r="R98" i="4" s="1"/>
  <c r="S79" i="4"/>
  <c r="T79" i="4"/>
  <c r="U79" i="4"/>
  <c r="U98" i="4" s="1"/>
  <c r="V79" i="4"/>
  <c r="V98" i="4" s="1"/>
  <c r="W79" i="4"/>
  <c r="W98" i="4" s="1"/>
  <c r="X79" i="4"/>
  <c r="X98" i="4" s="1"/>
  <c r="Y79" i="4"/>
  <c r="Z79" i="4"/>
  <c r="Z98" i="4" s="1"/>
  <c r="AA79" i="4"/>
  <c r="AB79" i="4"/>
  <c r="AC79" i="4"/>
  <c r="AC98" i="4" s="1"/>
  <c r="AD79" i="4"/>
  <c r="AD98" i="4" s="1"/>
  <c r="AE79" i="4"/>
  <c r="AE98" i="4" s="1"/>
  <c r="AF79" i="4"/>
  <c r="AF98" i="4" s="1"/>
  <c r="AG79" i="4"/>
  <c r="AH79" i="4"/>
  <c r="AH98" i="4" s="1"/>
  <c r="AI79" i="4"/>
  <c r="AJ79" i="4"/>
  <c r="C80" i="4"/>
  <c r="D80" i="4"/>
  <c r="D99" i="4" s="1"/>
  <c r="E80" i="4"/>
  <c r="E99" i="4" s="1"/>
  <c r="F80" i="4"/>
  <c r="F99" i="4" s="1"/>
  <c r="G80" i="4"/>
  <c r="H80" i="4"/>
  <c r="I80" i="4"/>
  <c r="J80" i="4"/>
  <c r="K80" i="4"/>
  <c r="K99" i="4" s="1"/>
  <c r="L80" i="4"/>
  <c r="L99" i="4" s="1"/>
  <c r="M80" i="4"/>
  <c r="M99" i="4" s="1"/>
  <c r="N80" i="4"/>
  <c r="N99" i="4" s="1"/>
  <c r="O80" i="4"/>
  <c r="P80" i="4"/>
  <c r="Q80" i="4"/>
  <c r="R80" i="4"/>
  <c r="S80" i="4"/>
  <c r="S99" i="4" s="1"/>
  <c r="T80" i="4"/>
  <c r="T99" i="4" s="1"/>
  <c r="U80" i="4"/>
  <c r="U99" i="4" s="1"/>
  <c r="V80" i="4"/>
  <c r="V99" i="4" s="1"/>
  <c r="W80" i="4"/>
  <c r="X80" i="4"/>
  <c r="Y80" i="4"/>
  <c r="Z80" i="4"/>
  <c r="AA80" i="4"/>
  <c r="AA99" i="4" s="1"/>
  <c r="AB80" i="4"/>
  <c r="AB99" i="4" s="1"/>
  <c r="AC80" i="4"/>
  <c r="AC99" i="4" s="1"/>
  <c r="AD80" i="4"/>
  <c r="AD99" i="4" s="1"/>
  <c r="AE80" i="4"/>
  <c r="AF80" i="4"/>
  <c r="AG80" i="4"/>
  <c r="AH80" i="4"/>
  <c r="AI80" i="4"/>
  <c r="AI99" i="4" s="1"/>
  <c r="AJ80" i="4"/>
  <c r="AJ99" i="4" s="1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R4" i="6" l="1"/>
  <c r="H5" i="6"/>
  <c r="D5" i="6"/>
  <c r="C4" i="6"/>
  <c r="AI4" i="6"/>
  <c r="AI6" i="6" s="1"/>
  <c r="AA4" i="6"/>
  <c r="AA6" i="6" s="1"/>
  <c r="S4" i="6"/>
  <c r="S6" i="6" s="1"/>
  <c r="K4" i="6"/>
  <c r="K6" i="6" s="1"/>
  <c r="AG4" i="6"/>
  <c r="Y4" i="6"/>
  <c r="Q4" i="6"/>
  <c r="I4" i="6"/>
  <c r="AH5" i="6"/>
  <c r="Z5" i="6"/>
  <c r="Z6" i="6" s="1"/>
  <c r="R5" i="6"/>
  <c r="R6" i="6" s="1"/>
  <c r="J5" i="6"/>
  <c r="AI5" i="6"/>
  <c r="AA5" i="6"/>
  <c r="S5" i="6"/>
  <c r="K5" i="6"/>
  <c r="AD4" i="6"/>
  <c r="AF5" i="6"/>
  <c r="AF4" i="6"/>
  <c r="AF6" i="6" s="1"/>
  <c r="X4" i="6"/>
  <c r="X6" i="6" s="1"/>
  <c r="P4" i="6"/>
  <c r="H4" i="6"/>
  <c r="J4" i="6"/>
  <c r="AJ5" i="6"/>
  <c r="AE4" i="6"/>
  <c r="W4" i="6"/>
  <c r="W6" i="6" s="1"/>
  <c r="O4" i="6"/>
  <c r="G4" i="6"/>
  <c r="AG5" i="6"/>
  <c r="Y5" i="6"/>
  <c r="Q5" i="6"/>
  <c r="I5" i="6"/>
  <c r="T5" i="6"/>
  <c r="N4" i="6"/>
  <c r="AH4" i="6"/>
  <c r="X5" i="6"/>
  <c r="AC4" i="6"/>
  <c r="AC6" i="6" s="1"/>
  <c r="U4" i="6"/>
  <c r="M4" i="6"/>
  <c r="E4" i="6"/>
  <c r="AE5" i="6"/>
  <c r="W5" i="6"/>
  <c r="O5" i="6"/>
  <c r="G5" i="6"/>
  <c r="F4" i="6"/>
  <c r="P5" i="6"/>
  <c r="L5" i="6"/>
  <c r="AJ4" i="6"/>
  <c r="AB4" i="6"/>
  <c r="T4" i="6"/>
  <c r="L4" i="6"/>
  <c r="D4" i="6"/>
  <c r="AC5" i="6"/>
  <c r="U5" i="6"/>
  <c r="M5" i="6"/>
  <c r="E5" i="6"/>
  <c r="AD5" i="6"/>
  <c r="V5" i="6"/>
  <c r="N5" i="6"/>
  <c r="F5" i="6"/>
  <c r="V4" i="6"/>
  <c r="Z4" i="6"/>
  <c r="AB5" i="6"/>
  <c r="C5" i="6"/>
  <c r="AH99" i="4"/>
  <c r="Z99" i="4"/>
  <c r="R99" i="4"/>
  <c r="J99" i="4"/>
  <c r="AJ98" i="4"/>
  <c r="AB98" i="4"/>
  <c r="T98" i="4"/>
  <c r="L98" i="4"/>
  <c r="D98" i="4"/>
  <c r="AD97" i="4"/>
  <c r="V97" i="4"/>
  <c r="N97" i="4"/>
  <c r="F97" i="4"/>
  <c r="AF96" i="4"/>
  <c r="X96" i="4"/>
  <c r="P96" i="4"/>
  <c r="H96" i="4"/>
  <c r="AD95" i="4"/>
  <c r="V95" i="4"/>
  <c r="N95" i="4"/>
  <c r="F95" i="4"/>
  <c r="AH94" i="4"/>
  <c r="Z94" i="4"/>
  <c r="R94" i="4"/>
  <c r="J94" i="4"/>
  <c r="AD89" i="4"/>
  <c r="V89" i="4"/>
  <c r="N89" i="4"/>
  <c r="F89" i="4"/>
  <c r="AH100" i="4"/>
  <c r="Z100" i="4"/>
  <c r="R100" i="4"/>
  <c r="J100" i="4"/>
  <c r="AJ93" i="4"/>
  <c r="AB93" i="4"/>
  <c r="T93" i="4"/>
  <c r="L93" i="4"/>
  <c r="D93" i="4"/>
  <c r="AF88" i="4"/>
  <c r="X88" i="4"/>
  <c r="P88" i="4"/>
  <c r="H88" i="4"/>
  <c r="AE99" i="4"/>
  <c r="W99" i="4"/>
  <c r="O99" i="4"/>
  <c r="G99" i="4"/>
  <c r="AG98" i="4"/>
  <c r="Y98" i="4"/>
  <c r="Q98" i="4"/>
  <c r="I98" i="4"/>
  <c r="AI97" i="4"/>
  <c r="AA97" i="4"/>
  <c r="S97" i="4"/>
  <c r="C97" i="4"/>
  <c r="AC96" i="4"/>
  <c r="U96" i="4"/>
  <c r="M96" i="4"/>
  <c r="E96" i="4"/>
  <c r="AI95" i="4"/>
  <c r="AA95" i="4"/>
  <c r="S95" i="4"/>
  <c r="K95" i="4"/>
  <c r="C95" i="4"/>
  <c r="AE94" i="4"/>
  <c r="E5" i="4" s="1"/>
  <c r="W94" i="4"/>
  <c r="O94" i="4"/>
  <c r="G94" i="4"/>
  <c r="AI89" i="4"/>
  <c r="AA89" i="4"/>
  <c r="S89" i="4"/>
  <c r="K89" i="4"/>
  <c r="AE100" i="4"/>
  <c r="W100" i="4"/>
  <c r="O100" i="4"/>
  <c r="G100" i="4"/>
  <c r="AG93" i="4"/>
  <c r="Y93" i="4"/>
  <c r="Q93" i="4"/>
  <c r="I93" i="4"/>
  <c r="AI92" i="4"/>
  <c r="E9" i="4" s="1"/>
  <c r="AA92" i="4"/>
  <c r="S92" i="4"/>
  <c r="K92" i="4"/>
  <c r="C92" i="4"/>
  <c r="AC91" i="4"/>
  <c r="U91" i="4"/>
  <c r="M91" i="4"/>
  <c r="E91" i="4"/>
  <c r="AC90" i="4"/>
  <c r="U90" i="4"/>
  <c r="M90" i="4"/>
  <c r="E90" i="4"/>
  <c r="AC88" i="4"/>
  <c r="U88" i="4"/>
  <c r="M88" i="4"/>
  <c r="E88" i="4"/>
  <c r="AG99" i="4"/>
  <c r="Y99" i="4"/>
  <c r="Q99" i="4"/>
  <c r="C98" i="4"/>
  <c r="AC95" i="4"/>
  <c r="U95" i="4"/>
  <c r="AE91" i="4"/>
  <c r="W91" i="4"/>
  <c r="O91" i="4"/>
  <c r="G91" i="4"/>
  <c r="AF99" i="4"/>
  <c r="X99" i="4"/>
  <c r="P99" i="4"/>
  <c r="H99" i="4"/>
  <c r="AJ95" i="4"/>
  <c r="E10" i="4" s="1"/>
  <c r="AB95" i="4"/>
  <c r="D10" i="4" s="1"/>
  <c r="T95" i="4"/>
  <c r="L95" i="4"/>
  <c r="D95" i="4"/>
  <c r="AI98" i="4"/>
  <c r="AA98" i="4"/>
  <c r="S98" i="4"/>
  <c r="K98" i="4"/>
  <c r="AC97" i="4"/>
  <c r="U97" i="4"/>
  <c r="M97" i="4"/>
  <c r="E97" i="4"/>
  <c r="AE96" i="4"/>
  <c r="W96" i="4"/>
  <c r="O96" i="4"/>
  <c r="G96" i="4"/>
  <c r="AG94" i="4"/>
  <c r="Y94" i="4"/>
  <c r="Q94" i="4"/>
  <c r="I94" i="4"/>
  <c r="AC89" i="4"/>
  <c r="U89" i="4"/>
  <c r="M89" i="4"/>
  <c r="E89" i="4"/>
  <c r="AG100" i="4"/>
  <c r="Y100" i="4"/>
  <c r="Q100" i="4"/>
  <c r="I100" i="4"/>
  <c r="AI93" i="4"/>
  <c r="AA93" i="4"/>
  <c r="S93" i="4"/>
  <c r="K93" i="4"/>
  <c r="C93" i="4"/>
  <c r="AC92" i="4"/>
  <c r="U92" i="4"/>
  <c r="M92" i="4"/>
  <c r="E92" i="4"/>
  <c r="AE90" i="4"/>
  <c r="W90" i="4"/>
  <c r="O90" i="4"/>
  <c r="G90" i="4"/>
  <c r="AE88" i="4"/>
  <c r="E4" i="4" s="1"/>
  <c r="W88" i="4"/>
  <c r="O88" i="4"/>
  <c r="G88" i="4"/>
  <c r="C89" i="4"/>
  <c r="P6" i="6"/>
  <c r="H6" i="6"/>
  <c r="AH6" i="6"/>
  <c r="J6" i="6"/>
  <c r="U6" i="6"/>
  <c r="M6" i="6"/>
  <c r="E6" i="6"/>
  <c r="E7" i="4"/>
  <c r="E6" i="4"/>
  <c r="E16" i="4"/>
  <c r="G6" i="6" l="1"/>
  <c r="O6" i="6"/>
  <c r="T6" i="6"/>
  <c r="AJ6" i="6"/>
  <c r="I6" i="6"/>
  <c r="C6" i="6"/>
  <c r="C11" i="6" s="1"/>
  <c r="AD6" i="6"/>
  <c r="AB6" i="6"/>
  <c r="L6" i="6"/>
  <c r="Q6" i="6"/>
  <c r="D6" i="6"/>
  <c r="N6" i="6"/>
  <c r="AE6" i="6"/>
  <c r="E11" i="6" s="1"/>
  <c r="Y6" i="6"/>
  <c r="V6" i="6"/>
  <c r="D11" i="6" s="1"/>
  <c r="F6" i="6"/>
  <c r="AG6" i="6"/>
  <c r="C15" i="4"/>
  <c r="E11" i="4"/>
  <c r="D5" i="4"/>
  <c r="E15" i="4"/>
  <c r="C7" i="4"/>
  <c r="D4" i="4"/>
  <c r="E14" i="4"/>
  <c r="D12" i="4"/>
  <c r="C12" i="4"/>
  <c r="C5" i="4"/>
  <c r="D15" i="4"/>
  <c r="D13" i="4"/>
  <c r="D9" i="4"/>
  <c r="D7" i="4"/>
  <c r="C16" i="4"/>
  <c r="C14" i="4"/>
  <c r="D11" i="4"/>
  <c r="D16" i="4"/>
  <c r="C8" i="4"/>
  <c r="E8" i="4"/>
  <c r="C6" i="4"/>
  <c r="C13" i="4"/>
  <c r="C9" i="4"/>
  <c r="D8" i="4"/>
  <c r="C10" i="4"/>
  <c r="C4" i="4"/>
  <c r="D14" i="4"/>
  <c r="E12" i="4"/>
  <c r="C11" i="4"/>
  <c r="D6" i="4"/>
  <c r="E13" i="4"/>
</calcChain>
</file>

<file path=xl/sharedStrings.xml><?xml version="1.0" encoding="utf-8"?>
<sst xmlns="http://schemas.openxmlformats.org/spreadsheetml/2006/main" count="7005" uniqueCount="109">
  <si>
    <t>Worksheets</t>
  </si>
  <si>
    <t>#</t>
  </si>
  <si>
    <t>Name</t>
  </si>
  <si>
    <t>Title</t>
  </si>
  <si>
    <t>Index</t>
  </si>
  <si>
    <t>Tabelle2</t>
  </si>
  <si>
    <t>Information on data source</t>
  </si>
  <si>
    <t>Table S4</t>
  </si>
  <si>
    <t>Table S5 weighted avg</t>
  </si>
  <si>
    <t>Table S5</t>
  </si>
  <si>
    <t>pivot tables</t>
  </si>
  <si>
    <t>Table4.A FL</t>
  </si>
  <si>
    <t>country</t>
  </si>
  <si>
    <t>Total HWP Domestic gains</t>
  </si>
  <si>
    <t>Website:</t>
  </si>
  <si>
    <t>https://unfccc.int/ghg-inventories-annex-i-parties/2025</t>
  </si>
  <si>
    <t>Last updated:</t>
  </si>
  <si>
    <t>January 23, 2026</t>
  </si>
  <si>
    <t>Download:</t>
  </si>
  <si>
    <t>January 2, 2026</t>
  </si>
  <si>
    <t>Supplement data file to Böttcher et al.: Too many losses and too few gains: declining forest-sector Carbon Dioxide Removals in Europe's GHG accounts</t>
  </si>
  <si>
    <t>wrongunit &lt;- c("TUR","BEL","ESP","FRA","GRC","PRT","NOR","SVK","SWE”)</t>
  </si>
  <si>
    <t>HWP in use from domestic harvest (t C/ha)</t>
  </si>
  <si>
    <t>Country</t>
  </si>
  <si>
    <t>AUT</t>
  </si>
  <si>
    <t>BEL</t>
  </si>
  <si>
    <t>BGR</t>
  </si>
  <si>
    <t>CHE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</si>
  <si>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</si>
  <si>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</si>
  <si>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</si>
  <si>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</si>
  <si>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</si>
  <si>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</si>
  <si>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</si>
  <si>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</si>
  <si>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</si>
  <si>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HRV</t>
  </si>
  <si>
    <t>IRL</t>
  </si>
  <si>
    <t>ITA</t>
  </si>
  <si>
    <t>LTU</t>
  </si>
  <si>
    <t>LVA</t>
  </si>
  <si>
    <t>NOR</t>
  </si>
  <si>
    <t>POL</t>
  </si>
  <si>
    <t>PRT</t>
  </si>
  <si>
    <t>ROU</t>
  </si>
  <si>
    <t>SVK</t>
  </si>
  <si>
    <t>SVN</t>
  </si>
  <si>
    <t>SWE</t>
  </si>
  <si>
    <t>LivingBMLosses(tC/ha)</t>
  </si>
  <si>
    <t>UK</t>
  </si>
  <si>
    <t>Austria</t>
  </si>
  <si>
    <t>Croatia</t>
  </si>
  <si>
    <t>Czechia</t>
  </si>
  <si>
    <t>Estonia</t>
  </si>
  <si>
    <t>Finland</t>
  </si>
  <si>
    <t>France</t>
  </si>
  <si>
    <t>Italy</t>
  </si>
  <si>
    <t>Latvia</t>
  </si>
  <si>
    <t>Portugal</t>
  </si>
  <si>
    <t>Romania</t>
  </si>
  <si>
    <t>Slovakia</t>
  </si>
  <si>
    <t>Slovenia</t>
  </si>
  <si>
    <t>1990-2008</t>
  </si>
  <si>
    <t>2009-2017</t>
  </si>
  <si>
    <t>2018-2023</t>
  </si>
  <si>
    <t>HWP in use from domestic harvest (kt C)</t>
  </si>
  <si>
    <t>LivingBMLosses(ktC)</t>
  </si>
  <si>
    <t>Sum HWP gains</t>
  </si>
  <si>
    <t>Sum Biomass losses</t>
  </si>
  <si>
    <t>weighted avg</t>
  </si>
  <si>
    <t>Summe von TotalArea(kha)</t>
  </si>
  <si>
    <t>Spaltenbeschriftungen</t>
  </si>
  <si>
    <t>Zeilenbeschriftungen</t>
  </si>
  <si>
    <t>Gesamtergebnis</t>
  </si>
  <si>
    <t>Summe von HWP in use from domestic harvest (kt C)</t>
  </si>
  <si>
    <t>Summe von LivinBMLosses(tC/ha)</t>
  </si>
  <si>
    <t>Summe von LivingBMLosses(ktC)</t>
  </si>
  <si>
    <t>Year</t>
  </si>
  <si>
    <t>TotalArea(kha)</t>
  </si>
  <si>
    <t>MineralSoil(kha)</t>
  </si>
  <si>
    <t>OrganicSoil(kha)</t>
  </si>
  <si>
    <t>LivingBMGains(tC/ha)</t>
  </si>
  <si>
    <t>LivinBMLosses(tC/ha)</t>
  </si>
  <si>
    <t>LivingBMNetChange(tC/ha)</t>
  </si>
  <si>
    <t>DeadWoodNetChange(tC/ha)</t>
  </si>
  <si>
    <t>LitterNetChange(tC/ha)</t>
  </si>
  <si>
    <t>MineralSoilsNetChange(tC/ha)</t>
  </si>
  <si>
    <t>OrganicSoilsNetChange(tC/ha)</t>
  </si>
  <si>
    <t>LivingBMGains(ktC)</t>
  </si>
  <si>
    <t>LivingBMNetChange(ktC)</t>
  </si>
  <si>
    <t>DeadwoodNetChange(ktC)</t>
  </si>
  <si>
    <t>LitterNetChange(ktC)</t>
  </si>
  <si>
    <t>MineralSoilsNetChange(ktC)</t>
  </si>
  <si>
    <t>OrganicSoilsNetChange(ktC)</t>
  </si>
  <si>
    <t>NetCO2(ktCO2)</t>
  </si>
  <si>
    <t>NaN</t>
  </si>
  <si>
    <t>CAN</t>
  </si>
  <si>
    <t>EUA</t>
  </si>
  <si>
    <t>ISL</t>
  </si>
  <si>
    <t>JPN</t>
  </si>
  <si>
    <t>LIE</t>
  </si>
  <si>
    <t>LUX</t>
  </si>
  <si>
    <t>MCO</t>
  </si>
  <si>
    <t>MLT</t>
  </si>
  <si>
    <t>NLD</t>
  </si>
  <si>
    <t>RUS</t>
  </si>
  <si>
    <t>TUR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</si>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</sst>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Aptos"/>
      <family val="2"/>
    </font>
    <font>
      <sz val="12"/>
      <color indexed="0"/>
      <name val="Arial"/>
      <family val="2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0" fontId="1" fillId="0" borderId="0" xfId="0" applyFont="1"/>
    <xf numFmtId="2" fontId="0" fillId="2" borderId="0" xfId="0" applyNumberFormat="1" applyFill="1"/>
    <xf numFmtId="2" fontId="2" fillId="2" borderId="0" xfId="0" applyNumberFormat="1" applyFont="1" applyFill="1"/>
    <xf numFmtId="0" fontId="4" fillId="3" borderId="0" xfId="0" applyFont="1" applyFill="1"/>
    <xf numFmtId="0" fontId="0" fillId="3" borderId="0" xfId="0" applyFill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3" fillId="0" borderId="0" xfId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1" applyFont="1"/>
  </cellXfs>
  <cellStyles count="2">
    <cellStyle name="Link" xfId="1" builtinId="8"/>
    <cellStyle name="Standard" xfId="0" builtinId="0"/>
  </cellStyles>
  <dxfs count="4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'Table S4'!$B$88</c:f>
              <c:strCache>
                <c:ptCount val="1"/>
                <c:pt idx="0">
                  <c:v>Austria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S4'!$C$88:$AJ$88</c:f>
              <c:numCache>
                <c:formatCode>0.00</c:formatCode>
                <c:ptCount val="34"/>
                <c:pt idx="0">
                  <c:v>-0.34897854781618598</c:v>
                </c:pt>
                <c:pt idx="1">
                  <c:v>-0.42918567934007895</c:v>
                </c:pt>
                <c:pt idx="2">
                  <c:v>-0.39280799713801062</c:v>
                </c:pt>
                <c:pt idx="3">
                  <c:v>-0.38880401311174911</c:v>
                </c:pt>
                <c:pt idx="4">
                  <c:v>-0.37810105137449057</c:v>
                </c:pt>
                <c:pt idx="5">
                  <c:v>-0.42458472810385289</c:v>
                </c:pt>
                <c:pt idx="6">
                  <c:v>-0.41568458482474513</c:v>
                </c:pt>
                <c:pt idx="7">
                  <c:v>-0.41595772096955891</c:v>
                </c:pt>
                <c:pt idx="8">
                  <c:v>-0.43675214633581877</c:v>
                </c:pt>
                <c:pt idx="9">
                  <c:v>-0.40665430004916231</c:v>
                </c:pt>
                <c:pt idx="10">
                  <c:v>-0.42848631296572293</c:v>
                </c:pt>
                <c:pt idx="11">
                  <c:v>-0.46384928941816367</c:v>
                </c:pt>
                <c:pt idx="12">
                  <c:v>-0.42628872383106919</c:v>
                </c:pt>
                <c:pt idx="13">
                  <c:v>-0.40179481237374987</c:v>
                </c:pt>
                <c:pt idx="14">
                  <c:v>-0.39299492504022793</c:v>
                </c:pt>
                <c:pt idx="15">
                  <c:v>-0.39901451043134178</c:v>
                </c:pt>
                <c:pt idx="16">
                  <c:v>-0.36064145541833664</c:v>
                </c:pt>
                <c:pt idx="17">
                  <c:v>-0.36834041278053925</c:v>
                </c:pt>
                <c:pt idx="18">
                  <c:v>-0.35888133186187066</c:v>
                </c:pt>
                <c:pt idx="19">
                  <c:v>-0.33179841075289651</c:v>
                </c:pt>
                <c:pt idx="20">
                  <c:v>-0.35701842305292297</c:v>
                </c:pt>
                <c:pt idx="21">
                  <c:v>-0.34826225010643269</c:v>
                </c:pt>
                <c:pt idx="22">
                  <c:v>-0.34106016788848442</c:v>
                </c:pt>
                <c:pt idx="23">
                  <c:v>-0.32178640098040179</c:v>
                </c:pt>
                <c:pt idx="24">
                  <c:v>-0.33210685925476319</c:v>
                </c:pt>
                <c:pt idx="25">
                  <c:v>-0.31486709685513831</c:v>
                </c:pt>
                <c:pt idx="26">
                  <c:v>-0.32369578743450805</c:v>
                </c:pt>
                <c:pt idx="27">
                  <c:v>-0.32589061044240614</c:v>
                </c:pt>
                <c:pt idx="28">
                  <c:v>-0.3090848941240506</c:v>
                </c:pt>
                <c:pt idx="29">
                  <c:v>-0.26794321691032663</c:v>
                </c:pt>
                <c:pt idx="30">
                  <c:v>-0.25673680999164955</c:v>
                </c:pt>
                <c:pt idx="31">
                  <c:v>-0.28522407425451629</c:v>
                </c:pt>
                <c:pt idx="32">
                  <c:v>-0.27536465415600886</c:v>
                </c:pt>
                <c:pt idx="33">
                  <c:v>-0.24391709920832716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58-405A-BB03-B4979193B32B}"/>
            </c:ext>
          </c:extLst>
        </c:ser>
        <c:ser>
          <c:idx val="2"/>
          <c:order val="1"/>
          <c:tx>
            <c:strRef>
              <c:f>'Table S4'!$B$89</c:f>
              <c:strCache>
                <c:ptCount val="1"/>
                <c:pt idx="0">
                  <c:v>Croatia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S4'!$C$89:$AJ$89</c:f>
              <c:numCache>
                <c:formatCode>0.00</c:formatCode>
                <c:ptCount val="34"/>
                <c:pt idx="0">
                  <c:v>-0.23262872556729541</c:v>
                </c:pt>
                <c:pt idx="1">
                  <c:v>-0.1972792533069431</c:v>
                </c:pt>
                <c:pt idx="2">
                  <c:v>-0.16870295244369909</c:v>
                </c:pt>
                <c:pt idx="3">
                  <c:v>-0.1911262021894784</c:v>
                </c:pt>
                <c:pt idx="4">
                  <c:v>-0.19317715879951661</c:v>
                </c:pt>
                <c:pt idx="5">
                  <c:v>-0.20793303841015512</c:v>
                </c:pt>
                <c:pt idx="6">
                  <c:v>-0.18816599060545575</c:v>
                </c:pt>
                <c:pt idx="7">
                  <c:v>-0.14152936561441865</c:v>
                </c:pt>
                <c:pt idx="8">
                  <c:v>-0.15344822756549129</c:v>
                </c:pt>
                <c:pt idx="9">
                  <c:v>-0.16193786481891798</c:v>
                </c:pt>
                <c:pt idx="10">
                  <c:v>-0.15317280951202994</c:v>
                </c:pt>
                <c:pt idx="11">
                  <c:v>-0.19803328693437508</c:v>
                </c:pt>
                <c:pt idx="12">
                  <c:v>-0.21290779354055311</c:v>
                </c:pt>
                <c:pt idx="13">
                  <c:v>-0.19441588896140591</c:v>
                </c:pt>
                <c:pt idx="14">
                  <c:v>-0.19217722374863302</c:v>
                </c:pt>
                <c:pt idx="15">
                  <c:v>-0.22568876921079226</c:v>
                </c:pt>
                <c:pt idx="16">
                  <c:v>-0.22400016175097054</c:v>
                </c:pt>
                <c:pt idx="17">
                  <c:v>-0.21348893524045653</c:v>
                </c:pt>
                <c:pt idx="18">
                  <c:v>-0.21786980580019671</c:v>
                </c:pt>
                <c:pt idx="19">
                  <c:v>-0.21126833168208578</c:v>
                </c:pt>
                <c:pt idx="20">
                  <c:v>-0.21891333484422637</c:v>
                </c:pt>
                <c:pt idx="21">
                  <c:v>-0.19775535393068394</c:v>
                </c:pt>
                <c:pt idx="22">
                  <c:v>-0.20144325695041179</c:v>
                </c:pt>
                <c:pt idx="23">
                  <c:v>-0.20926011479002604</c:v>
                </c:pt>
                <c:pt idx="24">
                  <c:v>-0.20461702531505077</c:v>
                </c:pt>
                <c:pt idx="25">
                  <c:v>-0.21469731583348997</c:v>
                </c:pt>
                <c:pt idx="26">
                  <c:v>-0.21193511942577392</c:v>
                </c:pt>
                <c:pt idx="27">
                  <c:v>-0.23251981980061326</c:v>
                </c:pt>
                <c:pt idx="28">
                  <c:v>-0.20208514624078516</c:v>
                </c:pt>
                <c:pt idx="29">
                  <c:v>-0.20626310479203133</c:v>
                </c:pt>
                <c:pt idx="30">
                  <c:v>-0.20137595848384629</c:v>
                </c:pt>
                <c:pt idx="31">
                  <c:v>-0.20147824654760638</c:v>
                </c:pt>
                <c:pt idx="32">
                  <c:v>-0.17035183599066506</c:v>
                </c:pt>
                <c:pt idx="33">
                  <c:v>-0.17343350867329907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58-405A-BB03-B4979193B32B}"/>
            </c:ext>
          </c:extLst>
        </c:ser>
        <c:ser>
          <c:idx val="3"/>
          <c:order val="2"/>
          <c:tx>
            <c:strRef>
              <c:f>'Table S4'!$B$90</c:f>
              <c:strCache>
                <c:ptCount val="1"/>
                <c:pt idx="0">
                  <c:v>Czechia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S4'!$C$90:$AJ$90</c:f>
              <c:numCache>
                <c:formatCode>0.00</c:formatCode>
                <c:ptCount val="34"/>
                <c:pt idx="0">
                  <c:v>-0.31170767501943292</c:v>
                </c:pt>
                <c:pt idx="1">
                  <c:v>-0.28754487648168853</c:v>
                </c:pt>
                <c:pt idx="2">
                  <c:v>-0.21906511947575488</c:v>
                </c:pt>
                <c:pt idx="3">
                  <c:v>-0.29152468909350099</c:v>
                </c:pt>
                <c:pt idx="4">
                  <c:v>-0.25748250270029105</c:v>
                </c:pt>
                <c:pt idx="5">
                  <c:v>-0.26875963376162332</c:v>
                </c:pt>
                <c:pt idx="6">
                  <c:v>-0.26046512666992405</c:v>
                </c:pt>
                <c:pt idx="7">
                  <c:v>-0.24308208174406346</c:v>
                </c:pt>
                <c:pt idx="8">
                  <c:v>-0.23013038972550964</c:v>
                </c:pt>
                <c:pt idx="9">
                  <c:v>-0.23350431133820493</c:v>
                </c:pt>
                <c:pt idx="10">
                  <c:v>-0.25584332874897658</c:v>
                </c:pt>
                <c:pt idx="11">
                  <c:v>-0.25699829225733706</c:v>
                </c:pt>
                <c:pt idx="12">
                  <c:v>-0.25281147914354984</c:v>
                </c:pt>
                <c:pt idx="13">
                  <c:v>-0.26727034620019607</c:v>
                </c:pt>
                <c:pt idx="14">
                  <c:v>-0.26582883427486315</c:v>
                </c:pt>
                <c:pt idx="15">
                  <c:v>-0.26474898673105185</c:v>
                </c:pt>
                <c:pt idx="16">
                  <c:v>-0.27931529343088579</c:v>
                </c:pt>
                <c:pt idx="17">
                  <c:v>-0.29432338306532135</c:v>
                </c:pt>
                <c:pt idx="18">
                  <c:v>-0.29540941940978394</c:v>
                </c:pt>
                <c:pt idx="19">
                  <c:v>-0.25713937461109665</c:v>
                </c:pt>
                <c:pt idx="20">
                  <c:v>-0.26495434750883451</c:v>
                </c:pt>
                <c:pt idx="21">
                  <c:v>-0.25789098123676135</c:v>
                </c:pt>
                <c:pt idx="22">
                  <c:v>-0.24544047690242735</c:v>
                </c:pt>
                <c:pt idx="23">
                  <c:v>-0.20964491506183205</c:v>
                </c:pt>
                <c:pt idx="24">
                  <c:v>-0.20327374460121411</c:v>
                </c:pt>
                <c:pt idx="25">
                  <c:v>-0.21393885514093494</c:v>
                </c:pt>
                <c:pt idx="26">
                  <c:v>-0.21383055037708892</c:v>
                </c:pt>
                <c:pt idx="27">
                  <c:v>-0.20737194464575942</c:v>
                </c:pt>
                <c:pt idx="28">
                  <c:v>-0.17090152954190799</c:v>
                </c:pt>
                <c:pt idx="29">
                  <c:v>-0.14749703366549505</c:v>
                </c:pt>
                <c:pt idx="30">
                  <c:v>-0.16041865243966211</c:v>
                </c:pt>
                <c:pt idx="31">
                  <c:v>-0.18004206528122471</c:v>
                </c:pt>
                <c:pt idx="32">
                  <c:v>-0.20249353867073291</c:v>
                </c:pt>
                <c:pt idx="33">
                  <c:v>-0.24071921729880175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58-405A-BB03-B4979193B32B}"/>
            </c:ext>
          </c:extLst>
        </c:ser>
        <c:ser>
          <c:idx val="4"/>
          <c:order val="3"/>
          <c:tx>
            <c:strRef>
              <c:f>'Table S4'!$B$91</c:f>
              <c:strCache>
                <c:ptCount val="1"/>
                <c:pt idx="0">
                  <c:v>Estonia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S4'!$C$91:$AJ$91</c:f>
              <c:numCache>
                <c:formatCode>0.00</c:formatCode>
                <c:ptCount val="34"/>
                <c:pt idx="0">
                  <c:v>-0.95553658963461019</c:v>
                </c:pt>
                <c:pt idx="1">
                  <c:v>-0.60995819117512484</c:v>
                </c:pt>
                <c:pt idx="2">
                  <c:v>-0.36649491200174694</c:v>
                </c:pt>
                <c:pt idx="3">
                  <c:v>-0.32309781443054858</c:v>
                </c:pt>
                <c:pt idx="4">
                  <c:v>-0.27860806108186537</c:v>
                </c:pt>
                <c:pt idx="5">
                  <c:v>-0.24202772810846315</c:v>
                </c:pt>
                <c:pt idx="6">
                  <c:v>-0.2351301355348546</c:v>
                </c:pt>
                <c:pt idx="7">
                  <c:v>-0.26158306350032595</c:v>
                </c:pt>
                <c:pt idx="8">
                  <c:v>-0.21381719018126974</c:v>
                </c:pt>
                <c:pt idx="9">
                  <c:v>-0.21318705127514634</c:v>
                </c:pt>
                <c:pt idx="10">
                  <c:v>-0.21040994250135944</c:v>
                </c:pt>
                <c:pt idx="11">
                  <c:v>-0.18740570478924623</c:v>
                </c:pt>
                <c:pt idx="12">
                  <c:v>-0.15583700215765875</c:v>
                </c:pt>
                <c:pt idx="13">
                  <c:v>-0.18598812000780673</c:v>
                </c:pt>
                <c:pt idx="14">
                  <c:v>-0.17089120649638923</c:v>
                </c:pt>
                <c:pt idx="15">
                  <c:v>-0.18765423563586853</c:v>
                </c:pt>
                <c:pt idx="16">
                  <c:v>-0.23413498181944564</c:v>
                </c:pt>
                <c:pt idx="17">
                  <c:v>-0.25143831201895611</c:v>
                </c:pt>
                <c:pt idx="18">
                  <c:v>-0.27715407400513514</c:v>
                </c:pt>
                <c:pt idx="19">
                  <c:v>-0.28242187659355028</c:v>
                </c:pt>
                <c:pt idx="20">
                  <c:v>-0.26570190398451082</c:v>
                </c:pt>
                <c:pt idx="21">
                  <c:v>-0.18839344281559492</c:v>
                </c:pt>
                <c:pt idx="22">
                  <c:v>-0.15959903116485688</c:v>
                </c:pt>
                <c:pt idx="23">
                  <c:v>-0.15318424788318308</c:v>
                </c:pt>
                <c:pt idx="24">
                  <c:v>-0.16466053002116685</c:v>
                </c:pt>
                <c:pt idx="25">
                  <c:v>-0.17811159904786045</c:v>
                </c:pt>
                <c:pt idx="26">
                  <c:v>-0.18274585713310013</c:v>
                </c:pt>
                <c:pt idx="27">
                  <c:v>-0.18222607247984191</c:v>
                </c:pt>
                <c:pt idx="28">
                  <c:v>-0.16724603629981566</c:v>
                </c:pt>
                <c:pt idx="29">
                  <c:v>-0.16279947961481642</c:v>
                </c:pt>
                <c:pt idx="30">
                  <c:v>-0.19135309675656687</c:v>
                </c:pt>
                <c:pt idx="31">
                  <c:v>-0.19885430823900227</c:v>
                </c:pt>
                <c:pt idx="32">
                  <c:v>-0.18794069531603785</c:v>
                </c:pt>
                <c:pt idx="33">
                  <c:v>-0.14891736161978697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58-405A-BB03-B4979193B32B}"/>
            </c:ext>
          </c:extLst>
        </c:ser>
        <c:ser>
          <c:idx val="5"/>
          <c:order val="4"/>
          <c:tx>
            <c:strRef>
              <c:f>'Table S4'!$B$92</c:f>
              <c:strCache>
                <c:ptCount val="1"/>
                <c:pt idx="0">
                  <c:v>Finland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S4'!$C$92:$AJ$92</c:f>
              <c:numCache>
                <c:formatCode>0.00</c:formatCode>
                <c:ptCount val="34"/>
                <c:pt idx="0">
                  <c:v>-0.26333512057169722</c:v>
                </c:pt>
                <c:pt idx="1">
                  <c:v>-0.29477644593608571</c:v>
                </c:pt>
                <c:pt idx="2">
                  <c:v>-0.26641048684033197</c:v>
                </c:pt>
                <c:pt idx="3">
                  <c:v>-0.28814885756398173</c:v>
                </c:pt>
                <c:pt idx="4">
                  <c:v>-0.27723573682865837</c:v>
                </c:pt>
                <c:pt idx="5">
                  <c:v>-0.26811457186248633</c:v>
                </c:pt>
                <c:pt idx="6">
                  <c:v>-0.28386113277719338</c:v>
                </c:pt>
                <c:pt idx="7">
                  <c:v>-0.28971143105964009</c:v>
                </c:pt>
                <c:pt idx="8">
                  <c:v>-0.28316876021567011</c:v>
                </c:pt>
                <c:pt idx="9">
                  <c:v>-0.28250587623553874</c:v>
                </c:pt>
                <c:pt idx="10">
                  <c:v>-0.28213770985377867</c:v>
                </c:pt>
                <c:pt idx="11">
                  <c:v>-0.26602530647160927</c:v>
                </c:pt>
                <c:pt idx="12">
                  <c:v>-0.26627659521083635</c:v>
                </c:pt>
                <c:pt idx="13">
                  <c:v>-0.26983640302445938</c:v>
                </c:pt>
                <c:pt idx="14">
                  <c:v>-0.2754634458570242</c:v>
                </c:pt>
                <c:pt idx="15">
                  <c:v>-0.24605729154549733</c:v>
                </c:pt>
                <c:pt idx="16">
                  <c:v>-0.28362248588909916</c:v>
                </c:pt>
                <c:pt idx="17">
                  <c:v>-0.2679089381570971</c:v>
                </c:pt>
                <c:pt idx="18">
                  <c:v>-0.24678585812542367</c:v>
                </c:pt>
                <c:pt idx="19">
                  <c:v>-0.24287605864224804</c:v>
                </c:pt>
                <c:pt idx="20">
                  <c:v>-0.23939158907913749</c:v>
                </c:pt>
                <c:pt idx="21">
                  <c:v>-0.23768505496715692</c:v>
                </c:pt>
                <c:pt idx="22">
                  <c:v>-0.23537228248267214</c:v>
                </c:pt>
                <c:pt idx="23">
                  <c:v>-0.22297922363361969</c:v>
                </c:pt>
                <c:pt idx="24">
                  <c:v>-0.23015771830991891</c:v>
                </c:pt>
                <c:pt idx="25">
                  <c:v>-0.22171326807356956</c:v>
                </c:pt>
                <c:pt idx="26">
                  <c:v>-0.22590399822173302</c:v>
                </c:pt>
                <c:pt idx="27">
                  <c:v>-0.23049562282740049</c:v>
                </c:pt>
                <c:pt idx="28">
                  <c:v>-0.22033215123896699</c:v>
                </c:pt>
                <c:pt idx="29">
                  <c:v>-0.22732299973248804</c:v>
                </c:pt>
                <c:pt idx="30">
                  <c:v>-0.21837898096304045</c:v>
                </c:pt>
                <c:pt idx="31">
                  <c:v>-0.21833810138196505</c:v>
                </c:pt>
                <c:pt idx="32">
                  <c:v>-0.21916066432319023</c:v>
                </c:pt>
                <c:pt idx="33">
                  <c:v>-0.21072234364588385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58-405A-BB03-B4979193B32B}"/>
            </c:ext>
          </c:extLst>
        </c:ser>
        <c:ser>
          <c:idx val="6"/>
          <c:order val="5"/>
          <c:tx>
            <c:strRef>
              <c:f>'Table S4'!$B$93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S4'!$C$93:$AJ$93</c:f>
              <c:numCache>
                <c:formatCode>0.00</c:formatCode>
                <c:ptCount val="34"/>
                <c:pt idx="0">
                  <c:v>-0.18221878939191544</c:v>
                </c:pt>
                <c:pt idx="1">
                  <c:v>-0.16995189097156144</c:v>
                </c:pt>
                <c:pt idx="2">
                  <c:v>-0.14886794415669721</c:v>
                </c:pt>
                <c:pt idx="3">
                  <c:v>-0.14131087348137356</c:v>
                </c:pt>
                <c:pt idx="4">
                  <c:v>-0.15033585149411241</c:v>
                </c:pt>
                <c:pt idx="5">
                  <c:v>-0.15657847827250321</c:v>
                </c:pt>
                <c:pt idx="6">
                  <c:v>-0.16039818572261891</c:v>
                </c:pt>
                <c:pt idx="7">
                  <c:v>-0.16500922577701305</c:v>
                </c:pt>
                <c:pt idx="8">
                  <c:v>-0.17227761987414608</c:v>
                </c:pt>
                <c:pt idx="9">
                  <c:v>-0.10292949142363859</c:v>
                </c:pt>
                <c:pt idx="10">
                  <c:v>-0.16243878759564365</c:v>
                </c:pt>
                <c:pt idx="11">
                  <c:v>-0.1781478701938049</c:v>
                </c:pt>
                <c:pt idx="12">
                  <c:v>-0.18278268675011156</c:v>
                </c:pt>
                <c:pt idx="13">
                  <c:v>-0.18857440413087506</c:v>
                </c:pt>
                <c:pt idx="14">
                  <c:v>-0.1947350335954226</c:v>
                </c:pt>
                <c:pt idx="15">
                  <c:v>-0.20258076374186373</c:v>
                </c:pt>
                <c:pt idx="16">
                  <c:v>-0.20591126814759722</c:v>
                </c:pt>
                <c:pt idx="17">
                  <c:v>-0.21129795961006434</c:v>
                </c:pt>
                <c:pt idx="18">
                  <c:v>-0.20228418070160847</c:v>
                </c:pt>
                <c:pt idx="19">
                  <c:v>-0.13415341466388747</c:v>
                </c:pt>
                <c:pt idx="20">
                  <c:v>-0.1808719999537349</c:v>
                </c:pt>
                <c:pt idx="21">
                  <c:v>-0.18982022983048411</c:v>
                </c:pt>
                <c:pt idx="22">
                  <c:v>-0.19036840197300253</c:v>
                </c:pt>
                <c:pt idx="23">
                  <c:v>-0.18590266487161788</c:v>
                </c:pt>
                <c:pt idx="24">
                  <c:v>-0.1733050629306844</c:v>
                </c:pt>
                <c:pt idx="25">
                  <c:v>-0.16216435704390952</c:v>
                </c:pt>
                <c:pt idx="26">
                  <c:v>-0.14810337025223408</c:v>
                </c:pt>
                <c:pt idx="27">
                  <c:v>-0.13704202698693072</c:v>
                </c:pt>
                <c:pt idx="28">
                  <c:v>-0.12783914448618416</c:v>
                </c:pt>
                <c:pt idx="29">
                  <c:v>-0.11899991219001294</c:v>
                </c:pt>
                <c:pt idx="30">
                  <c:v>-0.10641008685897958</c:v>
                </c:pt>
                <c:pt idx="31">
                  <c:v>-0.12180073331939997</c:v>
                </c:pt>
                <c:pt idx="32">
                  <c:v>-0.11978216010802674</c:v>
                </c:pt>
                <c:pt idx="33">
                  <c:v>-0.11527635998689531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58-405A-BB03-B4979193B32B}"/>
            </c:ext>
          </c:extLst>
        </c:ser>
        <c:ser>
          <c:idx val="7"/>
          <c:order val="6"/>
          <c:tx>
            <c:strRef>
              <c:f>'Table S4'!$B$94</c:f>
              <c:strCache>
                <c:ptCount val="1"/>
                <c:pt idx="0">
                  <c:v>Italy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S4'!$C$94:$AJ$94</c:f>
              <c:numCache>
                <c:formatCode>0.00</c:formatCode>
                <c:ptCount val="34"/>
                <c:pt idx="0">
                  <c:v>-5.5151079759101711E-2</c:v>
                </c:pt>
                <c:pt idx="1">
                  <c:v>-6.1219416354125554E-2</c:v>
                </c:pt>
                <c:pt idx="2">
                  <c:v>-5.0079764945238789E-2</c:v>
                </c:pt>
                <c:pt idx="3">
                  <c:v>-4.5726489071456454E-2</c:v>
                </c:pt>
                <c:pt idx="4">
                  <c:v>-4.8079489444800921E-2</c:v>
                </c:pt>
                <c:pt idx="5">
                  <c:v>-6.9524178415594717E-2</c:v>
                </c:pt>
                <c:pt idx="6">
                  <c:v>-7.059852721703827E-2</c:v>
                </c:pt>
                <c:pt idx="7">
                  <c:v>-5.850080121121979E-2</c:v>
                </c:pt>
                <c:pt idx="8">
                  <c:v>-6.331395286323703E-2</c:v>
                </c:pt>
                <c:pt idx="9">
                  <c:v>-6.7221272521261546E-2</c:v>
                </c:pt>
                <c:pt idx="10">
                  <c:v>-5.6774066108163608E-2</c:v>
                </c:pt>
                <c:pt idx="11">
                  <c:v>-5.7480431666597429E-2</c:v>
                </c:pt>
                <c:pt idx="12">
                  <c:v>-6.334879239691335E-2</c:v>
                </c:pt>
                <c:pt idx="13">
                  <c:v>-5.7259991179089677E-2</c:v>
                </c:pt>
                <c:pt idx="14">
                  <c:v>-6.5075360782232208E-2</c:v>
                </c:pt>
                <c:pt idx="15">
                  <c:v>-6.4612811183650254E-2</c:v>
                </c:pt>
                <c:pt idx="16">
                  <c:v>-6.8919832685291116E-2</c:v>
                </c:pt>
                <c:pt idx="17">
                  <c:v>-5.2937163539256857E-2</c:v>
                </c:pt>
                <c:pt idx="18">
                  <c:v>-6.6253904258933835E-2</c:v>
                </c:pt>
                <c:pt idx="19">
                  <c:v>-6.0353541841603214E-2</c:v>
                </c:pt>
                <c:pt idx="20">
                  <c:v>-5.9726077895483953E-2</c:v>
                </c:pt>
                <c:pt idx="21">
                  <c:v>-4.9857346365109571E-2</c:v>
                </c:pt>
                <c:pt idx="22">
                  <c:v>-4.3451877675194601E-2</c:v>
                </c:pt>
                <c:pt idx="23">
                  <c:v>-5.0571409769130223E-2</c:v>
                </c:pt>
                <c:pt idx="24">
                  <c:v>-5.2703806177091098E-2</c:v>
                </c:pt>
                <c:pt idx="25">
                  <c:v>-5.5168152219224359E-2</c:v>
                </c:pt>
                <c:pt idx="26">
                  <c:v>-5.5436514508225225E-2</c:v>
                </c:pt>
                <c:pt idx="27">
                  <c:v>-4.044979960402724E-2</c:v>
                </c:pt>
                <c:pt idx="28">
                  <c:v>-4.8899856328388995E-2</c:v>
                </c:pt>
                <c:pt idx="29">
                  <c:v>-7.6889034619134752E-2</c:v>
                </c:pt>
                <c:pt idx="30">
                  <c:v>-5.5565955516097915E-2</c:v>
                </c:pt>
                <c:pt idx="31">
                  <c:v>-4.9209957275678132E-2</c:v>
                </c:pt>
                <c:pt idx="32">
                  <c:v>-4.9887638656104495E-2</c:v>
                </c:pt>
                <c:pt idx="33">
                  <c:v>-6.0177404453000717E-2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58-405A-BB03-B4979193B32B}"/>
            </c:ext>
          </c:extLst>
        </c:ser>
        <c:ser>
          <c:idx val="8"/>
          <c:order val="7"/>
          <c:tx>
            <c:strRef>
              <c:f>'Table S4'!$B$95</c:f>
              <c:strCache>
                <c:ptCount val="1"/>
                <c:pt idx="0">
                  <c:v>Latvia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S4'!$C$95:$AJ$95</c:f>
              <c:numCache>
                <c:formatCode>0.00</c:formatCode>
                <c:ptCount val="34"/>
                <c:pt idx="0">
                  <c:v>-8.3228824104537441E-2</c:v>
                </c:pt>
                <c:pt idx="1">
                  <c:v>-8.9894551451603924E-2</c:v>
                </c:pt>
                <c:pt idx="2">
                  <c:v>-7.7326644685153198E-2</c:v>
                </c:pt>
                <c:pt idx="3">
                  <c:v>-4.4563640393410889E-2</c:v>
                </c:pt>
                <c:pt idx="4">
                  <c:v>-6.9821866955886963E-2</c:v>
                </c:pt>
                <c:pt idx="5">
                  <c:v>-8.3677725224101621E-2</c:v>
                </c:pt>
                <c:pt idx="6">
                  <c:v>-9.7437786367128368E-2</c:v>
                </c:pt>
                <c:pt idx="7">
                  <c:v>-0.12350869363296293</c:v>
                </c:pt>
                <c:pt idx="8">
                  <c:v>-0.1324979800714591</c:v>
                </c:pt>
                <c:pt idx="9">
                  <c:v>-0.11811638320102773</c:v>
                </c:pt>
                <c:pt idx="10">
                  <c:v>-0.14698418088397247</c:v>
                </c:pt>
                <c:pt idx="11">
                  <c:v>-0.14931928564739824</c:v>
                </c:pt>
                <c:pt idx="12">
                  <c:v>-0.14485922234314774</c:v>
                </c:pt>
                <c:pt idx="13">
                  <c:v>-0.14199615413676783</c:v>
                </c:pt>
                <c:pt idx="14">
                  <c:v>-0.14573415775034387</c:v>
                </c:pt>
                <c:pt idx="15">
                  <c:v>-0.14500724796707951</c:v>
                </c:pt>
                <c:pt idx="16">
                  <c:v>-0.16497767811563585</c:v>
                </c:pt>
                <c:pt idx="17">
                  <c:v>-0.12306187139295571</c:v>
                </c:pt>
                <c:pt idx="18">
                  <c:v>-0.12006304974497557</c:v>
                </c:pt>
                <c:pt idx="19">
                  <c:v>-0.10102362454531064</c:v>
                </c:pt>
                <c:pt idx="20">
                  <c:v>-0.109144812189772</c:v>
                </c:pt>
                <c:pt idx="21">
                  <c:v>-0.12297281866029727</c:v>
                </c:pt>
                <c:pt idx="22">
                  <c:v>-0.12638249740177995</c:v>
                </c:pt>
                <c:pt idx="23">
                  <c:v>-0.1263497797679671</c:v>
                </c:pt>
                <c:pt idx="24">
                  <c:v>-0.11784678014994714</c:v>
                </c:pt>
                <c:pt idx="25">
                  <c:v>-0.12287239533386608</c:v>
                </c:pt>
                <c:pt idx="26">
                  <c:v>-0.12925968526374843</c:v>
                </c:pt>
                <c:pt idx="27">
                  <c:v>-0.14280886881468516</c:v>
                </c:pt>
                <c:pt idx="28">
                  <c:v>-0.13642440357154895</c:v>
                </c:pt>
                <c:pt idx="29">
                  <c:v>-0.14323736545507965</c:v>
                </c:pt>
                <c:pt idx="30">
                  <c:v>-0.13294326383679853</c:v>
                </c:pt>
                <c:pt idx="31">
                  <c:v>-0.14922965879627223</c:v>
                </c:pt>
                <c:pt idx="32">
                  <c:v>-0.12308317832762322</c:v>
                </c:pt>
                <c:pt idx="33">
                  <c:v>-0.13206659623241832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58-405A-BB03-B4979193B32B}"/>
            </c:ext>
          </c:extLst>
        </c:ser>
        <c:ser>
          <c:idx val="9"/>
          <c:order val="8"/>
          <c:tx>
            <c:strRef>
              <c:f>'Table S4'!$B$96</c:f>
              <c:strCache>
                <c:ptCount val="1"/>
                <c:pt idx="0">
                  <c:v>Portugal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S4'!$C$96:$AJ$96</c:f>
              <c:numCache>
                <c:formatCode>0.00</c:formatCode>
                <c:ptCount val="34"/>
                <c:pt idx="0">
                  <c:v>-0.20291833975931439</c:v>
                </c:pt>
                <c:pt idx="1">
                  <c:v>-0.2061066932186873</c:v>
                </c:pt>
                <c:pt idx="2">
                  <c:v>-0.19888413031542471</c:v>
                </c:pt>
                <c:pt idx="3">
                  <c:v>-0.19453695610930535</c:v>
                </c:pt>
                <c:pt idx="4">
                  <c:v>-0.19871257942219628</c:v>
                </c:pt>
                <c:pt idx="5">
                  <c:v>-0.1990169029043673</c:v>
                </c:pt>
                <c:pt idx="6">
                  <c:v>-0.19212827727328327</c:v>
                </c:pt>
                <c:pt idx="7">
                  <c:v>-0.18194317631636647</c:v>
                </c:pt>
                <c:pt idx="8">
                  <c:v>-0.17307065533748625</c:v>
                </c:pt>
                <c:pt idx="9">
                  <c:v>-0.17942831861578407</c:v>
                </c:pt>
                <c:pt idx="10">
                  <c:v>-0.17268361266105617</c:v>
                </c:pt>
                <c:pt idx="11">
                  <c:v>-0.18703201238168163</c:v>
                </c:pt>
                <c:pt idx="12">
                  <c:v>-0.19641352105420865</c:v>
                </c:pt>
                <c:pt idx="13">
                  <c:v>-0.19971579982622309</c:v>
                </c:pt>
                <c:pt idx="14">
                  <c:v>-0.18687453603071552</c:v>
                </c:pt>
                <c:pt idx="15">
                  <c:v>-0.19166011968617444</c:v>
                </c:pt>
                <c:pt idx="16">
                  <c:v>-0.18020794275301139</c:v>
                </c:pt>
                <c:pt idx="17">
                  <c:v>-0.17364578120401372</c:v>
                </c:pt>
                <c:pt idx="18">
                  <c:v>-0.19222070788968881</c:v>
                </c:pt>
                <c:pt idx="19">
                  <c:v>-0.20557201520959378</c:v>
                </c:pt>
                <c:pt idx="20">
                  <c:v>-0.18794903038555447</c:v>
                </c:pt>
                <c:pt idx="21">
                  <c:v>-0.17842790063202024</c:v>
                </c:pt>
                <c:pt idx="22">
                  <c:v>-0.19055775677763648</c:v>
                </c:pt>
                <c:pt idx="23">
                  <c:v>-0.16820293026870869</c:v>
                </c:pt>
                <c:pt idx="24">
                  <c:v>-0.17457843005618179</c:v>
                </c:pt>
                <c:pt idx="25">
                  <c:v>-0.18822753635295492</c:v>
                </c:pt>
                <c:pt idx="26">
                  <c:v>-0.18695379417806318</c:v>
                </c:pt>
                <c:pt idx="27">
                  <c:v>-0.1785949917834655</c:v>
                </c:pt>
                <c:pt idx="28">
                  <c:v>-0.19011142809480971</c:v>
                </c:pt>
                <c:pt idx="29">
                  <c:v>-0.18859634716780724</c:v>
                </c:pt>
                <c:pt idx="30">
                  <c:v>-0.18476685209627955</c:v>
                </c:pt>
                <c:pt idx="31">
                  <c:v>-0.18808133847250152</c:v>
                </c:pt>
                <c:pt idx="32">
                  <c:v>-0.18307852999269414</c:v>
                </c:pt>
                <c:pt idx="33">
                  <c:v>-0.18036404576790416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58-405A-BB03-B4979193B32B}"/>
            </c:ext>
          </c:extLst>
        </c:ser>
        <c:ser>
          <c:idx val="10"/>
          <c:order val="9"/>
          <c:tx>
            <c:strRef>
              <c:f>'Table S4'!$B$97</c:f>
              <c:strCache>
                <c:ptCount val="1"/>
                <c:pt idx="0">
                  <c:v>Romania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S4'!$C$97:$AJ$97</c:f>
              <c:numCache>
                <c:formatCode>0.00</c:formatCode>
                <c:ptCount val="34"/>
                <c:pt idx="0">
                  <c:v>-0.20498891378525344</c:v>
                </c:pt>
                <c:pt idx="1">
                  <c:v>-0.16361960305045134</c:v>
                </c:pt>
                <c:pt idx="2">
                  <c:v>-0.18367243272649697</c:v>
                </c:pt>
                <c:pt idx="3">
                  <c:v>-0.19410078349983251</c:v>
                </c:pt>
                <c:pt idx="4">
                  <c:v>-0.13165989234913725</c:v>
                </c:pt>
                <c:pt idx="5">
                  <c:v>-0.1366745451154488</c:v>
                </c:pt>
                <c:pt idx="6">
                  <c:v>-0.12491047020061442</c:v>
                </c:pt>
                <c:pt idx="7">
                  <c:v>-0.13207238539033542</c:v>
                </c:pt>
                <c:pt idx="8">
                  <c:v>-0.15291512048471759</c:v>
                </c:pt>
                <c:pt idx="9">
                  <c:v>-0.17595654766592481</c:v>
                </c:pt>
                <c:pt idx="10">
                  <c:v>-0.20508698008663806</c:v>
                </c:pt>
                <c:pt idx="11">
                  <c:v>-0.20819161829445693</c:v>
                </c:pt>
                <c:pt idx="12">
                  <c:v>-0.216480775188472</c:v>
                </c:pt>
                <c:pt idx="13">
                  <c:v>-0.25178044852512116</c:v>
                </c:pt>
                <c:pt idx="14">
                  <c:v>-0.26554407111912248</c:v>
                </c:pt>
                <c:pt idx="15">
                  <c:v>-0.2602003651568815</c:v>
                </c:pt>
                <c:pt idx="16">
                  <c:v>-0.24087206475725539</c:v>
                </c:pt>
                <c:pt idx="17">
                  <c:v>-0.26687523948583552</c:v>
                </c:pt>
                <c:pt idx="18">
                  <c:v>-0.27484777160558771</c:v>
                </c:pt>
                <c:pt idx="19">
                  <c:v>-0.26145744644101077</c:v>
                </c:pt>
                <c:pt idx="20">
                  <c:v>-0.31125792932458207</c:v>
                </c:pt>
                <c:pt idx="21">
                  <c:v>-0.30317951316197694</c:v>
                </c:pt>
                <c:pt idx="22">
                  <c:v>-0.37175377271841015</c:v>
                </c:pt>
                <c:pt idx="23">
                  <c:v>-0.39334429074421284</c:v>
                </c:pt>
                <c:pt idx="24">
                  <c:v>-0.40347341352555599</c:v>
                </c:pt>
                <c:pt idx="25">
                  <c:v>-0.40083703014535765</c:v>
                </c:pt>
                <c:pt idx="26">
                  <c:v>-0.42080045343565281</c:v>
                </c:pt>
                <c:pt idx="27">
                  <c:v>-0.39853298394997866</c:v>
                </c:pt>
                <c:pt idx="28">
                  <c:v>-0.35108076773315061</c:v>
                </c:pt>
                <c:pt idx="29">
                  <c:v>-0.37012941342924655</c:v>
                </c:pt>
                <c:pt idx="30">
                  <c:v>-0.35690033782428077</c:v>
                </c:pt>
                <c:pt idx="31">
                  <c:v>-0.34223259175836984</c:v>
                </c:pt>
                <c:pt idx="32">
                  <c:v>-0.28435973978306583</c:v>
                </c:pt>
                <c:pt idx="33">
                  <c:v>-0.29132285346256892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58-405A-BB03-B4979193B32B}"/>
            </c:ext>
          </c:extLst>
        </c:ser>
        <c:ser>
          <c:idx val="11"/>
          <c:order val="10"/>
          <c:tx>
            <c:strRef>
              <c:f>'Table S4'!$B$98</c:f>
              <c:strCache>
                <c:ptCount val="1"/>
                <c:pt idx="0">
                  <c:v>Slovakia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S4'!$C$98:$AJ$98</c:f>
              <c:numCache>
                <c:formatCode>0.00</c:formatCode>
                <c:ptCount val="34"/>
                <c:pt idx="0">
                  <c:v>-0.18618721951122016</c:v>
                </c:pt>
                <c:pt idx="1">
                  <c:v>-0.16626988046318475</c:v>
                </c:pt>
                <c:pt idx="2">
                  <c:v>-0.13063775855052223</c:v>
                </c:pt>
                <c:pt idx="3">
                  <c:v>-0.16271104184346272</c:v>
                </c:pt>
                <c:pt idx="4">
                  <c:v>-0.15890160979885712</c:v>
                </c:pt>
                <c:pt idx="5">
                  <c:v>-0.14269090801143164</c:v>
                </c:pt>
                <c:pt idx="6">
                  <c:v>-0.15341059555597855</c:v>
                </c:pt>
                <c:pt idx="7">
                  <c:v>-0.16318604233615966</c:v>
                </c:pt>
                <c:pt idx="8">
                  <c:v>-0.21991235039638773</c:v>
                </c:pt>
                <c:pt idx="9">
                  <c:v>-0.23922802892725903</c:v>
                </c:pt>
                <c:pt idx="10">
                  <c:v>-0.23885839848221874</c:v>
                </c:pt>
                <c:pt idx="11">
                  <c:v>-0.18250128083138398</c:v>
                </c:pt>
                <c:pt idx="12">
                  <c:v>-0.21342211515336504</c:v>
                </c:pt>
                <c:pt idx="13">
                  <c:v>-0.22085962672693568</c:v>
                </c:pt>
                <c:pt idx="14">
                  <c:v>-0.23313140865218429</c:v>
                </c:pt>
                <c:pt idx="15">
                  <c:v>-0.22508238371727285</c:v>
                </c:pt>
                <c:pt idx="16">
                  <c:v>-0.26948107563625157</c:v>
                </c:pt>
                <c:pt idx="17">
                  <c:v>-0.27847876222010021</c:v>
                </c:pt>
                <c:pt idx="18">
                  <c:v>-0.25167844090354641</c:v>
                </c:pt>
                <c:pt idx="19">
                  <c:v>-0.22906633370329418</c:v>
                </c:pt>
                <c:pt idx="20">
                  <c:v>-0.20545562839287196</c:v>
                </c:pt>
                <c:pt idx="21">
                  <c:v>-0.19329271285890981</c:v>
                </c:pt>
                <c:pt idx="22">
                  <c:v>-0.17804958247577615</c:v>
                </c:pt>
                <c:pt idx="23">
                  <c:v>-0.18011988355879893</c:v>
                </c:pt>
                <c:pt idx="24">
                  <c:v>-0.16948863213355186</c:v>
                </c:pt>
                <c:pt idx="25">
                  <c:v>-0.18857777911023213</c:v>
                </c:pt>
                <c:pt idx="26">
                  <c:v>-0.19603567584950451</c:v>
                </c:pt>
                <c:pt idx="27">
                  <c:v>-0.19929588501481554</c:v>
                </c:pt>
                <c:pt idx="28">
                  <c:v>-0.18015431885332756</c:v>
                </c:pt>
                <c:pt idx="29">
                  <c:v>-0.17634271908998503</c:v>
                </c:pt>
                <c:pt idx="30">
                  <c:v>-0.18065140755548986</c:v>
                </c:pt>
                <c:pt idx="31">
                  <c:v>-0.18740074769000312</c:v>
                </c:pt>
                <c:pt idx="32">
                  <c:v>-0.16829948777910209</c:v>
                </c:pt>
                <c:pt idx="33">
                  <c:v>-0.1917677970727476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658-405A-BB03-B4979193B32B}"/>
            </c:ext>
          </c:extLst>
        </c:ser>
        <c:ser>
          <c:idx val="12"/>
          <c:order val="11"/>
          <c:tx>
            <c:strRef>
              <c:f>'Table S4'!$B$99</c:f>
              <c:strCache>
                <c:ptCount val="1"/>
                <c:pt idx="0">
                  <c:v>Slovenia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S4'!$C$99:$AJ$99</c:f>
              <c:numCache>
                <c:formatCode>0.00</c:formatCode>
                <c:ptCount val="34"/>
                <c:pt idx="0">
                  <c:v>-3.484049883901843</c:v>
                </c:pt>
                <c:pt idx="1">
                  <c:v>-2.1785500992424112</c:v>
                </c:pt>
                <c:pt idx="2">
                  <c:v>-1.5844055093729899</c:v>
                </c:pt>
                <c:pt idx="3">
                  <c:v>-1.2105612483619759</c:v>
                </c:pt>
                <c:pt idx="4">
                  <c:v>-1.1180372115143176</c:v>
                </c:pt>
                <c:pt idx="5">
                  <c:v>-0.99328076823178524</c:v>
                </c:pt>
                <c:pt idx="6">
                  <c:v>-0.98022780022884415</c:v>
                </c:pt>
                <c:pt idx="7">
                  <c:v>-0.79882174654852611</c:v>
                </c:pt>
                <c:pt idx="8">
                  <c:v>-0.84117736492314887</c:v>
                </c:pt>
                <c:pt idx="9">
                  <c:v>-0.74381702938484728</c:v>
                </c:pt>
                <c:pt idx="10">
                  <c:v>-0.73674165122952429</c:v>
                </c:pt>
                <c:pt idx="11">
                  <c:v>-0.68218643652684618</c:v>
                </c:pt>
                <c:pt idx="12">
                  <c:v>-0.6577170602136686</c:v>
                </c:pt>
                <c:pt idx="13">
                  <c:v>-0.69277556745826885</c:v>
                </c:pt>
                <c:pt idx="14">
                  <c:v>-0.7321317813061281</c:v>
                </c:pt>
                <c:pt idx="15">
                  <c:v>-0.76097626150137421</c:v>
                </c:pt>
                <c:pt idx="16">
                  <c:v>-0.79670230995311664</c:v>
                </c:pt>
                <c:pt idx="17">
                  <c:v>-0.87666233600733479</c:v>
                </c:pt>
                <c:pt idx="18">
                  <c:v>-0.80506856715273101</c:v>
                </c:pt>
                <c:pt idx="19">
                  <c:v>-0.76633772203677208</c:v>
                </c:pt>
                <c:pt idx="20">
                  <c:v>-0.72238946046984398</c:v>
                </c:pt>
                <c:pt idx="21">
                  <c:v>-0.72829088852586632</c:v>
                </c:pt>
                <c:pt idx="22">
                  <c:v>-0.77973932653966449</c:v>
                </c:pt>
                <c:pt idx="23">
                  <c:v>-0.80833251860105582</c:v>
                </c:pt>
                <c:pt idx="24">
                  <c:v>-0.27582518710560194</c:v>
                </c:pt>
                <c:pt idx="25">
                  <c:v>-0.29009548257268242</c:v>
                </c:pt>
                <c:pt idx="26">
                  <c:v>-0.28883708598253433</c:v>
                </c:pt>
                <c:pt idx="27">
                  <c:v>-0.29058998849849366</c:v>
                </c:pt>
                <c:pt idx="28">
                  <c:v>-0.31262112315751117</c:v>
                </c:pt>
                <c:pt idx="29">
                  <c:v>-1.945352189658381</c:v>
                </c:pt>
                <c:pt idx="30">
                  <c:v>-2.1099513561243346</c:v>
                </c:pt>
                <c:pt idx="31">
                  <c:v>-2.873831674330106</c:v>
                </c:pt>
                <c:pt idx="32">
                  <c:v>-4.470941823626986</c:v>
                </c:pt>
                <c:pt idx="33">
                  <c:v>-4.3584314063574645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58-405A-BB03-B4979193B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02047"/>
        <c:axId val="696603007"/>
      </c:lineChart>
      <c:catAx>
        <c:axId val="69660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6603007"/>
        <c:crosses val="autoZero"/>
        <c:auto val="1"/>
        <c:lblAlgn val="ctr"/>
        <c:lblOffset val="100"/>
        <c:noMultiLvlLbl val="0"/>
      </c:catAx>
      <c:valAx>
        <c:axId val="69660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660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'Table S4'!$B$24</c:f>
              <c:strCache>
                <c:ptCount val="1"/>
                <c:pt idx="0">
                  <c:v>AUT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'Table S4'!$C$24:$AJ$24</c:f>
              <c:numCache>
                <c:formatCode>0.00</c:formatCode>
                <c:ptCount val="34"/>
                <c:pt idx="0">
                  <c:v>0.62546484658120483</c:v>
                </c:pt>
                <c:pt idx="1">
                  <c:v>0.56221324543524775</c:v>
                </c:pt>
                <c:pt idx="2">
                  <c:v>0.5487055510106279</c:v>
                </c:pt>
                <c:pt idx="3">
                  <c:v>0.54027307769325805</c:v>
                </c:pt>
                <c:pt idx="4">
                  <c:v>0.61211409785950832</c:v>
                </c:pt>
                <c:pt idx="5">
                  <c:v>0.61904805161770537</c:v>
                </c:pt>
                <c:pt idx="6">
                  <c:v>0.65489671078168643</c:v>
                </c:pt>
                <c:pt idx="7">
                  <c:v>0.64302803831166355</c:v>
                </c:pt>
                <c:pt idx="8">
                  <c:v>0.64277158805291457</c:v>
                </c:pt>
                <c:pt idx="9">
                  <c:v>0.59952441136582146</c:v>
                </c:pt>
                <c:pt idx="10">
                  <c:v>0.5944342702899067</c:v>
                </c:pt>
                <c:pt idx="11">
                  <c:v>0.65230351080259463</c:v>
                </c:pt>
                <c:pt idx="12">
                  <c:v>0.72412905367008029</c:v>
                </c:pt>
                <c:pt idx="13">
                  <c:v>0.77809651208567832</c:v>
                </c:pt>
                <c:pt idx="14">
                  <c:v>0.73722092615152368</c:v>
                </c:pt>
                <c:pt idx="15">
                  <c:v>0.74720109168844639</c:v>
                </c:pt>
                <c:pt idx="16">
                  <c:v>0.78193496306980759</c:v>
                </c:pt>
                <c:pt idx="17">
                  <c:v>0.88266785681415127</c:v>
                </c:pt>
                <c:pt idx="18">
                  <c:v>0.88051417365219542</c:v>
                </c:pt>
                <c:pt idx="19">
                  <c:v>0.63674741636598875</c:v>
                </c:pt>
                <c:pt idx="20">
                  <c:v>0.72624140743115606</c:v>
                </c:pt>
                <c:pt idx="21">
                  <c:v>0.7475778475827467</c:v>
                </c:pt>
                <c:pt idx="22">
                  <c:v>0.70830155930795158</c:v>
                </c:pt>
                <c:pt idx="23">
                  <c:v>0.64425439978590204</c:v>
                </c:pt>
                <c:pt idx="24">
                  <c:v>0.65667930117939965</c:v>
                </c:pt>
                <c:pt idx="25">
                  <c:v>0.64612017173447633</c:v>
                </c:pt>
                <c:pt idx="26">
                  <c:v>0.63478636426120716</c:v>
                </c:pt>
                <c:pt idx="27">
                  <c:v>0.67270062898005933</c:v>
                </c:pt>
                <c:pt idx="28">
                  <c:v>0.69209753938278695</c:v>
                </c:pt>
                <c:pt idx="29">
                  <c:v>0.66024148737507893</c:v>
                </c:pt>
                <c:pt idx="30">
                  <c:v>0.56409375609278944</c:v>
                </c:pt>
                <c:pt idx="31">
                  <c:v>0.68263061205398756</c:v>
                </c:pt>
                <c:pt idx="32">
                  <c:v>0.69600250384371165</c:v>
                </c:pt>
                <c:pt idx="33">
                  <c:v>0.60614888650938403</c:v>
                </c:pt>
              </c:numCache>
            </c:numRef>
          </c:xVal>
          <c:yVal>
            <c:numRef>
              <c:f>'Table S4'!$C$57:$AJ$57</c:f>
              <c:numCache>
                <c:formatCode>0.00</c:formatCode>
                <c:ptCount val="34"/>
                <c:pt idx="0">
                  <c:v>-1.7922730508657219</c:v>
                </c:pt>
                <c:pt idx="1">
                  <c:v>-1.3099534129370616</c:v>
                </c:pt>
                <c:pt idx="2">
                  <c:v>-1.396879786074833</c:v>
                </c:pt>
                <c:pt idx="3">
                  <c:v>-1.3895769062907641</c:v>
                </c:pt>
                <c:pt idx="4">
                  <c:v>-1.6189166775239652</c:v>
                </c:pt>
                <c:pt idx="5">
                  <c:v>-1.4580082858427423</c:v>
                </c:pt>
                <c:pt idx="6">
                  <c:v>-1.575465472355186</c:v>
                </c:pt>
                <c:pt idx="7">
                  <c:v>-1.5458975898147167</c:v>
                </c:pt>
                <c:pt idx="8">
                  <c:v>-1.4717079090406746</c:v>
                </c:pt>
                <c:pt idx="9">
                  <c:v>-1.4742851884102595</c:v>
                </c:pt>
                <c:pt idx="10">
                  <c:v>-1.3872888171750282</c:v>
                </c:pt>
                <c:pt idx="11">
                  <c:v>-1.4062833029685597</c:v>
                </c:pt>
                <c:pt idx="12">
                  <c:v>-1.6986821681847724</c:v>
                </c:pt>
                <c:pt idx="13">
                  <c:v>-1.9365519118795698</c:v>
                </c:pt>
                <c:pt idx="14">
                  <c:v>-1.8759044434888312</c:v>
                </c:pt>
                <c:pt idx="15">
                  <c:v>-1.8726163388913069</c:v>
                </c:pt>
                <c:pt idx="16">
                  <c:v>-2.1681782593816874</c:v>
                </c:pt>
                <c:pt idx="17">
                  <c:v>-2.3963372635411941</c:v>
                </c:pt>
                <c:pt idx="18">
                  <c:v>-2.4534967285261171</c:v>
                </c:pt>
                <c:pt idx="19">
                  <c:v>-1.9190791629204034</c:v>
                </c:pt>
                <c:pt idx="20">
                  <c:v>-2.0341846821823562</c:v>
                </c:pt>
                <c:pt idx="21">
                  <c:v>-2.1465945486606111</c:v>
                </c:pt>
                <c:pt idx="22">
                  <c:v>-2.0767642369177017</c:v>
                </c:pt>
                <c:pt idx="23">
                  <c:v>-2.0021181685211737</c:v>
                </c:pt>
                <c:pt idx="24">
                  <c:v>-1.9773132739653927</c:v>
                </c:pt>
                <c:pt idx="25">
                  <c:v>-2.0520409346923234</c:v>
                </c:pt>
                <c:pt idx="26">
                  <c:v>-1.9610584657041317</c:v>
                </c:pt>
                <c:pt idx="27">
                  <c:v>-2.0641915029919038</c:v>
                </c:pt>
                <c:pt idx="28">
                  <c:v>-2.2391826729164417</c:v>
                </c:pt>
                <c:pt idx="29">
                  <c:v>-2.4641097281296132</c:v>
                </c:pt>
                <c:pt idx="30">
                  <c:v>-2.1971674264829293</c:v>
                </c:pt>
                <c:pt idx="31">
                  <c:v>-2.3933134460622365</c:v>
                </c:pt>
                <c:pt idx="32">
                  <c:v>-2.5275666042795342</c:v>
                </c:pt>
                <c:pt idx="33">
                  <c:v>-2.4850610657339702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E-4B73-A28D-40C54A9C3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82815"/>
        <c:axId val="576383775"/>
      </c:scatterChart>
      <c:valAx>
        <c:axId val="57638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HWP gain Mg C per 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6383775"/>
        <c:crosses val="autoZero"/>
        <c:crossBetween val="midCat"/>
      </c:valAx>
      <c:valAx>
        <c:axId val="5763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Biomass loss Mg C</a:t>
                </a:r>
                <a:r>
                  <a:rPr lang="de-DE" baseline="0"/>
                  <a:t> per ha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638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de-DE"/>
              <a:t>Austria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9632091443115"/>
          <c:y val="0.14828583373103468"/>
          <c:w val="0.56237697560532207"/>
          <c:h val="0.74694640916606114"/>
        </c:manualLayout>
      </c:layout>
      <c:scatterChart>
        <c:scatterStyle val="lineMarker"/>
        <c:varyColors val="0"/>
        <c:ser>
          <c:idx val="1"/>
          <c:order val="0"/>
          <c:tx>
            <c:v>AUT 1990-2008</c:v>
          </c:tx>
          <c:spPr>
            <a:ln w="25400">
              <a:noFill/>
            </a:ln>
          </c:spPr>
          <c:xVal>
            <c:numRef>
              <c:f>'Table S4'!$C$24:$U$24</c:f>
              <c:numCache>
                <c:formatCode>0.00</c:formatCode>
                <c:ptCount val="19"/>
                <c:pt idx="0">
                  <c:v>0.62546484658120483</c:v>
                </c:pt>
                <c:pt idx="1">
                  <c:v>0.56221324543524775</c:v>
                </c:pt>
                <c:pt idx="2">
                  <c:v>0.5487055510106279</c:v>
                </c:pt>
                <c:pt idx="3">
                  <c:v>0.54027307769325805</c:v>
                </c:pt>
                <c:pt idx="4">
                  <c:v>0.61211409785950832</c:v>
                </c:pt>
                <c:pt idx="5">
                  <c:v>0.61904805161770537</c:v>
                </c:pt>
                <c:pt idx="6">
                  <c:v>0.65489671078168643</c:v>
                </c:pt>
                <c:pt idx="7">
                  <c:v>0.64302803831166355</c:v>
                </c:pt>
                <c:pt idx="8">
                  <c:v>0.64277158805291457</c:v>
                </c:pt>
                <c:pt idx="9">
                  <c:v>0.59952441136582146</c:v>
                </c:pt>
                <c:pt idx="10">
                  <c:v>0.5944342702899067</c:v>
                </c:pt>
                <c:pt idx="11">
                  <c:v>0.65230351080259463</c:v>
                </c:pt>
                <c:pt idx="12">
                  <c:v>0.72412905367008029</c:v>
                </c:pt>
                <c:pt idx="13">
                  <c:v>0.77809651208567832</c:v>
                </c:pt>
                <c:pt idx="14">
                  <c:v>0.73722092615152368</c:v>
                </c:pt>
                <c:pt idx="15">
                  <c:v>0.74720109168844639</c:v>
                </c:pt>
                <c:pt idx="16">
                  <c:v>0.78193496306980759</c:v>
                </c:pt>
                <c:pt idx="17">
                  <c:v>0.88266785681415127</c:v>
                </c:pt>
                <c:pt idx="18">
                  <c:v>0.88051417365219542</c:v>
                </c:pt>
              </c:numCache>
            </c:numRef>
          </c:xVal>
          <c:yVal>
            <c:numRef>
              <c:f>'Table S4'!$C$57:$U$57</c:f>
              <c:numCache>
                <c:formatCode>0.00</c:formatCode>
                <c:ptCount val="19"/>
                <c:pt idx="0">
                  <c:v>-1.7922730508657219</c:v>
                </c:pt>
                <c:pt idx="1">
                  <c:v>-1.3099534129370616</c:v>
                </c:pt>
                <c:pt idx="2">
                  <c:v>-1.396879786074833</c:v>
                </c:pt>
                <c:pt idx="3">
                  <c:v>-1.3895769062907641</c:v>
                </c:pt>
                <c:pt idx="4">
                  <c:v>-1.6189166775239652</c:v>
                </c:pt>
                <c:pt idx="5">
                  <c:v>-1.4580082858427423</c:v>
                </c:pt>
                <c:pt idx="6">
                  <c:v>-1.575465472355186</c:v>
                </c:pt>
                <c:pt idx="7">
                  <c:v>-1.5458975898147167</c:v>
                </c:pt>
                <c:pt idx="8">
                  <c:v>-1.4717079090406746</c:v>
                </c:pt>
                <c:pt idx="9">
                  <c:v>-1.4742851884102595</c:v>
                </c:pt>
                <c:pt idx="10">
                  <c:v>-1.3872888171750282</c:v>
                </c:pt>
                <c:pt idx="11">
                  <c:v>-1.4062833029685597</c:v>
                </c:pt>
                <c:pt idx="12">
                  <c:v>-1.6986821681847724</c:v>
                </c:pt>
                <c:pt idx="13">
                  <c:v>-1.9365519118795698</c:v>
                </c:pt>
                <c:pt idx="14">
                  <c:v>-1.8759044434888312</c:v>
                </c:pt>
                <c:pt idx="15">
                  <c:v>-1.8726163388913069</c:v>
                </c:pt>
                <c:pt idx="16">
                  <c:v>-2.1681782593816874</c:v>
                </c:pt>
                <c:pt idx="17">
                  <c:v>-2.3963372635411941</c:v>
                </c:pt>
                <c:pt idx="18">
                  <c:v>-2.4534967285261171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F7-4E5A-AD52-F20159716FFA}"/>
            </c:ext>
          </c:extLst>
        </c:ser>
        <c:ser>
          <c:idx val="2"/>
          <c:order val="1"/>
          <c:tx>
            <c:v>AUT 2018-2023</c:v>
          </c:tx>
          <c:spPr>
            <a:ln w="25400" cap="rnd">
              <a:noFill/>
              <a:round/>
            </a:ln>
            <a:effectLst/>
          </c:spPr>
          <c:xVal>
            <c:numRef>
              <c:f>'Table S4'!$AE$24:$AJ$24</c:f>
              <c:numCache>
                <c:formatCode>0.00</c:formatCode>
                <c:ptCount val="6"/>
                <c:pt idx="0">
                  <c:v>0.69209753938278695</c:v>
                </c:pt>
                <c:pt idx="1">
                  <c:v>0.66024148737507893</c:v>
                </c:pt>
                <c:pt idx="2">
                  <c:v>0.56409375609278944</c:v>
                </c:pt>
                <c:pt idx="3">
                  <c:v>0.68263061205398756</c:v>
                </c:pt>
                <c:pt idx="4">
                  <c:v>0.69600250384371165</c:v>
                </c:pt>
                <c:pt idx="5">
                  <c:v>0.60614888650938403</c:v>
                </c:pt>
              </c:numCache>
            </c:numRef>
          </c:xVal>
          <c:yVal>
            <c:numRef>
              <c:f>'Table S4'!$AE$57:$AJ$57</c:f>
              <c:numCache>
                <c:formatCode>0.00</c:formatCode>
                <c:ptCount val="6"/>
                <c:pt idx="0">
                  <c:v>-2.2391826729164417</c:v>
                </c:pt>
                <c:pt idx="1">
                  <c:v>-2.4641097281296132</c:v>
                </c:pt>
                <c:pt idx="2">
                  <c:v>-2.1971674264829293</c:v>
                </c:pt>
                <c:pt idx="3">
                  <c:v>-2.3933134460622365</c:v>
                </c:pt>
                <c:pt idx="4">
                  <c:v>-2.5275666042795342</c:v>
                </c:pt>
                <c:pt idx="5">
                  <c:v>-2.4850610657339702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F7-4E5A-AD52-F20159716FFA}"/>
            </c:ext>
          </c:extLst>
        </c:ser>
        <c:ser>
          <c:idx val="3"/>
          <c:order val="2"/>
          <c:tx>
            <c:v>AUT 2009-2017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</c:marker>
          <c:xVal>
            <c:numRef>
              <c:f>'Table S4'!$V$24:$AD$24</c:f>
              <c:numCache>
                <c:formatCode>0.00</c:formatCode>
                <c:ptCount val="9"/>
                <c:pt idx="0">
                  <c:v>0.63674741636598875</c:v>
                </c:pt>
                <c:pt idx="1">
                  <c:v>0.72624140743115606</c:v>
                </c:pt>
                <c:pt idx="2">
                  <c:v>0.7475778475827467</c:v>
                </c:pt>
                <c:pt idx="3">
                  <c:v>0.70830155930795158</c:v>
                </c:pt>
                <c:pt idx="4">
                  <c:v>0.64425439978590204</c:v>
                </c:pt>
                <c:pt idx="5">
                  <c:v>0.65667930117939965</c:v>
                </c:pt>
                <c:pt idx="6">
                  <c:v>0.64612017173447633</c:v>
                </c:pt>
                <c:pt idx="7">
                  <c:v>0.63478636426120716</c:v>
                </c:pt>
                <c:pt idx="8">
                  <c:v>0.67270062898005933</c:v>
                </c:pt>
              </c:numCache>
            </c:numRef>
          </c:xVal>
          <c:yVal>
            <c:numRef>
              <c:f>'Table S4'!$V$57:$AD$57</c:f>
              <c:numCache>
                <c:formatCode>0.00</c:formatCode>
                <c:ptCount val="9"/>
                <c:pt idx="0">
                  <c:v>-1.9190791629204034</c:v>
                </c:pt>
                <c:pt idx="1">
                  <c:v>-2.0341846821823562</c:v>
                </c:pt>
                <c:pt idx="2">
                  <c:v>-2.1465945486606111</c:v>
                </c:pt>
                <c:pt idx="3">
                  <c:v>-2.0767642369177017</c:v>
                </c:pt>
                <c:pt idx="4">
                  <c:v>-2.0021181685211737</c:v>
                </c:pt>
                <c:pt idx="5">
                  <c:v>-1.9773132739653927</c:v>
                </c:pt>
                <c:pt idx="6">
                  <c:v>-2.0520409346923234</c:v>
                </c:pt>
                <c:pt idx="7">
                  <c:v>-1.9610584657041317</c:v>
                </c:pt>
                <c:pt idx="8">
                  <c:v>-2.0641915029919038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F7-4E5A-AD52-F20159716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82815"/>
        <c:axId val="576383775"/>
      </c:scatterChart>
      <c:valAx>
        <c:axId val="57638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de-DE"/>
                  <a:t>HWP gain Mg C per 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576383775"/>
        <c:crosses val="autoZero"/>
        <c:crossBetween val="midCat"/>
      </c:valAx>
      <c:valAx>
        <c:axId val="5763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Biomass loss Mg C per 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5763828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'Table S4'!$B$88</c:f>
              <c:strCache>
                <c:ptCount val="1"/>
                <c:pt idx="0">
                  <c:v>Austria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S4'!$C$88:$AJ$88</c:f>
              <c:numCache>
                <c:formatCode>0.00</c:formatCode>
                <c:ptCount val="34"/>
                <c:pt idx="0">
                  <c:v>-0.34897854781618598</c:v>
                </c:pt>
                <c:pt idx="1">
                  <c:v>-0.42918567934007895</c:v>
                </c:pt>
                <c:pt idx="2">
                  <c:v>-0.39280799713801062</c:v>
                </c:pt>
                <c:pt idx="3">
                  <c:v>-0.38880401311174911</c:v>
                </c:pt>
                <c:pt idx="4">
                  <c:v>-0.37810105137449057</c:v>
                </c:pt>
                <c:pt idx="5">
                  <c:v>-0.42458472810385289</c:v>
                </c:pt>
                <c:pt idx="6">
                  <c:v>-0.41568458482474513</c:v>
                </c:pt>
                <c:pt idx="7">
                  <c:v>-0.41595772096955891</c:v>
                </c:pt>
                <c:pt idx="8">
                  <c:v>-0.43675214633581877</c:v>
                </c:pt>
                <c:pt idx="9">
                  <c:v>-0.40665430004916231</c:v>
                </c:pt>
                <c:pt idx="10">
                  <c:v>-0.42848631296572293</c:v>
                </c:pt>
                <c:pt idx="11">
                  <c:v>-0.46384928941816367</c:v>
                </c:pt>
                <c:pt idx="12">
                  <c:v>-0.42628872383106919</c:v>
                </c:pt>
                <c:pt idx="13">
                  <c:v>-0.40179481237374987</c:v>
                </c:pt>
                <c:pt idx="14">
                  <c:v>-0.39299492504022793</c:v>
                </c:pt>
                <c:pt idx="15">
                  <c:v>-0.39901451043134178</c:v>
                </c:pt>
                <c:pt idx="16">
                  <c:v>-0.36064145541833664</c:v>
                </c:pt>
                <c:pt idx="17">
                  <c:v>-0.36834041278053925</c:v>
                </c:pt>
                <c:pt idx="18">
                  <c:v>-0.35888133186187066</c:v>
                </c:pt>
                <c:pt idx="19">
                  <c:v>-0.33179841075289651</c:v>
                </c:pt>
                <c:pt idx="20">
                  <c:v>-0.35701842305292297</c:v>
                </c:pt>
                <c:pt idx="21">
                  <c:v>-0.34826225010643269</c:v>
                </c:pt>
                <c:pt idx="22">
                  <c:v>-0.34106016788848442</c:v>
                </c:pt>
                <c:pt idx="23">
                  <c:v>-0.32178640098040179</c:v>
                </c:pt>
                <c:pt idx="24">
                  <c:v>-0.33210685925476319</c:v>
                </c:pt>
                <c:pt idx="25">
                  <c:v>-0.31486709685513831</c:v>
                </c:pt>
                <c:pt idx="26">
                  <c:v>-0.32369578743450805</c:v>
                </c:pt>
                <c:pt idx="27">
                  <c:v>-0.32589061044240614</c:v>
                </c:pt>
                <c:pt idx="28">
                  <c:v>-0.3090848941240506</c:v>
                </c:pt>
                <c:pt idx="29">
                  <c:v>-0.26794321691032663</c:v>
                </c:pt>
                <c:pt idx="30">
                  <c:v>-0.25673680999164955</c:v>
                </c:pt>
                <c:pt idx="31">
                  <c:v>-0.28522407425451629</c:v>
                </c:pt>
                <c:pt idx="32">
                  <c:v>-0.27536465415600886</c:v>
                </c:pt>
                <c:pt idx="33">
                  <c:v>-0.24391709920832716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7-4DCE-AB97-45C1B0C29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02047"/>
        <c:axId val="696603007"/>
      </c:lineChart>
      <c:catAx>
        <c:axId val="69660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6603007"/>
        <c:crosses val="autoZero"/>
        <c:auto val="1"/>
        <c:lblAlgn val="ctr"/>
        <c:lblOffset val="100"/>
        <c:noMultiLvlLbl val="0"/>
      </c:catAx>
      <c:valAx>
        <c:axId val="69660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660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'Table S4'!$B$88</c:f>
              <c:strCache>
                <c:ptCount val="1"/>
                <c:pt idx="0">
                  <c:v>Austria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S4'!$C$88:$AJ$88</c:f>
              <c:numCache>
                <c:formatCode>0.00</c:formatCode>
                <c:ptCount val="34"/>
                <c:pt idx="0">
                  <c:v>-0.34897854781618598</c:v>
                </c:pt>
                <c:pt idx="1">
                  <c:v>-0.42918567934007895</c:v>
                </c:pt>
                <c:pt idx="2">
                  <c:v>-0.39280799713801062</c:v>
                </c:pt>
                <c:pt idx="3">
                  <c:v>-0.38880401311174911</c:v>
                </c:pt>
                <c:pt idx="4">
                  <c:v>-0.37810105137449057</c:v>
                </c:pt>
                <c:pt idx="5">
                  <c:v>-0.42458472810385289</c:v>
                </c:pt>
                <c:pt idx="6">
                  <c:v>-0.41568458482474513</c:v>
                </c:pt>
                <c:pt idx="7">
                  <c:v>-0.41595772096955891</c:v>
                </c:pt>
                <c:pt idx="8">
                  <c:v>-0.43675214633581877</c:v>
                </c:pt>
                <c:pt idx="9">
                  <c:v>-0.40665430004916231</c:v>
                </c:pt>
                <c:pt idx="10">
                  <c:v>-0.42848631296572293</c:v>
                </c:pt>
                <c:pt idx="11">
                  <c:v>-0.46384928941816367</c:v>
                </c:pt>
                <c:pt idx="12">
                  <c:v>-0.42628872383106919</c:v>
                </c:pt>
                <c:pt idx="13">
                  <c:v>-0.40179481237374987</c:v>
                </c:pt>
                <c:pt idx="14">
                  <c:v>-0.39299492504022793</c:v>
                </c:pt>
                <c:pt idx="15">
                  <c:v>-0.39901451043134178</c:v>
                </c:pt>
                <c:pt idx="16">
                  <c:v>-0.36064145541833664</c:v>
                </c:pt>
                <c:pt idx="17">
                  <c:v>-0.36834041278053925</c:v>
                </c:pt>
                <c:pt idx="18">
                  <c:v>-0.35888133186187066</c:v>
                </c:pt>
                <c:pt idx="19">
                  <c:v>-0.33179841075289651</c:v>
                </c:pt>
                <c:pt idx="20">
                  <c:v>-0.35701842305292297</c:v>
                </c:pt>
                <c:pt idx="21">
                  <c:v>-0.34826225010643269</c:v>
                </c:pt>
                <c:pt idx="22">
                  <c:v>-0.34106016788848442</c:v>
                </c:pt>
                <c:pt idx="23">
                  <c:v>-0.32178640098040179</c:v>
                </c:pt>
                <c:pt idx="24">
                  <c:v>-0.33210685925476319</c:v>
                </c:pt>
                <c:pt idx="25">
                  <c:v>-0.31486709685513831</c:v>
                </c:pt>
                <c:pt idx="26">
                  <c:v>-0.32369578743450805</c:v>
                </c:pt>
                <c:pt idx="27">
                  <c:v>-0.32589061044240614</c:v>
                </c:pt>
                <c:pt idx="28">
                  <c:v>-0.3090848941240506</c:v>
                </c:pt>
                <c:pt idx="29">
                  <c:v>-0.26794321691032663</c:v>
                </c:pt>
                <c:pt idx="30">
                  <c:v>-0.25673680999164955</c:v>
                </c:pt>
                <c:pt idx="31">
                  <c:v>-0.28522407425451629</c:v>
                </c:pt>
                <c:pt idx="32">
                  <c:v>-0.27536465415600886</c:v>
                </c:pt>
                <c:pt idx="33">
                  <c:v>-0.24391709920832716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9-4D25-8B5D-A0DEC8696BDB}"/>
            </c:ext>
          </c:extLst>
        </c:ser>
        <c:ser>
          <c:idx val="2"/>
          <c:order val="1"/>
          <c:tx>
            <c:strRef>
              <c:f>'Table S4'!$B$89</c:f>
              <c:strCache>
                <c:ptCount val="1"/>
                <c:pt idx="0">
                  <c:v>Croatia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S4'!$C$89:$AJ$89</c:f>
              <c:numCache>
                <c:formatCode>0.00</c:formatCode>
                <c:ptCount val="34"/>
                <c:pt idx="0">
                  <c:v>-0.23262872556729541</c:v>
                </c:pt>
                <c:pt idx="1">
                  <c:v>-0.1972792533069431</c:v>
                </c:pt>
                <c:pt idx="2">
                  <c:v>-0.16870295244369909</c:v>
                </c:pt>
                <c:pt idx="3">
                  <c:v>-0.1911262021894784</c:v>
                </c:pt>
                <c:pt idx="4">
                  <c:v>-0.19317715879951661</c:v>
                </c:pt>
                <c:pt idx="5">
                  <c:v>-0.20793303841015512</c:v>
                </c:pt>
                <c:pt idx="6">
                  <c:v>-0.18816599060545575</c:v>
                </c:pt>
                <c:pt idx="7">
                  <c:v>-0.14152936561441865</c:v>
                </c:pt>
                <c:pt idx="8">
                  <c:v>-0.15344822756549129</c:v>
                </c:pt>
                <c:pt idx="9">
                  <c:v>-0.16193786481891798</c:v>
                </c:pt>
                <c:pt idx="10">
                  <c:v>-0.15317280951202994</c:v>
                </c:pt>
                <c:pt idx="11">
                  <c:v>-0.19803328693437508</c:v>
                </c:pt>
                <c:pt idx="12">
                  <c:v>-0.21290779354055311</c:v>
                </c:pt>
                <c:pt idx="13">
                  <c:v>-0.19441588896140591</c:v>
                </c:pt>
                <c:pt idx="14">
                  <c:v>-0.19217722374863302</c:v>
                </c:pt>
                <c:pt idx="15">
                  <c:v>-0.22568876921079226</c:v>
                </c:pt>
                <c:pt idx="16">
                  <c:v>-0.22400016175097054</c:v>
                </c:pt>
                <c:pt idx="17">
                  <c:v>-0.21348893524045653</c:v>
                </c:pt>
                <c:pt idx="18">
                  <c:v>-0.21786980580019671</c:v>
                </c:pt>
                <c:pt idx="19">
                  <c:v>-0.21126833168208578</c:v>
                </c:pt>
                <c:pt idx="20">
                  <c:v>-0.21891333484422637</c:v>
                </c:pt>
                <c:pt idx="21">
                  <c:v>-0.19775535393068394</c:v>
                </c:pt>
                <c:pt idx="22">
                  <c:v>-0.20144325695041179</c:v>
                </c:pt>
                <c:pt idx="23">
                  <c:v>-0.20926011479002604</c:v>
                </c:pt>
                <c:pt idx="24">
                  <c:v>-0.20461702531505077</c:v>
                </c:pt>
                <c:pt idx="25">
                  <c:v>-0.21469731583348997</c:v>
                </c:pt>
                <c:pt idx="26">
                  <c:v>-0.21193511942577392</c:v>
                </c:pt>
                <c:pt idx="27">
                  <c:v>-0.23251981980061326</c:v>
                </c:pt>
                <c:pt idx="28">
                  <c:v>-0.20208514624078516</c:v>
                </c:pt>
                <c:pt idx="29">
                  <c:v>-0.20626310479203133</c:v>
                </c:pt>
                <c:pt idx="30">
                  <c:v>-0.20137595848384629</c:v>
                </c:pt>
                <c:pt idx="31">
                  <c:v>-0.20147824654760638</c:v>
                </c:pt>
                <c:pt idx="32">
                  <c:v>-0.17035183599066506</c:v>
                </c:pt>
                <c:pt idx="33">
                  <c:v>-0.17343350867329907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9-4D25-8B5D-A0DEC8696BDB}"/>
            </c:ext>
          </c:extLst>
        </c:ser>
        <c:ser>
          <c:idx val="3"/>
          <c:order val="2"/>
          <c:tx>
            <c:strRef>
              <c:f>'Table S4'!$B$90</c:f>
              <c:strCache>
                <c:ptCount val="1"/>
                <c:pt idx="0">
                  <c:v>Czechia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S4'!$C$90:$AJ$90</c:f>
              <c:numCache>
                <c:formatCode>0.00</c:formatCode>
                <c:ptCount val="34"/>
                <c:pt idx="0">
                  <c:v>-0.31170767501943292</c:v>
                </c:pt>
                <c:pt idx="1">
                  <c:v>-0.28754487648168853</c:v>
                </c:pt>
                <c:pt idx="2">
                  <c:v>-0.21906511947575488</c:v>
                </c:pt>
                <c:pt idx="3">
                  <c:v>-0.29152468909350099</c:v>
                </c:pt>
                <c:pt idx="4">
                  <c:v>-0.25748250270029105</c:v>
                </c:pt>
                <c:pt idx="5">
                  <c:v>-0.26875963376162332</c:v>
                </c:pt>
                <c:pt idx="6">
                  <c:v>-0.26046512666992405</c:v>
                </c:pt>
                <c:pt idx="7">
                  <c:v>-0.24308208174406346</c:v>
                </c:pt>
                <c:pt idx="8">
                  <c:v>-0.23013038972550964</c:v>
                </c:pt>
                <c:pt idx="9">
                  <c:v>-0.23350431133820493</c:v>
                </c:pt>
                <c:pt idx="10">
                  <c:v>-0.25584332874897658</c:v>
                </c:pt>
                <c:pt idx="11">
                  <c:v>-0.25699829225733706</c:v>
                </c:pt>
                <c:pt idx="12">
                  <c:v>-0.25281147914354984</c:v>
                </c:pt>
                <c:pt idx="13">
                  <c:v>-0.26727034620019607</c:v>
                </c:pt>
                <c:pt idx="14">
                  <c:v>-0.26582883427486315</c:v>
                </c:pt>
                <c:pt idx="15">
                  <c:v>-0.26474898673105185</c:v>
                </c:pt>
                <c:pt idx="16">
                  <c:v>-0.27931529343088579</c:v>
                </c:pt>
                <c:pt idx="17">
                  <c:v>-0.29432338306532135</c:v>
                </c:pt>
                <c:pt idx="18">
                  <c:v>-0.29540941940978394</c:v>
                </c:pt>
                <c:pt idx="19">
                  <c:v>-0.25713937461109665</c:v>
                </c:pt>
                <c:pt idx="20">
                  <c:v>-0.26495434750883451</c:v>
                </c:pt>
                <c:pt idx="21">
                  <c:v>-0.25789098123676135</c:v>
                </c:pt>
                <c:pt idx="22">
                  <c:v>-0.24544047690242735</c:v>
                </c:pt>
                <c:pt idx="23">
                  <c:v>-0.20964491506183205</c:v>
                </c:pt>
                <c:pt idx="24">
                  <c:v>-0.20327374460121411</c:v>
                </c:pt>
                <c:pt idx="25">
                  <c:v>-0.21393885514093494</c:v>
                </c:pt>
                <c:pt idx="26">
                  <c:v>-0.21383055037708892</c:v>
                </c:pt>
                <c:pt idx="27">
                  <c:v>-0.20737194464575942</c:v>
                </c:pt>
                <c:pt idx="28">
                  <c:v>-0.17090152954190799</c:v>
                </c:pt>
                <c:pt idx="29">
                  <c:v>-0.14749703366549505</c:v>
                </c:pt>
                <c:pt idx="30">
                  <c:v>-0.16041865243966211</c:v>
                </c:pt>
                <c:pt idx="31">
                  <c:v>-0.18004206528122471</c:v>
                </c:pt>
                <c:pt idx="32">
                  <c:v>-0.20249353867073291</c:v>
                </c:pt>
                <c:pt idx="33">
                  <c:v>-0.24071921729880175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C9-4D25-8B5D-A0DEC8696BDB}"/>
            </c:ext>
          </c:extLst>
        </c:ser>
        <c:ser>
          <c:idx val="4"/>
          <c:order val="3"/>
          <c:tx>
            <c:strRef>
              <c:f>'Table S4'!$B$91</c:f>
              <c:strCache>
                <c:ptCount val="1"/>
                <c:pt idx="0">
                  <c:v>Estonia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S4'!$C$91:$AJ$91</c:f>
              <c:numCache>
                <c:formatCode>0.00</c:formatCode>
                <c:ptCount val="34"/>
                <c:pt idx="0">
                  <c:v>-0.95553658963461019</c:v>
                </c:pt>
                <c:pt idx="1">
                  <c:v>-0.60995819117512484</c:v>
                </c:pt>
                <c:pt idx="2">
                  <c:v>-0.36649491200174694</c:v>
                </c:pt>
                <c:pt idx="3">
                  <c:v>-0.32309781443054858</c:v>
                </c:pt>
                <c:pt idx="4">
                  <c:v>-0.27860806108186537</c:v>
                </c:pt>
                <c:pt idx="5">
                  <c:v>-0.24202772810846315</c:v>
                </c:pt>
                <c:pt idx="6">
                  <c:v>-0.2351301355348546</c:v>
                </c:pt>
                <c:pt idx="7">
                  <c:v>-0.26158306350032595</c:v>
                </c:pt>
                <c:pt idx="8">
                  <c:v>-0.21381719018126974</c:v>
                </c:pt>
                <c:pt idx="9">
                  <c:v>-0.21318705127514634</c:v>
                </c:pt>
                <c:pt idx="10">
                  <c:v>-0.21040994250135944</c:v>
                </c:pt>
                <c:pt idx="11">
                  <c:v>-0.18740570478924623</c:v>
                </c:pt>
                <c:pt idx="12">
                  <c:v>-0.15583700215765875</c:v>
                </c:pt>
                <c:pt idx="13">
                  <c:v>-0.18598812000780673</c:v>
                </c:pt>
                <c:pt idx="14">
                  <c:v>-0.17089120649638923</c:v>
                </c:pt>
                <c:pt idx="15">
                  <c:v>-0.18765423563586853</c:v>
                </c:pt>
                <c:pt idx="16">
                  <c:v>-0.23413498181944564</c:v>
                </c:pt>
                <c:pt idx="17">
                  <c:v>-0.25143831201895611</c:v>
                </c:pt>
                <c:pt idx="18">
                  <c:v>-0.27715407400513514</c:v>
                </c:pt>
                <c:pt idx="19">
                  <c:v>-0.28242187659355028</c:v>
                </c:pt>
                <c:pt idx="20">
                  <c:v>-0.26570190398451082</c:v>
                </c:pt>
                <c:pt idx="21">
                  <c:v>-0.18839344281559492</c:v>
                </c:pt>
                <c:pt idx="22">
                  <c:v>-0.15959903116485688</c:v>
                </c:pt>
                <c:pt idx="23">
                  <c:v>-0.15318424788318308</c:v>
                </c:pt>
                <c:pt idx="24">
                  <c:v>-0.16466053002116685</c:v>
                </c:pt>
                <c:pt idx="25">
                  <c:v>-0.17811159904786045</c:v>
                </c:pt>
                <c:pt idx="26">
                  <c:v>-0.18274585713310013</c:v>
                </c:pt>
                <c:pt idx="27">
                  <c:v>-0.18222607247984191</c:v>
                </c:pt>
                <c:pt idx="28">
                  <c:v>-0.16724603629981566</c:v>
                </c:pt>
                <c:pt idx="29">
                  <c:v>-0.16279947961481642</c:v>
                </c:pt>
                <c:pt idx="30">
                  <c:v>-0.19135309675656687</c:v>
                </c:pt>
                <c:pt idx="31">
                  <c:v>-0.19885430823900227</c:v>
                </c:pt>
                <c:pt idx="32">
                  <c:v>-0.18794069531603785</c:v>
                </c:pt>
                <c:pt idx="33">
                  <c:v>-0.14891736161978697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C9-4D25-8B5D-A0DEC8696BDB}"/>
            </c:ext>
          </c:extLst>
        </c:ser>
        <c:ser>
          <c:idx val="5"/>
          <c:order val="4"/>
          <c:tx>
            <c:strRef>
              <c:f>'Table S4'!$B$92</c:f>
              <c:strCache>
                <c:ptCount val="1"/>
                <c:pt idx="0">
                  <c:v>Finland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S4'!$C$92:$AJ$92</c:f>
              <c:numCache>
                <c:formatCode>0.00</c:formatCode>
                <c:ptCount val="34"/>
                <c:pt idx="0">
                  <c:v>-0.26333512057169722</c:v>
                </c:pt>
                <c:pt idx="1">
                  <c:v>-0.29477644593608571</c:v>
                </c:pt>
                <c:pt idx="2">
                  <c:v>-0.26641048684033197</c:v>
                </c:pt>
                <c:pt idx="3">
                  <c:v>-0.28814885756398173</c:v>
                </c:pt>
                <c:pt idx="4">
                  <c:v>-0.27723573682865837</c:v>
                </c:pt>
                <c:pt idx="5">
                  <c:v>-0.26811457186248633</c:v>
                </c:pt>
                <c:pt idx="6">
                  <c:v>-0.28386113277719338</c:v>
                </c:pt>
                <c:pt idx="7">
                  <c:v>-0.28971143105964009</c:v>
                </c:pt>
                <c:pt idx="8">
                  <c:v>-0.28316876021567011</c:v>
                </c:pt>
                <c:pt idx="9">
                  <c:v>-0.28250587623553874</c:v>
                </c:pt>
                <c:pt idx="10">
                  <c:v>-0.28213770985377867</c:v>
                </c:pt>
                <c:pt idx="11">
                  <c:v>-0.26602530647160927</c:v>
                </c:pt>
                <c:pt idx="12">
                  <c:v>-0.26627659521083635</c:v>
                </c:pt>
                <c:pt idx="13">
                  <c:v>-0.26983640302445938</c:v>
                </c:pt>
                <c:pt idx="14">
                  <c:v>-0.2754634458570242</c:v>
                </c:pt>
                <c:pt idx="15">
                  <c:v>-0.24605729154549733</c:v>
                </c:pt>
                <c:pt idx="16">
                  <c:v>-0.28362248588909916</c:v>
                </c:pt>
                <c:pt idx="17">
                  <c:v>-0.2679089381570971</c:v>
                </c:pt>
                <c:pt idx="18">
                  <c:v>-0.24678585812542367</c:v>
                </c:pt>
                <c:pt idx="19">
                  <c:v>-0.24287605864224804</c:v>
                </c:pt>
                <c:pt idx="20">
                  <c:v>-0.23939158907913749</c:v>
                </c:pt>
                <c:pt idx="21">
                  <c:v>-0.23768505496715692</c:v>
                </c:pt>
                <c:pt idx="22">
                  <c:v>-0.23537228248267214</c:v>
                </c:pt>
                <c:pt idx="23">
                  <c:v>-0.22297922363361969</c:v>
                </c:pt>
                <c:pt idx="24">
                  <c:v>-0.23015771830991891</c:v>
                </c:pt>
                <c:pt idx="25">
                  <c:v>-0.22171326807356956</c:v>
                </c:pt>
                <c:pt idx="26">
                  <c:v>-0.22590399822173302</c:v>
                </c:pt>
                <c:pt idx="27">
                  <c:v>-0.23049562282740049</c:v>
                </c:pt>
                <c:pt idx="28">
                  <c:v>-0.22033215123896699</c:v>
                </c:pt>
                <c:pt idx="29">
                  <c:v>-0.22732299973248804</c:v>
                </c:pt>
                <c:pt idx="30">
                  <c:v>-0.21837898096304045</c:v>
                </c:pt>
                <c:pt idx="31">
                  <c:v>-0.21833810138196505</c:v>
                </c:pt>
                <c:pt idx="32">
                  <c:v>-0.21916066432319023</c:v>
                </c:pt>
                <c:pt idx="33">
                  <c:v>-0.21072234364588385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C9-4D25-8B5D-A0DEC8696BDB}"/>
            </c:ext>
          </c:extLst>
        </c:ser>
        <c:ser>
          <c:idx val="6"/>
          <c:order val="5"/>
          <c:tx>
            <c:strRef>
              <c:f>'Table S4'!$B$93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S4'!$C$93:$AJ$93</c:f>
              <c:numCache>
                <c:formatCode>0.00</c:formatCode>
                <c:ptCount val="34"/>
                <c:pt idx="0">
                  <c:v>-0.18221878939191544</c:v>
                </c:pt>
                <c:pt idx="1">
                  <c:v>-0.16995189097156144</c:v>
                </c:pt>
                <c:pt idx="2">
                  <c:v>-0.14886794415669721</c:v>
                </c:pt>
                <c:pt idx="3">
                  <c:v>-0.14131087348137356</c:v>
                </c:pt>
                <c:pt idx="4">
                  <c:v>-0.15033585149411241</c:v>
                </c:pt>
                <c:pt idx="5">
                  <c:v>-0.15657847827250321</c:v>
                </c:pt>
                <c:pt idx="6">
                  <c:v>-0.16039818572261891</c:v>
                </c:pt>
                <c:pt idx="7">
                  <c:v>-0.16500922577701305</c:v>
                </c:pt>
                <c:pt idx="8">
                  <c:v>-0.17227761987414608</c:v>
                </c:pt>
                <c:pt idx="9">
                  <c:v>-0.10292949142363859</c:v>
                </c:pt>
                <c:pt idx="10">
                  <c:v>-0.16243878759564365</c:v>
                </c:pt>
                <c:pt idx="11">
                  <c:v>-0.1781478701938049</c:v>
                </c:pt>
                <c:pt idx="12">
                  <c:v>-0.18278268675011156</c:v>
                </c:pt>
                <c:pt idx="13">
                  <c:v>-0.18857440413087506</c:v>
                </c:pt>
                <c:pt idx="14">
                  <c:v>-0.1947350335954226</c:v>
                </c:pt>
                <c:pt idx="15">
                  <c:v>-0.20258076374186373</c:v>
                </c:pt>
                <c:pt idx="16">
                  <c:v>-0.20591126814759722</c:v>
                </c:pt>
                <c:pt idx="17">
                  <c:v>-0.21129795961006434</c:v>
                </c:pt>
                <c:pt idx="18">
                  <c:v>-0.20228418070160847</c:v>
                </c:pt>
                <c:pt idx="19">
                  <c:v>-0.13415341466388747</c:v>
                </c:pt>
                <c:pt idx="20">
                  <c:v>-0.1808719999537349</c:v>
                </c:pt>
                <c:pt idx="21">
                  <c:v>-0.18982022983048411</c:v>
                </c:pt>
                <c:pt idx="22">
                  <c:v>-0.19036840197300253</c:v>
                </c:pt>
                <c:pt idx="23">
                  <c:v>-0.18590266487161788</c:v>
                </c:pt>
                <c:pt idx="24">
                  <c:v>-0.1733050629306844</c:v>
                </c:pt>
                <c:pt idx="25">
                  <c:v>-0.16216435704390952</c:v>
                </c:pt>
                <c:pt idx="26">
                  <c:v>-0.14810337025223408</c:v>
                </c:pt>
                <c:pt idx="27">
                  <c:v>-0.13704202698693072</c:v>
                </c:pt>
                <c:pt idx="28">
                  <c:v>-0.12783914448618416</c:v>
                </c:pt>
                <c:pt idx="29">
                  <c:v>-0.11899991219001294</c:v>
                </c:pt>
                <c:pt idx="30">
                  <c:v>-0.10641008685897958</c:v>
                </c:pt>
                <c:pt idx="31">
                  <c:v>-0.12180073331939997</c:v>
                </c:pt>
                <c:pt idx="32">
                  <c:v>-0.11978216010802674</c:v>
                </c:pt>
                <c:pt idx="33">
                  <c:v>-0.11527635998689531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C9-4D25-8B5D-A0DEC8696BDB}"/>
            </c:ext>
          </c:extLst>
        </c:ser>
        <c:ser>
          <c:idx val="7"/>
          <c:order val="6"/>
          <c:tx>
            <c:strRef>
              <c:f>'Table S4'!$B$94</c:f>
              <c:strCache>
                <c:ptCount val="1"/>
                <c:pt idx="0">
                  <c:v>Italy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S4'!$C$94:$AJ$94</c:f>
              <c:numCache>
                <c:formatCode>0.00</c:formatCode>
                <c:ptCount val="34"/>
                <c:pt idx="0">
                  <c:v>-5.5151079759101711E-2</c:v>
                </c:pt>
                <c:pt idx="1">
                  <c:v>-6.1219416354125554E-2</c:v>
                </c:pt>
                <c:pt idx="2">
                  <c:v>-5.0079764945238789E-2</c:v>
                </c:pt>
                <c:pt idx="3">
                  <c:v>-4.5726489071456454E-2</c:v>
                </c:pt>
                <c:pt idx="4">
                  <c:v>-4.8079489444800921E-2</c:v>
                </c:pt>
                <c:pt idx="5">
                  <c:v>-6.9524178415594717E-2</c:v>
                </c:pt>
                <c:pt idx="6">
                  <c:v>-7.059852721703827E-2</c:v>
                </c:pt>
                <c:pt idx="7">
                  <c:v>-5.850080121121979E-2</c:v>
                </c:pt>
                <c:pt idx="8">
                  <c:v>-6.331395286323703E-2</c:v>
                </c:pt>
                <c:pt idx="9">
                  <c:v>-6.7221272521261546E-2</c:v>
                </c:pt>
                <c:pt idx="10">
                  <c:v>-5.6774066108163608E-2</c:v>
                </c:pt>
                <c:pt idx="11">
                  <c:v>-5.7480431666597429E-2</c:v>
                </c:pt>
                <c:pt idx="12">
                  <c:v>-6.334879239691335E-2</c:v>
                </c:pt>
                <c:pt idx="13">
                  <c:v>-5.7259991179089677E-2</c:v>
                </c:pt>
                <c:pt idx="14">
                  <c:v>-6.5075360782232208E-2</c:v>
                </c:pt>
                <c:pt idx="15">
                  <c:v>-6.4612811183650254E-2</c:v>
                </c:pt>
                <c:pt idx="16">
                  <c:v>-6.8919832685291116E-2</c:v>
                </c:pt>
                <c:pt idx="17">
                  <c:v>-5.2937163539256857E-2</c:v>
                </c:pt>
                <c:pt idx="18">
                  <c:v>-6.6253904258933835E-2</c:v>
                </c:pt>
                <c:pt idx="19">
                  <c:v>-6.0353541841603214E-2</c:v>
                </c:pt>
                <c:pt idx="20">
                  <c:v>-5.9726077895483953E-2</c:v>
                </c:pt>
                <c:pt idx="21">
                  <c:v>-4.9857346365109571E-2</c:v>
                </c:pt>
                <c:pt idx="22">
                  <c:v>-4.3451877675194601E-2</c:v>
                </c:pt>
                <c:pt idx="23">
                  <c:v>-5.0571409769130223E-2</c:v>
                </c:pt>
                <c:pt idx="24">
                  <c:v>-5.2703806177091098E-2</c:v>
                </c:pt>
                <c:pt idx="25">
                  <c:v>-5.5168152219224359E-2</c:v>
                </c:pt>
                <c:pt idx="26">
                  <c:v>-5.5436514508225225E-2</c:v>
                </c:pt>
                <c:pt idx="27">
                  <c:v>-4.044979960402724E-2</c:v>
                </c:pt>
                <c:pt idx="28">
                  <c:v>-4.8899856328388995E-2</c:v>
                </c:pt>
                <c:pt idx="29">
                  <c:v>-7.6889034619134752E-2</c:v>
                </c:pt>
                <c:pt idx="30">
                  <c:v>-5.5565955516097915E-2</c:v>
                </c:pt>
                <c:pt idx="31">
                  <c:v>-4.9209957275678132E-2</c:v>
                </c:pt>
                <c:pt idx="32">
                  <c:v>-4.9887638656104495E-2</c:v>
                </c:pt>
                <c:pt idx="33">
                  <c:v>-6.0177404453000717E-2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C9-4D25-8B5D-A0DEC8696BDB}"/>
            </c:ext>
          </c:extLst>
        </c:ser>
        <c:ser>
          <c:idx val="8"/>
          <c:order val="7"/>
          <c:tx>
            <c:strRef>
              <c:f>'Table S4'!$B$95</c:f>
              <c:strCache>
                <c:ptCount val="1"/>
                <c:pt idx="0">
                  <c:v>Latvia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S4'!$C$95:$AJ$95</c:f>
              <c:numCache>
                <c:formatCode>0.00</c:formatCode>
                <c:ptCount val="34"/>
                <c:pt idx="0">
                  <c:v>-8.3228824104537441E-2</c:v>
                </c:pt>
                <c:pt idx="1">
                  <c:v>-8.9894551451603924E-2</c:v>
                </c:pt>
                <c:pt idx="2">
                  <c:v>-7.7326644685153198E-2</c:v>
                </c:pt>
                <c:pt idx="3">
                  <c:v>-4.4563640393410889E-2</c:v>
                </c:pt>
                <c:pt idx="4">
                  <c:v>-6.9821866955886963E-2</c:v>
                </c:pt>
                <c:pt idx="5">
                  <c:v>-8.3677725224101621E-2</c:v>
                </c:pt>
                <c:pt idx="6">
                  <c:v>-9.7437786367128368E-2</c:v>
                </c:pt>
                <c:pt idx="7">
                  <c:v>-0.12350869363296293</c:v>
                </c:pt>
                <c:pt idx="8">
                  <c:v>-0.1324979800714591</c:v>
                </c:pt>
                <c:pt idx="9">
                  <c:v>-0.11811638320102773</c:v>
                </c:pt>
                <c:pt idx="10">
                  <c:v>-0.14698418088397247</c:v>
                </c:pt>
                <c:pt idx="11">
                  <c:v>-0.14931928564739824</c:v>
                </c:pt>
                <c:pt idx="12">
                  <c:v>-0.14485922234314774</c:v>
                </c:pt>
                <c:pt idx="13">
                  <c:v>-0.14199615413676783</c:v>
                </c:pt>
                <c:pt idx="14">
                  <c:v>-0.14573415775034387</c:v>
                </c:pt>
                <c:pt idx="15">
                  <c:v>-0.14500724796707951</c:v>
                </c:pt>
                <c:pt idx="16">
                  <c:v>-0.16497767811563585</c:v>
                </c:pt>
                <c:pt idx="17">
                  <c:v>-0.12306187139295571</c:v>
                </c:pt>
                <c:pt idx="18">
                  <c:v>-0.12006304974497557</c:v>
                </c:pt>
                <c:pt idx="19">
                  <c:v>-0.10102362454531064</c:v>
                </c:pt>
                <c:pt idx="20">
                  <c:v>-0.109144812189772</c:v>
                </c:pt>
                <c:pt idx="21">
                  <c:v>-0.12297281866029727</c:v>
                </c:pt>
                <c:pt idx="22">
                  <c:v>-0.12638249740177995</c:v>
                </c:pt>
                <c:pt idx="23">
                  <c:v>-0.1263497797679671</c:v>
                </c:pt>
                <c:pt idx="24">
                  <c:v>-0.11784678014994714</c:v>
                </c:pt>
                <c:pt idx="25">
                  <c:v>-0.12287239533386608</c:v>
                </c:pt>
                <c:pt idx="26">
                  <c:v>-0.12925968526374843</c:v>
                </c:pt>
                <c:pt idx="27">
                  <c:v>-0.14280886881468516</c:v>
                </c:pt>
                <c:pt idx="28">
                  <c:v>-0.13642440357154895</c:v>
                </c:pt>
                <c:pt idx="29">
                  <c:v>-0.14323736545507965</c:v>
                </c:pt>
                <c:pt idx="30">
                  <c:v>-0.13294326383679853</c:v>
                </c:pt>
                <c:pt idx="31">
                  <c:v>-0.14922965879627223</c:v>
                </c:pt>
                <c:pt idx="32">
                  <c:v>-0.12308317832762322</c:v>
                </c:pt>
                <c:pt idx="33">
                  <c:v>-0.13206659623241832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DC9-4D25-8B5D-A0DEC8696BDB}"/>
            </c:ext>
          </c:extLst>
        </c:ser>
        <c:ser>
          <c:idx val="9"/>
          <c:order val="8"/>
          <c:tx>
            <c:strRef>
              <c:f>'Table S4'!$B$96</c:f>
              <c:strCache>
                <c:ptCount val="1"/>
                <c:pt idx="0">
                  <c:v>Portugal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S4'!$C$96:$AJ$96</c:f>
              <c:numCache>
                <c:formatCode>0.00</c:formatCode>
                <c:ptCount val="34"/>
                <c:pt idx="0">
                  <c:v>-0.20291833975931439</c:v>
                </c:pt>
                <c:pt idx="1">
                  <c:v>-0.2061066932186873</c:v>
                </c:pt>
                <c:pt idx="2">
                  <c:v>-0.19888413031542471</c:v>
                </c:pt>
                <c:pt idx="3">
                  <c:v>-0.19453695610930535</c:v>
                </c:pt>
                <c:pt idx="4">
                  <c:v>-0.19871257942219628</c:v>
                </c:pt>
                <c:pt idx="5">
                  <c:v>-0.1990169029043673</c:v>
                </c:pt>
                <c:pt idx="6">
                  <c:v>-0.19212827727328327</c:v>
                </c:pt>
                <c:pt idx="7">
                  <c:v>-0.18194317631636647</c:v>
                </c:pt>
                <c:pt idx="8">
                  <c:v>-0.17307065533748625</c:v>
                </c:pt>
                <c:pt idx="9">
                  <c:v>-0.17942831861578407</c:v>
                </c:pt>
                <c:pt idx="10">
                  <c:v>-0.17268361266105617</c:v>
                </c:pt>
                <c:pt idx="11">
                  <c:v>-0.18703201238168163</c:v>
                </c:pt>
                <c:pt idx="12">
                  <c:v>-0.19641352105420865</c:v>
                </c:pt>
                <c:pt idx="13">
                  <c:v>-0.19971579982622309</c:v>
                </c:pt>
                <c:pt idx="14">
                  <c:v>-0.18687453603071552</c:v>
                </c:pt>
                <c:pt idx="15">
                  <c:v>-0.19166011968617444</c:v>
                </c:pt>
                <c:pt idx="16">
                  <c:v>-0.18020794275301139</c:v>
                </c:pt>
                <c:pt idx="17">
                  <c:v>-0.17364578120401372</c:v>
                </c:pt>
                <c:pt idx="18">
                  <c:v>-0.19222070788968881</c:v>
                </c:pt>
                <c:pt idx="19">
                  <c:v>-0.20557201520959378</c:v>
                </c:pt>
                <c:pt idx="20">
                  <c:v>-0.18794903038555447</c:v>
                </c:pt>
                <c:pt idx="21">
                  <c:v>-0.17842790063202024</c:v>
                </c:pt>
                <c:pt idx="22">
                  <c:v>-0.19055775677763648</c:v>
                </c:pt>
                <c:pt idx="23">
                  <c:v>-0.16820293026870869</c:v>
                </c:pt>
                <c:pt idx="24">
                  <c:v>-0.17457843005618179</c:v>
                </c:pt>
                <c:pt idx="25">
                  <c:v>-0.18822753635295492</c:v>
                </c:pt>
                <c:pt idx="26">
                  <c:v>-0.18695379417806318</c:v>
                </c:pt>
                <c:pt idx="27">
                  <c:v>-0.1785949917834655</c:v>
                </c:pt>
                <c:pt idx="28">
                  <c:v>-0.19011142809480971</c:v>
                </c:pt>
                <c:pt idx="29">
                  <c:v>-0.18859634716780724</c:v>
                </c:pt>
                <c:pt idx="30">
                  <c:v>-0.18476685209627955</c:v>
                </c:pt>
                <c:pt idx="31">
                  <c:v>-0.18808133847250152</c:v>
                </c:pt>
                <c:pt idx="32">
                  <c:v>-0.18307852999269414</c:v>
                </c:pt>
                <c:pt idx="33">
                  <c:v>-0.18036404576790416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C9-4D25-8B5D-A0DEC8696BDB}"/>
            </c:ext>
          </c:extLst>
        </c:ser>
        <c:ser>
          <c:idx val="10"/>
          <c:order val="9"/>
          <c:tx>
            <c:strRef>
              <c:f>'Table S4'!$B$97</c:f>
              <c:strCache>
                <c:ptCount val="1"/>
                <c:pt idx="0">
                  <c:v>Romania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S4'!$C$97:$AJ$97</c:f>
              <c:numCache>
                <c:formatCode>0.00</c:formatCode>
                <c:ptCount val="34"/>
                <c:pt idx="0">
                  <c:v>-0.20498891378525344</c:v>
                </c:pt>
                <c:pt idx="1">
                  <c:v>-0.16361960305045134</c:v>
                </c:pt>
                <c:pt idx="2">
                  <c:v>-0.18367243272649697</c:v>
                </c:pt>
                <c:pt idx="3">
                  <c:v>-0.19410078349983251</c:v>
                </c:pt>
                <c:pt idx="4">
                  <c:v>-0.13165989234913725</c:v>
                </c:pt>
                <c:pt idx="5">
                  <c:v>-0.1366745451154488</c:v>
                </c:pt>
                <c:pt idx="6">
                  <c:v>-0.12491047020061442</c:v>
                </c:pt>
                <c:pt idx="7">
                  <c:v>-0.13207238539033542</c:v>
                </c:pt>
                <c:pt idx="8">
                  <c:v>-0.15291512048471759</c:v>
                </c:pt>
                <c:pt idx="9">
                  <c:v>-0.17595654766592481</c:v>
                </c:pt>
                <c:pt idx="10">
                  <c:v>-0.20508698008663806</c:v>
                </c:pt>
                <c:pt idx="11">
                  <c:v>-0.20819161829445693</c:v>
                </c:pt>
                <c:pt idx="12">
                  <c:v>-0.216480775188472</c:v>
                </c:pt>
                <c:pt idx="13">
                  <c:v>-0.25178044852512116</c:v>
                </c:pt>
                <c:pt idx="14">
                  <c:v>-0.26554407111912248</c:v>
                </c:pt>
                <c:pt idx="15">
                  <c:v>-0.2602003651568815</c:v>
                </c:pt>
                <c:pt idx="16">
                  <c:v>-0.24087206475725539</c:v>
                </c:pt>
                <c:pt idx="17">
                  <c:v>-0.26687523948583552</c:v>
                </c:pt>
                <c:pt idx="18">
                  <c:v>-0.27484777160558771</c:v>
                </c:pt>
                <c:pt idx="19">
                  <c:v>-0.26145744644101077</c:v>
                </c:pt>
                <c:pt idx="20">
                  <c:v>-0.31125792932458207</c:v>
                </c:pt>
                <c:pt idx="21">
                  <c:v>-0.30317951316197694</c:v>
                </c:pt>
                <c:pt idx="22">
                  <c:v>-0.37175377271841015</c:v>
                </c:pt>
                <c:pt idx="23">
                  <c:v>-0.39334429074421284</c:v>
                </c:pt>
                <c:pt idx="24">
                  <c:v>-0.40347341352555599</c:v>
                </c:pt>
                <c:pt idx="25">
                  <c:v>-0.40083703014535765</c:v>
                </c:pt>
                <c:pt idx="26">
                  <c:v>-0.42080045343565281</c:v>
                </c:pt>
                <c:pt idx="27">
                  <c:v>-0.39853298394997866</c:v>
                </c:pt>
                <c:pt idx="28">
                  <c:v>-0.35108076773315061</c:v>
                </c:pt>
                <c:pt idx="29">
                  <c:v>-0.37012941342924655</c:v>
                </c:pt>
                <c:pt idx="30">
                  <c:v>-0.35690033782428077</c:v>
                </c:pt>
                <c:pt idx="31">
                  <c:v>-0.34223259175836984</c:v>
                </c:pt>
                <c:pt idx="32">
                  <c:v>-0.28435973978306583</c:v>
                </c:pt>
                <c:pt idx="33">
                  <c:v>-0.29132285346256892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DC9-4D25-8B5D-A0DEC8696BDB}"/>
            </c:ext>
          </c:extLst>
        </c:ser>
        <c:ser>
          <c:idx val="11"/>
          <c:order val="10"/>
          <c:tx>
            <c:strRef>
              <c:f>'Table S4'!$B$98</c:f>
              <c:strCache>
                <c:ptCount val="1"/>
                <c:pt idx="0">
                  <c:v>Slovakia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S4'!$C$98:$AJ$98</c:f>
              <c:numCache>
                <c:formatCode>0.00</c:formatCode>
                <c:ptCount val="34"/>
                <c:pt idx="0">
                  <c:v>-0.18618721951122016</c:v>
                </c:pt>
                <c:pt idx="1">
                  <c:v>-0.16626988046318475</c:v>
                </c:pt>
                <c:pt idx="2">
                  <c:v>-0.13063775855052223</c:v>
                </c:pt>
                <c:pt idx="3">
                  <c:v>-0.16271104184346272</c:v>
                </c:pt>
                <c:pt idx="4">
                  <c:v>-0.15890160979885712</c:v>
                </c:pt>
                <c:pt idx="5">
                  <c:v>-0.14269090801143164</c:v>
                </c:pt>
                <c:pt idx="6">
                  <c:v>-0.15341059555597855</c:v>
                </c:pt>
                <c:pt idx="7">
                  <c:v>-0.16318604233615966</c:v>
                </c:pt>
                <c:pt idx="8">
                  <c:v>-0.21991235039638773</c:v>
                </c:pt>
                <c:pt idx="9">
                  <c:v>-0.23922802892725903</c:v>
                </c:pt>
                <c:pt idx="10">
                  <c:v>-0.23885839848221874</c:v>
                </c:pt>
                <c:pt idx="11">
                  <c:v>-0.18250128083138398</c:v>
                </c:pt>
                <c:pt idx="12">
                  <c:v>-0.21342211515336504</c:v>
                </c:pt>
                <c:pt idx="13">
                  <c:v>-0.22085962672693568</c:v>
                </c:pt>
                <c:pt idx="14">
                  <c:v>-0.23313140865218429</c:v>
                </c:pt>
                <c:pt idx="15">
                  <c:v>-0.22508238371727285</c:v>
                </c:pt>
                <c:pt idx="16">
                  <c:v>-0.26948107563625157</c:v>
                </c:pt>
                <c:pt idx="17">
                  <c:v>-0.27847876222010021</c:v>
                </c:pt>
                <c:pt idx="18">
                  <c:v>-0.25167844090354641</c:v>
                </c:pt>
                <c:pt idx="19">
                  <c:v>-0.22906633370329418</c:v>
                </c:pt>
                <c:pt idx="20">
                  <c:v>-0.20545562839287196</c:v>
                </c:pt>
                <c:pt idx="21">
                  <c:v>-0.19329271285890981</c:v>
                </c:pt>
                <c:pt idx="22">
                  <c:v>-0.17804958247577615</c:v>
                </c:pt>
                <c:pt idx="23">
                  <c:v>-0.18011988355879893</c:v>
                </c:pt>
                <c:pt idx="24">
                  <c:v>-0.16948863213355186</c:v>
                </c:pt>
                <c:pt idx="25">
                  <c:v>-0.18857777911023213</c:v>
                </c:pt>
                <c:pt idx="26">
                  <c:v>-0.19603567584950451</c:v>
                </c:pt>
                <c:pt idx="27">
                  <c:v>-0.19929588501481554</c:v>
                </c:pt>
                <c:pt idx="28">
                  <c:v>-0.18015431885332756</c:v>
                </c:pt>
                <c:pt idx="29">
                  <c:v>-0.17634271908998503</c:v>
                </c:pt>
                <c:pt idx="30">
                  <c:v>-0.18065140755548986</c:v>
                </c:pt>
                <c:pt idx="31">
                  <c:v>-0.18740074769000312</c:v>
                </c:pt>
                <c:pt idx="32">
                  <c:v>-0.16829948777910209</c:v>
                </c:pt>
                <c:pt idx="33">
                  <c:v>-0.1917677970727476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C9-4D25-8B5D-A0DEC8696BDB}"/>
            </c:ext>
          </c:extLst>
        </c:ser>
        <c:ser>
          <c:idx val="12"/>
          <c:order val="11"/>
          <c:tx>
            <c:strRef>
              <c:f>'Table S4'!$B$99</c:f>
              <c:strCache>
                <c:ptCount val="1"/>
                <c:pt idx="0">
                  <c:v>Slovenia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S4'!$C$99:$AJ$99</c:f>
              <c:numCache>
                <c:formatCode>0.00</c:formatCode>
                <c:ptCount val="34"/>
                <c:pt idx="0">
                  <c:v>-3.484049883901843</c:v>
                </c:pt>
                <c:pt idx="1">
                  <c:v>-2.1785500992424112</c:v>
                </c:pt>
                <c:pt idx="2">
                  <c:v>-1.5844055093729899</c:v>
                </c:pt>
                <c:pt idx="3">
                  <c:v>-1.2105612483619759</c:v>
                </c:pt>
                <c:pt idx="4">
                  <c:v>-1.1180372115143176</c:v>
                </c:pt>
                <c:pt idx="5">
                  <c:v>-0.99328076823178524</c:v>
                </c:pt>
                <c:pt idx="6">
                  <c:v>-0.98022780022884415</c:v>
                </c:pt>
                <c:pt idx="7">
                  <c:v>-0.79882174654852611</c:v>
                </c:pt>
                <c:pt idx="8">
                  <c:v>-0.84117736492314887</c:v>
                </c:pt>
                <c:pt idx="9">
                  <c:v>-0.74381702938484728</c:v>
                </c:pt>
                <c:pt idx="10">
                  <c:v>-0.73674165122952429</c:v>
                </c:pt>
                <c:pt idx="11">
                  <c:v>-0.68218643652684618</c:v>
                </c:pt>
                <c:pt idx="12">
                  <c:v>-0.6577170602136686</c:v>
                </c:pt>
                <c:pt idx="13">
                  <c:v>-0.69277556745826885</c:v>
                </c:pt>
                <c:pt idx="14">
                  <c:v>-0.7321317813061281</c:v>
                </c:pt>
                <c:pt idx="15">
                  <c:v>-0.76097626150137421</c:v>
                </c:pt>
                <c:pt idx="16">
                  <c:v>-0.79670230995311664</c:v>
                </c:pt>
                <c:pt idx="17">
                  <c:v>-0.87666233600733479</c:v>
                </c:pt>
                <c:pt idx="18">
                  <c:v>-0.80506856715273101</c:v>
                </c:pt>
                <c:pt idx="19">
                  <c:v>-0.76633772203677208</c:v>
                </c:pt>
                <c:pt idx="20">
                  <c:v>-0.72238946046984398</c:v>
                </c:pt>
                <c:pt idx="21">
                  <c:v>-0.72829088852586632</c:v>
                </c:pt>
                <c:pt idx="22">
                  <c:v>-0.77973932653966449</c:v>
                </c:pt>
                <c:pt idx="23">
                  <c:v>-0.80833251860105582</c:v>
                </c:pt>
                <c:pt idx="24">
                  <c:v>-0.27582518710560194</c:v>
                </c:pt>
                <c:pt idx="25">
                  <c:v>-0.29009548257268242</c:v>
                </c:pt>
                <c:pt idx="26">
                  <c:v>-0.28883708598253433</c:v>
                </c:pt>
                <c:pt idx="27">
                  <c:v>-0.29058998849849366</c:v>
                </c:pt>
                <c:pt idx="28">
                  <c:v>-0.31262112315751117</c:v>
                </c:pt>
                <c:pt idx="29">
                  <c:v>-1.945352189658381</c:v>
                </c:pt>
                <c:pt idx="30">
                  <c:v>-2.1099513561243346</c:v>
                </c:pt>
                <c:pt idx="31">
                  <c:v>-2.873831674330106</c:v>
                </c:pt>
                <c:pt idx="32">
                  <c:v>-4.470941823626986</c:v>
                </c:pt>
                <c:pt idx="33">
                  <c:v>-4.3584314063574645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DC9-4D25-8B5D-A0DEC8696BDB}"/>
            </c:ext>
          </c:extLst>
        </c:ser>
        <c:ser>
          <c:idx val="13"/>
          <c:order val="12"/>
          <c:tx>
            <c:strRef>
              <c:f>'Table S4'!$B$100</c:f>
              <c:strCache>
                <c:ptCount val="1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'Table S4'!$C$87:$AJ$87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S4'!$C$100:$AJ$100</c:f>
              <c:numCache>
                <c:formatCode>0.00</c:formatCode>
                <c:ptCount val="34"/>
                <c:pt idx="0">
                  <c:v>-0.14427797299280223</c:v>
                </c:pt>
                <c:pt idx="1">
                  <c:v>-0.1397268459016088</c:v>
                </c:pt>
                <c:pt idx="2">
                  <c:v>-0.14017518183085553</c:v>
                </c:pt>
                <c:pt idx="3">
                  <c:v>-0.14004839112864509</c:v>
                </c:pt>
                <c:pt idx="4">
                  <c:v>-0.14412967280517441</c:v>
                </c:pt>
                <c:pt idx="5">
                  <c:v>-0.14538743854724157</c:v>
                </c:pt>
                <c:pt idx="6">
                  <c:v>-0.14343821665508702</c:v>
                </c:pt>
                <c:pt idx="7">
                  <c:v>-0.14645271478906385</c:v>
                </c:pt>
                <c:pt idx="8">
                  <c:v>-0.14352078271563304</c:v>
                </c:pt>
                <c:pt idx="9">
                  <c:v>-0.14678946029911433</c:v>
                </c:pt>
                <c:pt idx="10">
                  <c:v>-0.1525905407001</c:v>
                </c:pt>
                <c:pt idx="11">
                  <c:v>-0.14923155636438662</c:v>
                </c:pt>
                <c:pt idx="12">
                  <c:v>-0.14782480723802777</c:v>
                </c:pt>
                <c:pt idx="13">
                  <c:v>-0.15054541580981481</c:v>
                </c:pt>
                <c:pt idx="14">
                  <c:v>-0.14595937961649838</c:v>
                </c:pt>
                <c:pt idx="15">
                  <c:v>-0.14258456442655901</c:v>
                </c:pt>
                <c:pt idx="16">
                  <c:v>-0.13427819429263571</c:v>
                </c:pt>
                <c:pt idx="17">
                  <c:v>-0.13326259673469656</c:v>
                </c:pt>
                <c:pt idx="18">
                  <c:v>-0.12555852273165394</c:v>
                </c:pt>
                <c:pt idx="19">
                  <c:v>-0.12095163374138586</c:v>
                </c:pt>
                <c:pt idx="20">
                  <c:v>-0.12235222268553717</c:v>
                </c:pt>
                <c:pt idx="21">
                  <c:v>-0.12449611532417897</c:v>
                </c:pt>
                <c:pt idx="22">
                  <c:v>-0.13020302942809817</c:v>
                </c:pt>
                <c:pt idx="23">
                  <c:v>-0.12408249588788146</c:v>
                </c:pt>
                <c:pt idx="24">
                  <c:v>-0.12149109968468029</c:v>
                </c:pt>
                <c:pt idx="25">
                  <c:v>-0.12283158532003514</c:v>
                </c:pt>
                <c:pt idx="26">
                  <c:v>-0.12086216908929033</c:v>
                </c:pt>
                <c:pt idx="27">
                  <c:v>-0.11709026012586024</c:v>
                </c:pt>
                <c:pt idx="28">
                  <c:v>-0.11529379298443168</c:v>
                </c:pt>
                <c:pt idx="29">
                  <c:v>-0.1127923813841412</c:v>
                </c:pt>
                <c:pt idx="30">
                  <c:v>-0.1119837464043961</c:v>
                </c:pt>
                <c:pt idx="31">
                  <c:v>-0.118246372973193</c:v>
                </c:pt>
                <c:pt idx="32">
                  <c:v>-0.11592953880612886</c:v>
                </c:pt>
                <c:pt idx="33">
                  <c:v>-0.11600158375157565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C9-4D25-8B5D-A0DEC8696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02047"/>
        <c:axId val="696603007"/>
      </c:lineChart>
      <c:catAx>
        <c:axId val="69660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6603007"/>
        <c:crosses val="autoZero"/>
        <c:auto val="1"/>
        <c:lblAlgn val="ctr"/>
        <c:lblOffset val="100"/>
        <c:noMultiLvlLbl val="0"/>
      </c:catAx>
      <c:valAx>
        <c:axId val="69660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660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695233581475665E-2"/>
          <c:y val="5.7347642505504955E-2"/>
          <c:w val="0.77905597920566072"/>
          <c:h val="0.90988227606277794"/>
        </c:manualLayout>
      </c:layout>
      <c:lineChart>
        <c:grouping val="standard"/>
        <c:varyColors val="0"/>
        <c:ser>
          <c:idx val="0"/>
          <c:order val="0"/>
          <c:tx>
            <c:strRef>
              <c:f>'Table S4'!$B$4</c:f>
              <c:strCache>
                <c:ptCount val="1"/>
                <c:pt idx="0">
                  <c:v>Austria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'Table S4'!$C$3:$E$3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S4'!$C$4:$E$4</c:f>
              <c:numCache>
                <c:formatCode>0.00</c:formatCode>
                <c:ptCount val="3"/>
                <c:pt idx="0">
                  <c:v>-0.40198960753603563</c:v>
                </c:pt>
                <c:pt idx="1">
                  <c:v>-0.33294288964088381</c:v>
                </c:pt>
                <c:pt idx="2">
                  <c:v>-0.2730451247741465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1-45C2-8500-7ABFB65AE62C}"/>
            </c:ext>
          </c:extLst>
        </c:ser>
        <c:ser>
          <c:idx val="1"/>
          <c:order val="1"/>
          <c:tx>
            <c:strRef>
              <c:f>'Table S4'!$B$6</c:f>
              <c:strCache>
                <c:ptCount val="1"/>
                <c:pt idx="0">
                  <c:v>Czechia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'Table S4'!$C$3:$E$3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S4'!$C$6:$E$6</c:f>
              <c:numCache>
                <c:formatCode>0.00</c:formatCode>
                <c:ptCount val="3"/>
                <c:pt idx="0">
                  <c:v>-0.19303597126425184</c:v>
                </c:pt>
                <c:pt idx="1">
                  <c:v>-0.2113788525080402</c:v>
                </c:pt>
                <c:pt idx="2">
                  <c:v>-0.19249796678803888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F1-45C2-8500-7ABFB65AE62C}"/>
            </c:ext>
          </c:extLst>
        </c:ser>
        <c:ser>
          <c:idx val="2"/>
          <c:order val="2"/>
          <c:tx>
            <c:strRef>
              <c:f>'Table S4'!$B$7</c:f>
              <c:strCache>
                <c:ptCount val="1"/>
                <c:pt idx="0">
                  <c:v>Estonia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'Table S4'!$C$3:$E$3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S4'!$C$7:$E$7</c:f>
              <c:numCache>
                <c:formatCode>0.00</c:formatCode>
                <c:ptCount val="3"/>
                <c:pt idx="0">
                  <c:v>-0.26504293522483985</c:v>
                </c:pt>
                <c:pt idx="1">
                  <c:v>-0.23038724334288327</c:v>
                </c:pt>
                <c:pt idx="2">
                  <c:v>-0.18367867281630409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F1-45C2-8500-7ABFB65AE62C}"/>
            </c:ext>
          </c:extLst>
        </c:ser>
        <c:ser>
          <c:idx val="3"/>
          <c:order val="3"/>
          <c:tx>
            <c:strRef>
              <c:f>'Table S4'!$B$8</c:f>
              <c:strCache>
                <c:ptCount val="1"/>
                <c:pt idx="0">
                  <c:v>Finland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'Table S4'!$C$3:$E$3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S4'!$C$8:$E$8</c:f>
              <c:numCache>
                <c:formatCode>0.00</c:formatCode>
                <c:ptCount val="3"/>
                <c:pt idx="0">
                  <c:v>-0.29265022717662209</c:v>
                </c:pt>
                <c:pt idx="1">
                  <c:v>-0.19522717345818502</c:v>
                </c:pt>
                <c:pt idx="2">
                  <c:v>-0.1761851629743377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F1-45C2-8500-7ABFB65AE62C}"/>
            </c:ext>
          </c:extLst>
        </c:ser>
        <c:ser>
          <c:idx val="4"/>
          <c:order val="4"/>
          <c:tx>
            <c:strRef>
              <c:f>'Table S4'!$B$9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'Table S4'!$C$3:$E$3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S4'!$C$9:$E$9</c:f>
              <c:numCache>
                <c:formatCode>0.00</c:formatCode>
                <c:ptCount val="3"/>
                <c:pt idx="0">
                  <c:v>-0.27375697126453208</c:v>
                </c:pt>
                <c:pt idx="1">
                  <c:v>-0.23184164624860626</c:v>
                </c:pt>
                <c:pt idx="2">
                  <c:v>-0.21904254021425576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F1-45C2-8500-7ABFB65AE62C}"/>
            </c:ext>
          </c:extLst>
        </c:ser>
        <c:ser>
          <c:idx val="5"/>
          <c:order val="5"/>
          <c:tx>
            <c:strRef>
              <c:f>'Table S4'!$B$16</c:f>
              <c:strCache>
                <c:ptCount val="1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'Table S4'!$C$3:$E$3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S4'!$C$16:$E$16</c:f>
              <c:numCache>
                <c:formatCode>0.00</c:formatCode>
                <c:ptCount val="3"/>
                <c:pt idx="0">
                  <c:v>-0.17255954237013535</c:v>
                </c:pt>
                <c:pt idx="1">
                  <c:v>-0.16685905872294285</c:v>
                </c:pt>
                <c:pt idx="2">
                  <c:v>-0.11835139949158313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F1-45C2-8500-7ABFB65AE62C}"/>
            </c:ext>
          </c:extLst>
        </c:ser>
        <c:ser>
          <c:idx val="6"/>
          <c:order val="6"/>
          <c:tx>
            <c:strRef>
              <c:f>'Table S4'!$B$5</c:f>
              <c:strCache>
                <c:ptCount val="1"/>
                <c:pt idx="0">
                  <c:v>Croatia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'Table S4'!$C$3:$E$3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S4'!$C$5:$E$5</c:f>
              <c:numCache>
                <c:formatCode>0.00</c:formatCode>
                <c:ptCount val="3"/>
                <c:pt idx="0">
                  <c:v>-6.010933292648437E-2</c:v>
                </c:pt>
                <c:pt idx="1">
                  <c:v>-5.1968725117232162E-2</c:v>
                </c:pt>
                <c:pt idx="2">
                  <c:v>-5.677164114140084E-2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F1-45C2-8500-7ABFB65AE62C}"/>
            </c:ext>
          </c:extLst>
        </c:ser>
        <c:ser>
          <c:idx val="7"/>
          <c:order val="7"/>
          <c:tx>
            <c:strRef>
              <c:f>'Table S4'!$B$10</c:f>
              <c:strCache>
                <c:ptCount val="1"/>
                <c:pt idx="0">
                  <c:v>Italy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'Table S4'!$C$3:$E$3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S4'!$C$10:$E$10</c:f>
              <c:numCache>
                <c:formatCode>0.00</c:formatCode>
                <c:ptCount val="3"/>
                <c:pt idx="0">
                  <c:v>-0.11589878652997625</c:v>
                </c:pt>
                <c:pt idx="1">
                  <c:v>-0.12207347356970819</c:v>
                </c:pt>
                <c:pt idx="2">
                  <c:v>-0.13616407770329017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7F1-45C2-8500-7ABFB65AE62C}"/>
            </c:ext>
          </c:extLst>
        </c:ser>
        <c:ser>
          <c:idx val="8"/>
          <c:order val="8"/>
          <c:tx>
            <c:strRef>
              <c:f>'Table S4'!$B$11</c:f>
              <c:strCache>
                <c:ptCount val="1"/>
                <c:pt idx="0">
                  <c:v>Latvia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'Table S4'!$C$3:$E$3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S4'!$C$11:$E$11</c:f>
              <c:numCache>
                <c:formatCode>0.00</c:formatCode>
                <c:ptCount val="3"/>
                <c:pt idx="0">
                  <c:v>-0.18985263488205203</c:v>
                </c:pt>
                <c:pt idx="1">
                  <c:v>-0.18434048729379768</c:v>
                </c:pt>
                <c:pt idx="2">
                  <c:v>-0.18583309026533271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7F1-45C2-8500-7ABFB65AE62C}"/>
            </c:ext>
          </c:extLst>
        </c:ser>
        <c:ser>
          <c:idx val="9"/>
          <c:order val="9"/>
          <c:tx>
            <c:strRef>
              <c:f>'Table S4'!$B$12</c:f>
              <c:strCache>
                <c:ptCount val="1"/>
                <c:pt idx="0">
                  <c:v>Portugal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'Table S4'!$C$3:$E$3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S4'!$C$12:$E$12</c:f>
              <c:numCache>
                <c:formatCode>0.00</c:formatCode>
                <c:ptCount val="3"/>
                <c:pt idx="0">
                  <c:v>-0.1994973699203991</c:v>
                </c:pt>
                <c:pt idx="1">
                  <c:v>-0.36273742593852648</c:v>
                </c:pt>
                <c:pt idx="2">
                  <c:v>-0.33267095066511371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7F1-45C2-8500-7ABFB65AE62C}"/>
            </c:ext>
          </c:extLst>
        </c:ser>
        <c:ser>
          <c:idx val="10"/>
          <c:order val="10"/>
          <c:tx>
            <c:strRef>
              <c:f>'Table S4'!$B$13</c:f>
              <c:strCache>
                <c:ptCount val="1"/>
                <c:pt idx="0">
                  <c:v>Romania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'Table S4'!$C$3:$E$3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S4'!$C$13:$E$13</c:f>
              <c:numCache>
                <c:formatCode>0.00</c:formatCode>
                <c:ptCount val="3"/>
                <c:pt idx="0">
                  <c:v>-0.2019278383009328</c:v>
                </c:pt>
                <c:pt idx="1">
                  <c:v>-0.19326467923308391</c:v>
                </c:pt>
                <c:pt idx="2">
                  <c:v>-0.18076941300677588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7F1-45C2-8500-7ABFB65AE62C}"/>
            </c:ext>
          </c:extLst>
        </c:ser>
        <c:ser>
          <c:idx val="11"/>
          <c:order val="11"/>
          <c:tx>
            <c:strRef>
              <c:f>'Table S4'!$B$14</c:f>
              <c:strCache>
                <c:ptCount val="1"/>
                <c:pt idx="0">
                  <c:v>Slovakia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'Table S4'!$C$3:$E$3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S4'!$C$14:$E$14</c:f>
              <c:numCache>
                <c:formatCode>0.00</c:formatCode>
                <c:ptCount val="3"/>
                <c:pt idx="0">
                  <c:v>-1.0880995070031414</c:v>
                </c:pt>
                <c:pt idx="1">
                  <c:v>-0.55004862892583495</c:v>
                </c:pt>
                <c:pt idx="2">
                  <c:v>-2.6785215955424637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7F1-45C2-8500-7ABFB65AE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4896095"/>
        <c:axId val="1344894175"/>
      </c:lineChart>
      <c:catAx>
        <c:axId val="134489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4894175"/>
        <c:crosses val="autoZero"/>
        <c:auto val="1"/>
        <c:lblAlgn val="ctr"/>
        <c:lblOffset val="100"/>
        <c:noMultiLvlLbl val="0"/>
      </c:catAx>
      <c:valAx>
        <c:axId val="134489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48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'Table S5 weighted avg'!$B$6</c:f>
              <c:strCache>
                <c:ptCount val="1"/>
                <c:pt idx="0">
                  <c:v>weighted 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S5 weighted avg'!$C$3:$AJ$3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'Table S5 weighted avg'!$C$6:$AJ$6</c:f>
              <c:numCache>
                <c:formatCode>0.00</c:formatCode>
                <c:ptCount val="34"/>
                <c:pt idx="0">
                  <c:v>-0.19820109634431643</c:v>
                </c:pt>
                <c:pt idx="1">
                  <c:v>-0.19789491118043656</c:v>
                </c:pt>
                <c:pt idx="2">
                  <c:v>-0.18052383857899376</c:v>
                </c:pt>
                <c:pt idx="3">
                  <c:v>-0.18113877921358626</c:v>
                </c:pt>
                <c:pt idx="4">
                  <c:v>-0.18557180448209007</c:v>
                </c:pt>
                <c:pt idx="5">
                  <c:v>-0.19110992044369943</c:v>
                </c:pt>
                <c:pt idx="6">
                  <c:v>-0.19412289724560763</c:v>
                </c:pt>
                <c:pt idx="7">
                  <c:v>-0.19362053297423393</c:v>
                </c:pt>
                <c:pt idx="8">
                  <c:v>-0.19663256056964878</c:v>
                </c:pt>
                <c:pt idx="9">
                  <c:v>-0.17082281435946461</c:v>
                </c:pt>
                <c:pt idx="10">
                  <c:v>-0.19804240576242144</c:v>
                </c:pt>
                <c:pt idx="11">
                  <c:v>-0.20189279529087559</c:v>
                </c:pt>
                <c:pt idx="12">
                  <c:v>-0.2059222360534019</c:v>
                </c:pt>
                <c:pt idx="13">
                  <c:v>-0.20888095686549188</c:v>
                </c:pt>
                <c:pt idx="14">
                  <c:v>-0.21269546419693608</c:v>
                </c:pt>
                <c:pt idx="15">
                  <c:v>-0.20783496484027683</c:v>
                </c:pt>
                <c:pt idx="16">
                  <c:v>-0.21790191970875442</c:v>
                </c:pt>
                <c:pt idx="17">
                  <c:v>-0.21088897463631459</c:v>
                </c:pt>
                <c:pt idx="18">
                  <c:v>-0.20921466190705346</c:v>
                </c:pt>
                <c:pt idx="19">
                  <c:v>-0.17886286180175923</c:v>
                </c:pt>
                <c:pt idx="20">
                  <c:v>-0.19663744247515652</c:v>
                </c:pt>
                <c:pt idx="21">
                  <c:v>-0.1938767180487857</c:v>
                </c:pt>
                <c:pt idx="22">
                  <c:v>-0.19384618500668871</c:v>
                </c:pt>
                <c:pt idx="23">
                  <c:v>-0.19094533458249488</c:v>
                </c:pt>
                <c:pt idx="24">
                  <c:v>-0.18891802005075364</c:v>
                </c:pt>
                <c:pt idx="25">
                  <c:v>-0.18752756396453046</c:v>
                </c:pt>
                <c:pt idx="26">
                  <c:v>-0.18628602809735675</c:v>
                </c:pt>
                <c:pt idx="27">
                  <c:v>-0.17899866189407815</c:v>
                </c:pt>
                <c:pt idx="28">
                  <c:v>-0.17444931345311793</c:v>
                </c:pt>
                <c:pt idx="29">
                  <c:v>-0.17205065923386909</c:v>
                </c:pt>
                <c:pt idx="30">
                  <c:v>-0.16169244043893799</c:v>
                </c:pt>
                <c:pt idx="31">
                  <c:v>-0.17030776188242336</c:v>
                </c:pt>
                <c:pt idx="32">
                  <c:v>-0.16523407705034471</c:v>
                </c:pt>
                <c:pt idx="33">
                  <c:v>-0.16383301416186422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A-4F7F-9DB6-578CE6911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02047"/>
        <c:axId val="696603007"/>
      </c:lineChart>
      <c:catAx>
        <c:axId val="69660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6603007"/>
        <c:crosses val="autoZero"/>
        <c:auto val="1"/>
        <c:lblAlgn val="ctr"/>
        <c:lblOffset val="100"/>
        <c:noMultiLvlLbl val="0"/>
      </c:catAx>
      <c:valAx>
        <c:axId val="69660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660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'Table S5 weighted avg'!$B$11</c:f>
              <c:strCache>
                <c:ptCount val="1"/>
                <c:pt idx="0">
                  <c:v>weighted 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'Table S5 weighted avg'!$C$10:$E$10</c:f>
              <c:strCache>
                <c:ptCount val="3"/>
                <c:pt idx="0">
                  <c:v>1990-2008</c:v>
                </c:pt>
                <c:pt idx="1">
                  <c:v>2009-2017</c:v>
                </c:pt>
                <c:pt idx="2">
                  <c:v>2018-2023</c:v>
                </c:pt>
              </c:strCache>
            </c:strRef>
          </c:cat>
          <c:val>
            <c:numRef>
              <c:f>'Table S5 weighted avg'!$C$11:$E$11</c:f>
              <c:numCache>
                <c:formatCode>0.00</c:formatCode>
                <c:ptCount val="3"/>
                <c:pt idx="0">
                  <c:v>-0.19804808077124228</c:v>
                </c:pt>
                <c:pt idx="1">
                  <c:v>-0.18843320176906714</c:v>
                </c:pt>
                <c:pt idx="2">
                  <c:v>-0.16792787770342621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C6-4C2D-AC64-2DEDE3B61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4896095"/>
        <c:axId val="1344894175"/>
      </c:lineChart>
      <c:catAx>
        <c:axId val="134489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4894175"/>
        <c:crosses val="autoZero"/>
        <c:auto val="1"/>
        <c:lblAlgn val="ctr"/>
        <c:lblOffset val="100"/>
        <c:noMultiLvlLbl val="0"/>
      </c:catAx>
      <c:valAx>
        <c:axId val="134489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48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125</xdr:row>
      <xdr:rowOff>90487</xdr:rowOff>
    </xdr:from>
    <xdr:to>
      <xdr:col>15</xdr:col>
      <xdr:colOff>409575</xdr:colOff>
      <xdr:row>147</xdr:row>
      <xdr:rowOff>114301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2E905AA-D44E-539B-ED3E-86A5311A2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728662</xdr:colOff>
      <xdr:row>101</xdr:row>
      <xdr:rowOff>166687</xdr:rowOff>
    </xdr:from>
    <xdr:to>
      <xdr:col>6</xdr:col>
      <xdr:colOff>704850</xdr:colOff>
      <xdr:row>118</xdr:row>
      <xdr:rowOff>104775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67EF7A51-E0E7-3EA2-2FB3-CFCBB9641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9526</xdr:colOff>
      <xdr:row>119</xdr:row>
      <xdr:rowOff>47625</xdr:rowOff>
    </xdr:from>
    <xdr:to>
      <xdr:col>6</xdr:col>
      <xdr:colOff>600076</xdr:colOff>
      <xdr:row>135</xdr:row>
      <xdr:rowOff>176213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D1100D91-86D0-430E-B5BA-69336AFA3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136</xdr:row>
      <xdr:rowOff>133350</xdr:rowOff>
    </xdr:from>
    <xdr:to>
      <xdr:col>6</xdr:col>
      <xdr:colOff>647701</xdr:colOff>
      <xdr:row>152</xdr:row>
      <xdr:rowOff>171449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122E5B64-8D53-42CD-8BA0-5D5AEA8ED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152400</xdr:colOff>
      <xdr:row>125</xdr:row>
      <xdr:rowOff>104775</xdr:rowOff>
    </xdr:from>
    <xdr:to>
      <xdr:col>23</xdr:col>
      <xdr:colOff>581025</xdr:colOff>
      <xdr:row>147</xdr:row>
      <xdr:rowOff>166689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314DD7B8-BD43-476D-9C4C-706244DD0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119061</xdr:colOff>
      <xdr:row>104</xdr:row>
      <xdr:rowOff>42861</xdr:rowOff>
    </xdr:from>
    <xdr:to>
      <xdr:col>17</xdr:col>
      <xdr:colOff>504825</xdr:colOff>
      <xdr:row>120</xdr:row>
      <xdr:rowOff>95250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7788FB55-C835-4E53-492E-87EBAF62E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82</xdr:row>
      <xdr:rowOff>0</xdr:rowOff>
    </xdr:from>
    <xdr:to>
      <xdr:col>20</xdr:col>
      <xdr:colOff>19051</xdr:colOff>
      <xdr:row>96</xdr:row>
      <xdr:rowOff>142875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AEF0FBAC-2136-4B8E-8F17-7310D1E38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376236</xdr:colOff>
      <xdr:row>81</xdr:row>
      <xdr:rowOff>190499</xdr:rowOff>
    </xdr:from>
    <xdr:to>
      <xdr:col>14</xdr:col>
      <xdr:colOff>0</xdr:colOff>
      <xdr:row>96</xdr:row>
      <xdr:rowOff>142874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40DE0E1C-09A2-4567-919B-AB3BE726E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nes Böttcher" refreshedDate="46048.627548263888" createdVersion="8" refreshedVersion="8" minRefreshableVersion="3" recordCount="1225" xr:uid="{BECB4DD8-3F0C-4274-880F-53970D82C87A}">
  <cacheSource type="worksheet">
    <worksheetSource ref="A1:T1048576" sheet="Table4.A FL"/>
  </cacheSource>
  <cacheFields count="20">
    <cacheField name="country" numFmtId="0">
      <sharedItems containsBlank="1" count="37">
        <s v="AUT"/>
        <s v="BEL"/>
        <s v="BGR"/>
        <s v="CAN"/>
        <s v="CHE"/>
        <s v="CZE"/>
        <s v="DEU"/>
        <s v="DNK"/>
        <s v="ESP"/>
        <s v="EST"/>
        <s v="EUA"/>
        <s v="FIN"/>
        <s v="FRA"/>
        <s v="GBR"/>
        <s v="GRC"/>
        <s v="HRV"/>
        <s v="IRL"/>
        <s v="ISL"/>
        <s v="ITA"/>
        <s v="JPN"/>
        <s v="LIE"/>
        <s v="LTU"/>
        <s v="LUX"/>
        <s v="LVA"/>
        <s v="MCO"/>
        <s v="MLT"/>
        <s v="NLD"/>
        <s v="NOR"/>
        <s v="POL"/>
        <s v="PRT"/>
        <s v="ROU"/>
        <s v="RUS"/>
        <s v="SVK"/>
        <s v="SVN"/>
        <s v="SWE"/>
        <s v="TUR"/>
        <m/>
      </sharedItems>
    </cacheField>
    <cacheField name="Year" numFmtId="0">
      <sharedItems containsString="0" containsBlank="1" containsNumber="1" containsInteger="1" minValue="1990" maxValue="2023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TotalArea(kha)" numFmtId="0">
      <sharedItems containsBlank="1" containsMixedTypes="1" containsNumber="1" minValue="1.3585955999999999" maxValue="898136.00000000023"/>
    </cacheField>
    <cacheField name="MineralSoil(kha)" numFmtId="0">
      <sharedItems containsBlank="1" containsMixedTypes="1" containsNumber="1" minValue="1.3585955999999999" maxValue="898136.00000000023"/>
    </cacheField>
    <cacheField name="OrganicSoil(kha)" numFmtId="0">
      <sharedItems containsBlank="1" containsMixedTypes="1" containsNumber="1" minValue="6.0000000000000001E-3" maxValue="13067.314802797309"/>
    </cacheField>
    <cacheField name="LivingBMGains(tC/ha)" numFmtId="0">
      <sharedItems containsBlank="1" containsMixedTypes="1" containsNumber="1" minValue="1.473933164657759E-3" maxValue="7.6248473543739612"/>
    </cacheField>
    <cacheField name="LivinBMLosses(tC/ha)" numFmtId="0">
      <sharedItems containsBlank="1" containsMixedTypes="1" containsNumber="1" minValue="-6.5938457727935544" maxValue="-7.9543013704634434E-7"/>
    </cacheField>
    <cacheField name="LivingBMNetChange(tC/ha)" numFmtId="0">
      <sharedItems containsBlank="1" containsMixedTypes="1" containsNumber="1" minValue="-1.675231966989849" maxValue="2.5041729162552722"/>
    </cacheField>
    <cacheField name="DeadWoodNetChange(tC/ha)" numFmtId="0">
      <sharedItems containsBlank="1" containsMixedTypes="1" containsNumber="1" minValue="-0.19789486252442079" maxValue="0.76185109487555436"/>
    </cacheField>
    <cacheField name="LitterNetChange(tC/ha)" numFmtId="0">
      <sharedItems containsBlank="1" containsMixedTypes="1" containsNumber="1" minValue="-0.21891733904893229" maxValue="0.4885318375334598"/>
    </cacheField>
    <cacheField name="MineralSoilsNetChange(tC/ha)" numFmtId="0">
      <sharedItems containsBlank="1" containsMixedTypes="1" containsNumber="1" minValue="-0.24621374295436549" maxValue="0.42735325913508049"/>
    </cacheField>
    <cacheField name="OrganicSoilsNetChange(tC/ha)" numFmtId="0">
      <sharedItems containsBlank="1" containsMixedTypes="1" containsNumber="1" minValue="-2.8990237450492771" maxValue="6.4864032107394623E-2"/>
    </cacheField>
    <cacheField name="LivingBMGains(ktC)" numFmtId="0">
      <sharedItems containsBlank="1" containsMixedTypes="1" containsNumber="1" minValue="2.1130890999999999E-3" maxValue="566382.25048299995"/>
    </cacheField>
    <cacheField name="LivingBMLosses(ktC)" numFmtId="0">
      <sharedItems containsBlank="1" containsMixedTypes="1" containsNumber="1" minValue="-586562.87397599989" maxValue="-1.9862703539144589E-2"/>
    </cacheField>
    <cacheField name="LivingBMNetChange(ktC)" numFmtId="0">
      <sharedItems containsBlank="1" containsMixedTypes="1" containsNumber="1" minValue="-55240.498735999921" maxValue="412160.11118972523"/>
    </cacheField>
    <cacheField name="DeadwoodNetChange(ktC)" numFmtId="0">
      <sharedItems containsBlank="1" containsMixedTypes="1" containsNumber="1" minValue="-2137.8097156099998" maxValue="50418.780484130853"/>
    </cacheField>
    <cacheField name="LitterNetChange(ktC)" numFmtId="0">
      <sharedItems containsBlank="1" containsMixedTypes="1" containsNumber="1" minValue="-27798.192142" maxValue="5386.9474712209621"/>
    </cacheField>
    <cacheField name="MineralSoilsNetChange(ktC)" numFmtId="0">
      <sharedItems containsBlank="1" containsMixedTypes="1" containsNumber="1" minValue="-10365.7066870978" maxValue="21343.69661980513"/>
    </cacheField>
    <cacheField name="OrganicSoilsNetChange(ktC)" numFmtId="0">
      <sharedItems containsBlank="1" containsMixedTypes="1" containsNumber="1" minValue="-7549.5046070828012" maxValue="30.403661122925669"/>
    </cacheField>
    <cacheField name="NetCO2(ktCO2)" numFmtId="0">
      <sharedItems containsBlank="1" containsMixedTypes="1" containsNumber="1" minValue="-1715382.5156489641" maxValue="129221.6505250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nes Böttcher" refreshedDate="46048.63606261574" createdVersion="8" refreshedVersion="8" minRefreshableVersion="3" recordCount="1191" xr:uid="{4BF0EAFB-E2BD-4879-989B-710C738398F7}">
  <cacheSource type="worksheet">
    <worksheetSource ref="B1:D1048576" sheet="Total HWP gains"/>
  </cacheSource>
  <cacheFields count="3">
    <cacheField name="country" numFmtId="0">
      <sharedItems containsBlank="1" count="36">
        <s v="CAN"/>
        <s v="CHE"/>
        <s v="GBR"/>
        <s v="ISL"/>
        <s v="JPN"/>
        <s v="LIE"/>
        <s v="MCO"/>
        <s v="NOR"/>
        <s v="RUS"/>
        <s v="TUR"/>
        <s v="FIN"/>
        <s v="AUT"/>
        <s v="BEL"/>
        <s v="BGR"/>
        <s v="CZE"/>
        <s v="DEU"/>
        <s v="DNK"/>
        <s v="ESP"/>
        <s v="EST"/>
        <s v="FRA"/>
        <s v="GRC"/>
        <s v="HRV"/>
        <s v="IRL"/>
        <s v="ITA"/>
        <s v="LTU"/>
        <s v="LUX"/>
        <s v="LVA"/>
        <s v="MLT"/>
        <s v="NLD"/>
        <s v="POL"/>
        <s v="PRT"/>
        <s v="ROU"/>
        <s v="SVK"/>
        <s v="SVN"/>
        <s v="SWE"/>
        <m/>
      </sharedItems>
    </cacheField>
    <cacheField name="year" numFmtId="0">
      <sharedItems containsString="0" containsBlank="1" containsNumber="1" containsInteger="1" minValue="1990" maxValue="2023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HWP in use from domestic harvest (kt C)" numFmtId="0">
      <sharedItems containsBlank="1" containsMixedTypes="1" containsNumber="1" minValue="2.6249999999999998E-4" maxValue="18356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5">
  <r>
    <x v="0"/>
    <x v="0"/>
    <n v="3892.517859733437"/>
    <n v="3850.9468597334371"/>
    <n v="41.570999999999998"/>
    <n v="2.565409710196751"/>
    <n v="-1.7922730508657221"/>
    <n v="0.77313665933102893"/>
    <n v="1.7979689439123991E-2"/>
    <n v="8.3187054577186476E-2"/>
    <n v="9.3983565259811441E-2"/>
    <s v="NaN"/>
    <n v="9985.9031144744331"/>
    <n v="-6976.4548600137568"/>
    <n v="3009.4482544606758"/>
    <n v="69.986262254250803"/>
    <n v="323.80709564031849"/>
    <n v="361.92571550382343"/>
    <s v="NaN"/>
    <n v="-13805.61353548451"/>
  </r>
  <r>
    <x v="0"/>
    <x v="1"/>
    <n v="3900.1819139415288"/>
    <n v="3858.6109139415289"/>
    <n v="41.570999999999998"/>
    <n v="2.450496334476314"/>
    <n v="-1.309953412937062"/>
    <n v="1.1405429215392531"/>
    <n v="1.8069548157335771E-2"/>
    <n v="8.6044741037527989E-2"/>
    <n v="0.16624265595413609"/>
    <s v="NaN"/>
    <n v="9557.3814839045317"/>
    <n v="-5109.0566092431063"/>
    <n v="4448.3248746614254"/>
    <n v="70.474524916336463"/>
    <n v="335.5901427843491"/>
    <n v="641.46572662725634"/>
    <s v="NaN"/>
    <n v="-20151.469319629508"/>
  </r>
  <r>
    <x v="0"/>
    <x v="2"/>
    <n v="3907.845968149622"/>
    <n v="3866.2749681496221"/>
    <n v="41.570999999999998"/>
    <n v="2.292588053519061"/>
    <n v="-1.396879786074833"/>
    <n v="0.89570826744422738"/>
    <n v="1.8113975405550261E-2"/>
    <n v="8.8891218527955979E-2"/>
    <n v="3.4719619602724509E-2"/>
    <s v="NaN"/>
    <n v="8959.0809815724497"/>
    <n v="-5458.7910400022429"/>
    <n v="3500.2899415702068"/>
    <n v="70.786625755740985"/>
    <n v="347.3731899283797"/>
    <n v="134.23559617369071"/>
    <s v="NaN"/>
    <n v="-14859.84629590409"/>
  </r>
  <r>
    <x v="0"/>
    <x v="3"/>
    <n v="3915.5100223577142"/>
    <n v="3873.9390223577138"/>
    <n v="41.570999999999998"/>
    <n v="2.2731187557480821"/>
    <n v="-1.3895769062907639"/>
    <n v="0.88354184945731762"/>
    <n v="1.8118512125369069E-2"/>
    <n v="9.1726552868365646E-2"/>
    <n v="0.20803516131732899"/>
    <s v="NaN"/>
    <n v="8900.4192701409102"/>
    <n v="-5440.9023034183128"/>
    <n v="3459.5169667225969"/>
    <n v="70.943215817092351"/>
    <n v="359.15623707241042"/>
    <n v="805.91552944968271"/>
    <s v="NaN"/>
    <n v="-17216.950479894771"/>
  </r>
  <r>
    <x v="0"/>
    <x v="4"/>
    <n v="3923.174076565806"/>
    <n v="3881.6030765658061"/>
    <n v="41.570999999999998"/>
    <n v="2.4269782082013922"/>
    <n v="-1.6189166775239661"/>
    <n v="0.80806153067742648"/>
    <n v="1.8176417148795702E-2"/>
    <n v="8.7846173809254191E-2"/>
    <n v="4.2287785805459263E-2"/>
    <s v="NaN"/>
    <n v="9521.4579908058295"/>
    <n v="-6351.2919413820646"/>
    <n v="3170.166049423764"/>
    <n v="71.309248563001432"/>
    <n v="344.63583181396012"/>
    <n v="164.14439948362639"/>
    <s v="NaN"/>
    <n v="-13750.936940710541"/>
  </r>
  <r>
    <x v="0"/>
    <x v="5"/>
    <n v="3928.450098284497"/>
    <n v="3886.8790982844971"/>
    <n v="41.570999999999998"/>
    <n v="2.4250504316224708"/>
    <n v="-1.458008285842743"/>
    <n v="0.96704214577972847"/>
    <n v="4.4755631811956957E-2"/>
    <n v="8.2828306183144657E-2"/>
    <n v="0.2048255705326634"/>
    <s v="NaN"/>
    <n v="9526.689606452157"/>
    <n v="-5727.7127938185322"/>
    <n v="3798.9768126336248"/>
    <n v="175.82026619046709"/>
    <n v="325.38686756591301"/>
    <n v="796.1322288976063"/>
    <s v="NaN"/>
    <n v="-18686.49264272294"/>
  </r>
  <r>
    <x v="0"/>
    <x v="6"/>
    <n v="3933.7261200031871"/>
    <n v="3892.1551200031872"/>
    <n v="41.570999999999998"/>
    <n v="2.2180108091454258"/>
    <n v="-1.575465472355186"/>
    <n v="0.6425453367902404"/>
    <n v="4.4817512815000522E-2"/>
    <n v="7.7823898761314361E-2"/>
    <n v="0.26602703735031891"/>
    <s v="NaN"/>
    <n v="8725.0470543847678"/>
    <n v="-6197.4496797667543"/>
    <n v="2527.597374618013"/>
    <n v="176.29982079394509"/>
    <n v="306.13790331786601"/>
    <n v="1035.4184954823229"/>
    <s v="NaN"/>
    <n v="-14833.329845445891"/>
  </r>
  <r>
    <x v="0"/>
    <x v="7"/>
    <n v="3939.0021417218782"/>
    <n v="3897.4311417218778"/>
    <n v="41.570999999999998"/>
    <n v="2.8079679896529912"/>
    <n v="-1.5458975898147169"/>
    <n v="1.2620703998382741"/>
    <n v="4.475654704570043E-2"/>
    <n v="7.2832897456717172E-2"/>
    <n v="0.1770239877349398"/>
    <s v="NaN"/>
    <n v="11060.591925129611"/>
    <n v="-6089.2939171628586"/>
    <n v="4971.2980079667486"/>
    <n v="176.29613466909001"/>
    <n v="286.88893906981889"/>
    <n v="689.93880262994605"/>
    <s v="NaN"/>
    <n v="-22456.213575899252"/>
  </r>
  <r>
    <x v="0"/>
    <x v="8"/>
    <n v="3944.2781634405678"/>
    <n v="3902.7071634405679"/>
    <n v="41.570999999999998"/>
    <n v="2.6739364251929101"/>
    <n v="-1.4717079090406739"/>
    <n v="1.2022285161522359"/>
    <n v="4.4765654064331667E-2"/>
    <n v="6.7855248471702934E-2"/>
    <n v="0.127060942933898"/>
    <s v="NaN"/>
    <n v="10546.749052316731"/>
    <n v="-5804.8253685919099"/>
    <n v="4741.9236837248209"/>
    <n v="176.56819179807789"/>
    <n v="267.63997482177189"/>
    <n v="495.88165218163692"/>
    <s v="NaN"/>
    <n v="-20834.04950926502"/>
  </r>
  <r>
    <x v="0"/>
    <x v="9"/>
    <n v="3949.5541851592589"/>
    <n v="3907.9831851592589"/>
    <n v="41.570999999999998"/>
    <n v="2.8129846264920899"/>
    <n v="-1.474285188410259"/>
    <n v="1.3386994380818309"/>
    <n v="4.487525995905773E-2"/>
    <n v="6.606046031850045E-2"/>
    <n v="0.12626607240711191"/>
    <s v="NaN"/>
    <n v="11110.03520435049"/>
    <n v="-5822.7692360040464"/>
    <n v="5287.2659683464444"/>
    <n v="177.23727078140621"/>
    <n v="260.90936752448061"/>
    <n v="493.44568782309472"/>
    <s v="NaN"/>
    <n v="-22802.48041307864"/>
  </r>
  <r>
    <x v="0"/>
    <x v="10"/>
    <n v="3954.830206877949"/>
    <n v="3913.25920687795"/>
    <n v="41.570999999999998"/>
    <n v="2.545443320981998"/>
    <n v="-1.3872888171750279"/>
    <n v="1.15815450380697"/>
    <n v="4.4923607763930062E-2"/>
    <n v="6.4270460912617774E-2"/>
    <n v="3.7430997005796093E-2"/>
    <s v="NaN"/>
    <n v="10066.796135715331"/>
    <n v="-5486.4917198277817"/>
    <n v="4580.3044158875473"/>
    <n v="177.66524098672741"/>
    <n v="254.17876022718929"/>
    <n v="146.4771936555525"/>
    <s v="NaN"/>
    <n v="-18914.960572777451"/>
  </r>
  <r>
    <x v="0"/>
    <x v="11"/>
    <n v="3960.10622859664"/>
    <n v="3918.535228596641"/>
    <n v="41.570999999999998"/>
    <n v="2.6894532941133549"/>
    <n v="-1.40628330296856"/>
    <n v="1.283169991144796"/>
    <n v="4.4949496499068861E-2"/>
    <n v="6.2485231114011643E-2"/>
    <n v="0.29304425570689002"/>
    <s v="NaN"/>
    <n v="10650.52074153805"/>
    <n v="-5569.0312672572491"/>
    <n v="5081.489474280801"/>
    <n v="178.0047810582455"/>
    <n v="247.4481529298981"/>
    <n v="1148.304239525331"/>
    <s v="NaN"/>
    <n v="-24402.571041914562"/>
  </r>
  <r>
    <x v="0"/>
    <x v="12"/>
    <n v="3964.3636925386172"/>
    <n v="3922.7926925386168"/>
    <n v="41.570999999999998"/>
    <n v="2.5408643047900679"/>
    <n v="-1.698682168184773"/>
    <n v="0.84218213660529528"/>
    <n v="6.4015826548687163E-2"/>
    <n v="6.0699096310827337E-2"/>
    <n v="8.3451030209991006E-2"/>
    <s v="NaN"/>
    <n v="10072.910197577119"/>
    <n v="-6734.1939127144888"/>
    <n v="3338.7162848626299"/>
    <n v="253.7820185174651"/>
    <n v="240.6332935845486"/>
    <n v="327.36109149257209"/>
    <s v="NaN"/>
    <n v="-15255.139857677839"/>
  </r>
  <r>
    <x v="0"/>
    <x v="13"/>
    <n v="3968.621156480594"/>
    <n v="3927.0501564805941"/>
    <n v="41.570999999999998"/>
    <n v="2.1946621222790288"/>
    <n v="-1.93655191187957"/>
    <n v="0.25811021039945931"/>
    <n v="6.3995436312746262E-2"/>
    <n v="5.8916793772916157E-2"/>
    <n v="0.29178640223142538"/>
    <s v="NaN"/>
    <n v="8709.7825298031548"/>
    <n v="-7685.4408881082036"/>
    <n v="1024.341641694951"/>
    <n v="253.97364246897121"/>
    <n v="233.81843423919909"/>
    <n v="1145.8598365418279"/>
    <s v="NaN"/>
    <n v="-9745.9763681323693"/>
  </r>
  <r>
    <x v="0"/>
    <x v="14"/>
    <n v="3972.8786204225698"/>
    <n v="3931.3076204225699"/>
    <n v="41.570999999999998"/>
    <n v="2.4400646858746251"/>
    <n v="-1.875904443488831"/>
    <n v="0.56416024238579376"/>
    <n v="6.3974666126927426E-2"/>
    <n v="5.8232887567568892E-2"/>
    <n v="0.37218621809063301"/>
    <s v="NaN"/>
    <n v="9694.0808229594113"/>
    <n v="-7452.7406574924762"/>
    <n v="2241.3401654669351"/>
    <n v="254.16358330434201"/>
    <n v="231.35219402266571"/>
    <n v="1463.178515395962"/>
    <s v="NaN"/>
    <n v="-15363.45968003105"/>
  </r>
  <r>
    <x v="0"/>
    <x v="15"/>
    <n v="3977.1360843645471"/>
    <n v="3935.5650843645471"/>
    <n v="41.570999999999998"/>
    <n v="2.4922876721170342"/>
    <n v="-1.8726163388913071"/>
    <n v="0.61967133322572687"/>
    <n v="6.3941170957914725E-2"/>
    <n v="5.7550445584690871E-2"/>
    <n v="0.27506916280120269"/>
    <s v="NaN"/>
    <n v="9912.1672333935712"/>
    <n v="-7447.6500135752458"/>
    <n v="2464.517219818325"/>
    <n v="254.30273829324511"/>
    <n v="228.88595380613239"/>
    <n v="1082.552592905801"/>
    <s v="NaN"/>
    <n v="-14777.61451768752"/>
  </r>
  <r>
    <x v="0"/>
    <x v="16"/>
    <n v="3981.3935483065238"/>
    <n v="3939.8225483065239"/>
    <n v="41.570999999999998"/>
    <n v="2.3817163922820241"/>
    <n v="-2.168178259381687"/>
    <n v="0.2135381329003368"/>
    <n v="6.3864585599046481E-2"/>
    <n v="5.6869463127026468E-2"/>
    <n v="0.193867372176105"/>
    <s v="NaN"/>
    <n v="9482.5502781275409"/>
    <n v="-8632.370933480719"/>
    <n v="850.17934464682185"/>
    <n v="254.27004906931339"/>
    <n v="226.41971358959901"/>
    <n v="763.8030442803514"/>
    <s v="NaN"/>
    <n v="-7680.4645558163465"/>
  </r>
  <r>
    <x v="0"/>
    <x v="17"/>
    <n v="3985.651012248501"/>
    <n v="3944.0800122485011"/>
    <n v="41.570999999999998"/>
    <n v="2.585913913247218"/>
    <n v="-2.396337263541195"/>
    <n v="0.18957664970602309"/>
    <n v="6.3812449221369555E-2"/>
    <n v="5.6189935517390537E-2"/>
    <n v="9.6243358605352797E-2"/>
    <s v="NaN"/>
    <n v="10306.550405921251"/>
    <n v="-9550.9640401217639"/>
    <n v="755.58636579949052"/>
    <n v="254.33415283320761"/>
    <n v="223.95347337306561"/>
    <n v="379.59150698703672"/>
    <s v="NaN"/>
    <n v="-5916.0401629741391"/>
  </r>
  <r>
    <x v="0"/>
    <x v="18"/>
    <n v="3989.9084761904769"/>
    <n v="3948.337476190477"/>
    <n v="41.570999999999998"/>
    <n v="2.6248017608631091"/>
    <n v="-2.4534967285261171"/>
    <n v="0.17130503233699229"/>
    <n v="6.3732815981595997E-2"/>
    <n v="5.551185809856117E-2"/>
    <n v="0.26605664626538172"/>
    <s v="NaN"/>
    <n v="10472.718793987409"/>
    <n v="-9789.2273934519599"/>
    <n v="683.49140053544943"/>
    <n v="254.2881026964578"/>
    <n v="221.4872331565322"/>
    <n v="1050.48142723916"/>
    <s v="NaN"/>
    <n v="-8102.409933301934"/>
  </r>
  <r>
    <x v="0"/>
    <x v="19"/>
    <n v="3992.1895238095249"/>
    <n v="3950.618523809525"/>
    <n v="41.570999999999998"/>
    <n v="2.4758472016149722"/>
    <n v="-1.9190791629204029"/>
    <n v="0.55676803869456848"/>
    <n v="2.662065422084732E-2"/>
    <n v="5.353729823067032E-2"/>
    <n v="0.1435170744883941"/>
    <s v="NaN"/>
    <n v="9884.0512608404188"/>
    <n v="-7661.3277295719863"/>
    <n v="2222.723531268432"/>
    <n v="106.2746968974225"/>
    <n v="213.73104112954829"/>
    <n v="566.98121295680107"/>
    <s v="NaN"/>
    <n v="-11402.271768259119"/>
  </r>
  <r>
    <x v="0"/>
    <x v="20"/>
    <n v="3994.4705714285719"/>
    <n v="3952.899571428572"/>
    <n v="41.570999999999998"/>
    <n v="2.372578437876236"/>
    <n v="-2.0341846821823562"/>
    <n v="0.33839375569387981"/>
    <n v="2.656228043186766E-2"/>
    <n v="5.1679166299945942E-2"/>
    <n v="0.42735325913508049"/>
    <s v="NaN"/>
    <n v="9477.1947485025976"/>
    <n v="-8125.4908498282048"/>
    <n v="1351.703898674393"/>
    <n v="106.1022474951284"/>
    <n v="206.4309089410973"/>
    <n v="1689.284514883663"/>
    <s v="NaN"/>
    <n v="-12296.24575664682"/>
  </r>
  <r>
    <x v="0"/>
    <x v="21"/>
    <n v="3996.751619047619"/>
    <n v="3955.18061904762"/>
    <n v="41.570999999999998"/>
    <n v="2.5258402947297012"/>
    <n v="-2.1465945486606111"/>
    <n v="0.37924574606909067"/>
    <n v="2.658717677079531E-2"/>
    <n v="4.9823155335356292E-2"/>
    <n v="0.32104113541522927"/>
    <s v="NaN"/>
    <n v="10095.15628741665"/>
    <n v="-8579.4052377980897"/>
    <n v="1515.751049618561"/>
    <n v="106.2623418045814"/>
    <n v="199.13077675264631"/>
    <n v="1269.7756767113569"/>
    <s v="NaN"/>
    <n v="-11333.37276458723"/>
  </r>
  <r>
    <x v="0"/>
    <x v="22"/>
    <n v="3999.032666666667"/>
    <n v="3957.461666666667"/>
    <n v="41.570999999999998"/>
    <n v="2.573565492304104"/>
    <n v="-2.0767642369177022"/>
    <n v="0.4968012553864023"/>
    <n v="2.6515948198071911E-2"/>
    <n v="4.7969261707505102E-2"/>
    <n v="0.1166514962984621"/>
    <s v="NaN"/>
    <n v="10291.772473530191"/>
    <n v="-8305.0480243989623"/>
    <n v="1986.7244491312319"/>
    <n v="106.0381430317307"/>
    <n v="191.8306445641953"/>
    <n v="461.64382496047227"/>
    <s v="NaN"/>
    <n v="-10069.53589285556"/>
  </r>
  <r>
    <x v="0"/>
    <x v="23"/>
    <n v="4001.313714285714"/>
    <n v="3959.7427142857141"/>
    <n v="41.570999999999998"/>
    <n v="2.1519286279853"/>
    <n v="-2.0021181685211742"/>
    <n v="0.14981045946412641"/>
    <n v="2.654517449505768E-2"/>
    <n v="4.611748179527219E-2"/>
    <n v="0.24640978463818219"/>
    <s v="NaN"/>
    <n v="8610.5415313216217"/>
    <n v="-8011.1028853243688"/>
    <n v="599.43864599725293"/>
    <n v="106.2155707551816"/>
    <n v="184.53051237574439"/>
    <n v="975.71934944975374"/>
    <s v="NaN"/>
    <n v="-6841.648288119708"/>
  </r>
  <r>
    <x v="0"/>
    <x v="24"/>
    <n v="4003.594761904762"/>
    <n v="3962.0237619047621"/>
    <n v="41.570999999999998"/>
    <n v="2.5611947609280961"/>
    <n v="-1.9773132739653929"/>
    <n v="0.58388148696270314"/>
    <n v="2.6526692431636158E-2"/>
    <n v="4.4267811985789933E-2"/>
    <n v="0.12316304915781601"/>
    <s v="NaN"/>
    <n v="10253.98592906964"/>
    <n v="-7916.3610662926021"/>
    <n v="2337.6248627770419"/>
    <n v="106.2021268699572"/>
    <n v="177.23038018729341"/>
    <n v="487.97492735191139"/>
    <s v="NaN"/>
    <n v="-11399.785089683781"/>
  </r>
  <r>
    <x v="0"/>
    <x v="25"/>
    <n v="4005.875809523809"/>
    <n v="3964.3048095238091"/>
    <n v="41.570999999999998"/>
    <n v="2.141525151938322"/>
    <n v="-2.052040934692323"/>
    <n v="8.9484217245999101E-2"/>
    <n v="2.658663212644103E-2"/>
    <n v="4.3600654461926867E-2"/>
    <n v="0.2370172892273921"/>
    <s v="NaN"/>
    <n v="8578.6838016365255"/>
    <n v="-8220.2211404366044"/>
    <n v="358.46266119992111"/>
    <n v="106.5027464920187"/>
    <n v="174.65880698843921"/>
    <n v="939.60877962444613"/>
    <s v="NaN"/>
    <n v="-5790.5209791182187"/>
  </r>
  <r>
    <x v="0"/>
    <x v="26"/>
    <n v="4008.156857142857"/>
    <n v="3966.5858571428571"/>
    <n v="41.570999999999998"/>
    <n v="2.4421603453511911"/>
    <n v="-1.9610584657041319"/>
    <n v="0.48110187964705869"/>
    <n v="2.6534704391872829E-2"/>
    <n v="4.2934256298605609E-2"/>
    <n v="0.13032849773868921"/>
    <s v="NaN"/>
    <n v="9788.5617344617422"/>
    <n v="-7860.2299365700655"/>
    <n v="1928.3317978916759"/>
    <n v="106.3552573605438"/>
    <n v="172.08723378958501"/>
    <n v="516.95917591295949"/>
    <s v="NaN"/>
    <n v="-9987.0227048350425"/>
  </r>
  <r>
    <x v="0"/>
    <x v="27"/>
    <n v="4010.437904761905"/>
    <n v="3968.8669047619051"/>
    <n v="41.570999999999998"/>
    <n v="2.2559129821999311"/>
    <n v="-2.0641915029919038"/>
    <n v="0.19172147920802679"/>
    <n v="2.6590994557842779E-2"/>
    <n v="4.226861620010413E-2"/>
    <n v="0.1298263324822273"/>
    <s v="NaN"/>
    <n v="9047.1989336590705"/>
    <n v="-8278.3118462861785"/>
    <n v="768.88708737289198"/>
    <n v="106.64153250009019"/>
    <n v="169.5156605907307"/>
    <n v="515.26343435532726"/>
    <s v="NaN"/>
    <n v="-5721.1282876703344"/>
  </r>
  <r>
    <x v="0"/>
    <x v="28"/>
    <n v="4012.7189523809511"/>
    <n v="3971.1479523809512"/>
    <n v="41.570999999999998"/>
    <n v="2.1255416500275039"/>
    <n v="-2.2391826729164421"/>
    <n v="-0.1136410228889379"/>
    <n v="2.655890891828544E-2"/>
    <n v="4.1603732873646687E-2"/>
    <n v="-9.3631619565741429E-3"/>
    <s v="NaN"/>
    <n v="8529.2012631404432"/>
    <n v="-8985.2107494548418"/>
    <n v="-456.0094863143986"/>
    <n v="106.5734371709634"/>
    <n v="166.94408739187651"/>
    <n v="-37.182501431660633"/>
    <s v="NaN"/>
    <n v="805.47303167187749"/>
  </r>
  <r>
    <x v="0"/>
    <x v="29"/>
    <n v="4015"/>
    <n v="3973.4290000000001"/>
    <n v="41.570999999999998"/>
    <n v="1.991136475353614"/>
    <n v="-2.464109728129614"/>
    <n v="-0.47297325277599889"/>
    <n v="6.6862055316545363E-2"/>
    <n v="4.0939605029395337E-2"/>
    <n v="6.3585561011653344E-2"/>
    <s v="NaN"/>
    <n v="7994.4129485447611"/>
    <n v="-9893.4005584403967"/>
    <n v="-1898.9876098956361"/>
    <n v="268.45115209592961"/>
    <n v="164.37251419302231"/>
    <n v="252.65271210497269"/>
    <s v="NaN"/>
    <n v="4449.541182173346"/>
  </r>
  <r>
    <x v="0"/>
    <x v="30"/>
    <n v="4017.281047619048"/>
    <n v="3975.7100476190481"/>
    <n v="41.570999999999998"/>
    <n v="2.2428041359543691"/>
    <n v="-2.1971674264829302"/>
    <n v="4.5636709471439572E-2"/>
    <n v="6.6900176578842854E-2"/>
    <n v="4.0276231380441709E-2"/>
    <n v="0.1120204253524628"/>
    <s v="NaN"/>
    <n v="9009.9745488911012"/>
    <n v="-8826.6390608557904"/>
    <n v="183.33548803531079"/>
    <n v="268.75681145255311"/>
    <n v="161.800940994168"/>
    <n v="445.36073061234572"/>
    <s v="NaN"/>
    <n v="-3883.9312273464052"/>
  </r>
  <r>
    <x v="0"/>
    <x v="31"/>
    <n v="4019.5620952380941"/>
    <n v="3977.9910952380942"/>
    <n v="41.570999999999998"/>
    <n v="2.3499262780377399"/>
    <n v="-2.3933134460622369"/>
    <n v="-4.3387168024496839E-2"/>
    <n v="6.6948491693192627E-2"/>
    <n v="3.9613610642798648E-2"/>
    <n v="0.25004494906637209"/>
    <s v="NaN"/>
    <n v="9445.6745938044332"/>
    <n v="-9620.072009815427"/>
    <n v="-174.39741601099379"/>
    <n v="269.1036195433195"/>
    <n v="159.22936779531381"/>
    <n v="994.67658079529099"/>
    <s v="NaN"/>
    <n v="-4578.2445577844956"/>
  </r>
  <r>
    <x v="0"/>
    <x v="32"/>
    <n v="4021.843142857143"/>
    <n v="3980.2721428571431"/>
    <n v="41.570999999999998"/>
    <n v="2.5147401524864672"/>
    <n v="-2.5275666042795342"/>
    <n v="-1.2826451793066639E-2"/>
    <n v="6.6981057145680353E-2"/>
    <n v="3.8972690151502842E-2"/>
    <n v="-2.6368521821107179E-3"/>
    <s v="NaN"/>
    <n v="10113.890438345221"/>
    <n v="-10165.476415536359"/>
    <n v="-51.58597719113277"/>
    <n v="269.38730538267691"/>
    <n v="156.74204664451781"/>
    <n v="-10.495389285287359"/>
    <s v="NaN"/>
    <n v="-1334.842613686295"/>
  </r>
  <r>
    <x v="0"/>
    <x v="33"/>
    <n v="4024.1241904761901"/>
    <n v="3982.5531904761901"/>
    <n v="41.570999999999998"/>
    <n v="2.2751360416702759"/>
    <n v="-2.4850610657339711"/>
    <n v="-0.20992502406369451"/>
    <n v="6.6988539796271077E-2"/>
    <n v="3.8332496263110659E-2"/>
    <n v="-0.24621374295436549"/>
    <s v="NaN"/>
    <n v="9155.429981909605"/>
    <n v="-10000.194349430611"/>
    <n v="-844.76436752100926"/>
    <n v="269.5702034788514"/>
    <n v="154.25472549372179"/>
    <n v="-980.55932754199284"/>
    <s v="NaN"/>
    <n v="5138.8288089987063"/>
  </r>
  <r>
    <x v="1"/>
    <x v="0"/>
    <n v="708.60066251415901"/>
    <n v="708.60066251415901"/>
    <s v="NaN"/>
    <n v="0.73469273367406063"/>
    <n v="-1.9923700844780689E-3"/>
    <n v="0.73270036358958257"/>
    <n v="3.0877843351602572E-5"/>
    <n v="1.2286131354637901E-4"/>
    <n v="7.3529376630901931E-4"/>
    <s v="NaN"/>
    <n v="520.60375782577796"/>
    <n v="-1.411794761834551"/>
    <n v="519.19196306394338"/>
    <n v="2.1880060255954001E-2"/>
    <n v="8.7059608176323994E-2"/>
    <n v="0.52102964994910228"/>
    <s v="NaN"/>
    <n v="-1906.0137520686981"/>
  </r>
  <r>
    <x v="1"/>
    <x v="1"/>
    <n v="708.93428971985395"/>
    <n v="708.93428971985395"/>
    <s v="NaN"/>
    <n v="0.73419532507847818"/>
    <n v="-1.993199642377087E-3"/>
    <n v="0.73220212543610108"/>
    <n v="6.172662423932333E-5"/>
    <n v="2.4560698907857148E-4"/>
    <n v="1.4626021965605631E-3"/>
    <s v="NaN"/>
    <n v="520.4962413001482"/>
    <n v="-1.413047572738467"/>
    <n v="519.08319372740971"/>
    <n v="4.3760120511909001E-2"/>
    <n v="0.17411921635264899"/>
    <n v="1.0368888493613611"/>
    <s v="NaN"/>
    <n v="-1907.905860350171"/>
  </r>
  <r>
    <x v="1"/>
    <x v="2"/>
    <n v="709.26791692555014"/>
    <n v="709.26791692555014"/>
    <s v="NaN"/>
    <n v="0.73369623946625007"/>
    <n v="-1.9945873593956941E-3"/>
    <n v="0.73170165210685434"/>
    <n v="9.2546383674582683E-5"/>
    <n v="3.6823718977886351E-4"/>
    <n v="2.1819365592412958E-3"/>
    <s v="NaN"/>
    <n v="520.38720342233682"/>
    <n v="-1.414696821524617"/>
    <n v="518.97250660081215"/>
    <n v="6.5640180767864001E-2"/>
    <n v="0.26117882452897301"/>
    <n v="1.5475775982367761"/>
    <s v="NaN"/>
    <n v="-1909.7719784161079"/>
  </r>
  <r>
    <x v="1"/>
    <x v="3"/>
    <n v="709.60154413124508"/>
    <n v="709.60154413124508"/>
    <s v="NaN"/>
    <n v="0.73319547493048165"/>
    <n v="-1.9951226942430721E-3"/>
    <n v="0.73120035223623869"/>
    <n v="1.2333716259167361E-4"/>
    <n v="4.9075207852265778E-4"/>
    <n v="2.8933081016458639E-3"/>
    <s v="NaN"/>
    <n v="520.27664116071139"/>
    <n v="-1.415742144566174"/>
    <n v="518.86089901614525"/>
    <n v="8.7520241023818002E-2"/>
    <n v="0.34823843270529597"/>
    <n v="2.0530958965753459"/>
    <s v="NaN"/>
    <n v="-1911.61576315049"/>
  </r>
  <r>
    <x v="1"/>
    <x v="4"/>
    <n v="709.93517133694093"/>
    <n v="709.93517133694093"/>
    <s v="NaN"/>
    <n v="0.73269302955872451"/>
    <n v="-1.9953536191263319E-3"/>
    <n v="0.73069767593959833"/>
    <n v="1.5409900184794439E-4"/>
    <n v="6.1315181787919204E-4"/>
    <n v="3.5967280499266752E-3"/>
    <s v="NaN"/>
    <n v="520.16455147715544"/>
    <n v="-1.416571713472238"/>
    <n v="518.74797976368325"/>
    <n v="0.109400301279772"/>
    <n v="0.435298040881621"/>
    <n v="2.5534437443770752"/>
    <s v="NaN"/>
    <n v="-1913.4357801176541"/>
  </r>
  <r>
    <x v="1"/>
    <x v="5"/>
    <n v="710.268798542637"/>
    <n v="710.268798542637"/>
    <s v="NaN"/>
    <n v="0.73218890143326687"/>
    <n v="-1.9953288677700049E-3"/>
    <n v="0.73019357256549688"/>
    <n v="1.8483194222397811E-4"/>
    <n v="7.3543657011224909E-4"/>
    <n v="4.29220760914355E-3"/>
    <s v="NaN"/>
    <n v="520.05093132725972"/>
    <n v="-1.4172198376084419"/>
    <n v="518.63371148965132"/>
    <n v="0.131280361535727"/>
    <n v="0.52235764905794502"/>
    <n v="3.048621141641954"/>
    <s v="NaN"/>
    <n v="-1915.23189235376"/>
  </r>
  <r>
    <x v="1"/>
    <x v="6"/>
    <n v="710.60242574833194"/>
    <n v="710.60242574833194"/>
    <s v="NaN"/>
    <n v="0.73168308863077225"/>
    <n v="-1.995315762499473E-3"/>
    <n v="0.7296877728682728"/>
    <n v="2.1553602442376759E-4"/>
    <n v="8.5760649718088936E-4"/>
    <n v="4.9797579633132916E-3"/>
    <s v="NaN"/>
    <n v="519.93577766005853"/>
    <n v="-1.4178762209660081"/>
    <n v="518.5179014390925"/>
    <n v="0.15316042179168099"/>
    <n v="0.60941725723426998"/>
    <n v="3.538628088369999"/>
    <s v="NaN"/>
    <n v="-1917.003393090632"/>
  </r>
  <r>
    <x v="1"/>
    <x v="7"/>
    <n v="710.94319229468726"/>
    <n v="710.94319229468726"/>
    <s v="NaN"/>
    <n v="0.73117706434010921"/>
    <n v="-1.9958552847452568E-3"/>
    <n v="0.72918120905536388"/>
    <n v="2.4620881660412811E-4"/>
    <n v="9.7965192290905712E-4"/>
    <n v="5.6593334434707782E-3"/>
    <s v="NaN"/>
    <n v="519.82535625461514"/>
    <n v="-1.4189397274950151"/>
    <n v="518.40641652712009"/>
    <n v="0.175040482047636"/>
    <n v="0.69647686541059395"/>
    <n v="4.0234645845612"/>
    <s v="NaN"/>
    <n v="-1918.771794350353"/>
  </r>
  <r>
    <x v="1"/>
    <x v="8"/>
    <n v="711.28395884104157"/>
    <n v="711.28395884104157"/>
    <s v="NaN"/>
    <n v="0.730669332779326"/>
    <n v="-1.9973653091803702E-3"/>
    <n v="0.72867196747014573"/>
    <n v="2.7685221894284141E-4"/>
    <n v="1.101580408004145E-3"/>
    <n v="6.3309885935750607E-3"/>
    <s v="NaN"/>
    <n v="519.71337562302142"/>
    <n v="-1.4206939043655751"/>
    <n v="518.2926817186559"/>
    <n v="0.19692054230359099"/>
    <n v="0.78353647358691803"/>
    <n v="4.5031306302155469"/>
    <s v="NaN"/>
    <n v="-1920.512987670968"/>
  </r>
  <r>
    <x v="1"/>
    <x v="9"/>
    <n v="711.62472538739689"/>
    <n v="711.62472538739689"/>
    <s v="NaN"/>
    <n v="0.78950076734665187"/>
    <n v="-1.9970111734470952E-3"/>
    <n v="0.78750375617320489"/>
    <n v="3.0746627366050772E-4"/>
    <n v="1.2233921204597041E-3"/>
    <n v="6.9947347917447946E-3"/>
    <s v="NaN"/>
    <n v="561.82826675620026"/>
    <n v="-1.4211225278998521"/>
    <n v="560.40714422830047"/>
    <n v="0.218800602559545"/>
    <n v="0.87059608176324199"/>
    <n v="4.9776262253330614"/>
    <s v="NaN"/>
    <n v="-2077.0719461726949"/>
  </r>
  <r>
    <x v="1"/>
    <x v="10"/>
    <n v="711.96549193375131"/>
    <n v="711.96549193375131"/>
    <s v="NaN"/>
    <n v="0.79503357725803259"/>
    <n v="-1.996086490760171E-3"/>
    <n v="0.79303749076727237"/>
    <n v="3.3805102289689967E-4"/>
    <n v="1.345087227947666E-3"/>
    <n v="7.6505833943150752E-3"/>
    <s v="NaN"/>
    <n v="566.03647193636527"/>
    <n v="-1.42114470033638"/>
    <n v="564.61532723602886"/>
    <n v="0.24068066281549899"/>
    <n v="0.95765568993956607"/>
    <n v="5.4469513699137213"/>
    <s v="NaN"/>
    <n v="-2094.622254848749"/>
  </r>
  <r>
    <x v="1"/>
    <x v="11"/>
    <n v="712.30625848010652"/>
    <n v="712.30625848010652"/>
    <s v="NaN"/>
    <n v="0.80209404203813262"/>
    <n v="-1.9954466234541278E-3"/>
    <n v="0.80009859541467843"/>
    <n v="3.6860650871114992E-4"/>
    <n v="1.466665897819101E-3"/>
    <n v="8.2985457358895776E-3"/>
    <s v="NaN"/>
    <n v="571.3366060333675"/>
    <n v="-1.421369118349372"/>
    <n v="569.91523691501811"/>
    <n v="0.26256072307145401"/>
    <n v="1.04471529811589"/>
    <n v="5.911106063957547"/>
    <s v="NaN"/>
    <n v="-2116.1566030007898"/>
  </r>
  <r>
    <x v="1"/>
    <x v="12"/>
    <n v="712.64702502646196"/>
    <n v="712.64702502646196"/>
    <s v="NaN"/>
    <n v="0.76109105481565398"/>
    <n v="-1.995477100039045E-3"/>
    <n v="0.75909557771561498"/>
    <n v="3.9913277308194358E-4"/>
    <n v="1.588128297104988E-3"/>
    <n v="8.9386331293924877E-3"/>
    <s v="NaN"/>
    <n v="542.38927598862767"/>
    <n v="-1.422070818851257"/>
    <n v="540.96720516977643"/>
    <n v="0.28444078332740902"/>
    <n v="1.1317749062922109"/>
    <n v="6.3700903074645296"/>
    <s v="NaN"/>
    <n v="-2012.0962076120049"/>
  </r>
  <r>
    <x v="1"/>
    <x v="13"/>
    <n v="712.98779157281615"/>
    <n v="712.98779157281615"/>
    <s v="NaN"/>
    <n v="0.76673611138684694"/>
    <n v="-1.9952451017902061E-3"/>
    <n v="0.76474086628505678"/>
    <n v="4.2962985790771292E-4"/>
    <n v="1.70947459251701E-3"/>
    <n v="9.5708568661203326E-3"/>
    <s v="NaN"/>
    <n v="546.67348677683674"/>
    <n v="-1.422585398771878"/>
    <n v="545.2509013780649"/>
    <n v="0.30632084358336298"/>
    <n v="1.2188345144685431"/>
    <n v="6.8239041004346603"/>
    <s v="NaN"/>
    <n v="-2029.8665230675399"/>
  </r>
  <r>
    <x v="1"/>
    <x v="14"/>
    <n v="713.32855811917159"/>
    <n v="713.32855811917159"/>
    <s v="NaN"/>
    <n v="0.7723808040424196"/>
    <n v="-1.994805340701762E-3"/>
    <n v="0.77038599870171787"/>
    <n v="4.6009780500682891E-4"/>
    <n v="1.8307049504482299E-3"/>
    <n v="1.019522821579362E-2"/>
    <s v="NaN"/>
    <n v="550.96128526650557"/>
    <n v="-1.4229516174112109"/>
    <n v="549.5383336490944"/>
    <n v="0.32820090383931699"/>
    <n v="1.305894122644865"/>
    <n v="7.2725474428679568"/>
    <s v="NaN"/>
    <n v="-2047.6315791011559"/>
  </r>
  <r>
    <x v="1"/>
    <x v="15"/>
    <n v="713.64433697321829"/>
    <n v="713.64433697321829"/>
    <s v="NaN"/>
    <n v="0.77801623701260803"/>
    <n v="-1.9928797643027252E-3"/>
    <n v="0.7760233572483054"/>
    <n v="4.9055383187102889E-4"/>
    <n v="1.9518878783920939E-3"/>
    <n v="1.0849675024134611E-2"/>
    <s v="NaN"/>
    <n v="555.22688161726091"/>
    <n v="-1.422207358063162"/>
    <n v="553.80467425919778"/>
    <n v="0.35008096409527201"/>
    <n v="1.3929537308211879"/>
    <n v="7.7428091389734286"/>
    <s v="NaN"/>
    <n v="-2065.3985663415092"/>
  </r>
  <r>
    <x v="1"/>
    <x v="16"/>
    <n v="713.96011582726589"/>
    <n v="713.96011582726589"/>
    <s v="NaN"/>
    <n v="0.78365173769365493"/>
    <n v="-1.991472173254385E-3"/>
    <n v="0.78166026552040058"/>
    <n v="5.2098291782060491E-4"/>
    <n v="2.0729636098546179E-3"/>
    <n v="1.150099116608751E-2"/>
    <s v="NaN"/>
    <n v="559.49608541200007"/>
    <n v="-1.421831703483478"/>
    <n v="558.07425370851661"/>
    <n v="0.37196102435122602"/>
    <n v="1.4800133389975101"/>
    <n v="8.2112489850681989"/>
    <s v="NaN"/>
    <n v="-2083.1707492089458"/>
  </r>
  <r>
    <x v="1"/>
    <x v="17"/>
    <n v="714.27589468131362"/>
    <n v="714.27589468131362"/>
    <s v="NaN"/>
    <n v="0.78928732100732668"/>
    <n v="-1.9910503935081209E-3"/>
    <n v="0.78729627061381857"/>
    <n v="5.5138509858701024E-4"/>
    <n v="2.1939322870093612E-3"/>
    <n v="1.2149180793822E-2"/>
    <s v="NaN"/>
    <n v="563.76890737312544"/>
    <n v="-1.4221593011785949"/>
    <n v="562.34674807194688"/>
    <n v="0.39384108460718098"/>
    <n v="1.5670729471738321"/>
    <n v="8.677866981152242"/>
    <s v="NaN"/>
    <n v="-2100.9469399780851"/>
  </r>
  <r>
    <x v="1"/>
    <x v="18"/>
    <n v="714.5916735353602"/>
    <n v="714.5916735353602"/>
    <s v="NaN"/>
    <n v="0.79492300265158655"/>
    <n v="-1.991502122862292E-3"/>
    <n v="0.79293150052872419"/>
    <n v="5.8176040983853536E-4"/>
    <n v="2.3147940517785968E-3"/>
    <n v="1.279424805216845E-2"/>
    <s v="NaN"/>
    <n v="568.04535879655077"/>
    <n v="-1.4231108348253869"/>
    <n v="566.62224796172541"/>
    <n v="0.41572114486313599"/>
    <n v="1.6541325553501649"/>
    <n v="9.1426631272255747"/>
    <s v="NaN"/>
    <n v="-2118.7274708937948"/>
  </r>
  <r>
    <x v="1"/>
    <x v="19"/>
    <n v="714.93244008171541"/>
    <n v="714.93244008171541"/>
    <s v="NaN"/>
    <n v="0.80056690520362839"/>
    <n v="-1.9913119507878091E-3"/>
    <n v="0.79857559325284055"/>
    <n v="6.120874932868804E-4"/>
    <n v="2.4354639206572749E-3"/>
    <n v="1.343572746844483E-2"/>
    <s v="NaN"/>
    <n v="572.35125098589742"/>
    <n v="-1.4236535119406091"/>
    <n v="570.92759747395678"/>
    <n v="0.43760120511909001"/>
    <n v="1.7411921635264871"/>
    <n v="9.6056374232881918"/>
    <s v="NaN"/>
    <n v="-2136.6107703084599"/>
  </r>
  <r>
    <x v="1"/>
    <x v="20"/>
    <n v="715.58688875606288"/>
    <n v="715.58688875606288"/>
    <s v="NaN"/>
    <n v="0.80933517511231001"/>
    <n v="-8.0128432301297854E-3"/>
    <n v="0.80132233188218016"/>
    <n v="7.1655093688873937E-4"/>
    <n v="2.851118464673087E-3"/>
    <n v="1.5677193885624229E-2"/>
    <s v="NaN"/>
    <n v="579.14963991946126"/>
    <n v="-5.7338855571386542"/>
    <n v="573.41575436232256"/>
    <n v="0.512754455563455"/>
    <n v="2.0402229916103769"/>
    <n v="11.218394397039409"/>
    <s v="NaN"/>
    <n v="-2153.0194627574938"/>
  </r>
  <r>
    <x v="1"/>
    <x v="21"/>
    <n v="716.24133743041034"/>
    <n v="716.24133743041034"/>
    <s v="NaN"/>
    <n v="0.81808940854832823"/>
    <n v="-8.0055806843738007E-3"/>
    <n v="0.81008382786395439"/>
    <n v="8.2082347846188354E-4"/>
    <n v="3.266013419564126E-3"/>
    <n v="1.7928483313848061E-2"/>
    <s v="NaN"/>
    <n v="585.94945211630795"/>
    <n v="-5.733927816282951"/>
    <n v="580.21552430002498"/>
    <n v="0.58790770600782105"/>
    <n v="2.3392538196942771"/>
    <n v="12.84112086680933"/>
    <s v="NaN"/>
    <n v="-2185.2739578728319"/>
  </r>
  <r>
    <x v="1"/>
    <x v="22"/>
    <n v="716.89578610475769"/>
    <n v="716.89578610475769"/>
    <s v="NaN"/>
    <n v="0.82698236339142217"/>
    <n v="-7.9981105456146603E-3"/>
    <n v="0.81898425284580756"/>
    <n v="9.2490564082531096E-4"/>
    <n v="3.6801508655996649E-3"/>
    <n v="2.0189568851061601E-2"/>
    <s v="NaN"/>
    <n v="592.86017149826398"/>
    <n v="-5.7338117469511749"/>
    <n v="587.12635975131286"/>
    <n v="0.66306095645218599"/>
    <n v="2.638284647778177"/>
    <n v="14.47381683259793"/>
    <s v="NaN"/>
    <n v="-2217.9722480233859"/>
  </r>
  <r>
    <x v="1"/>
    <x v="23"/>
    <n v="716.88221791388003"/>
    <n v="716.88221791388003"/>
    <s v="NaN"/>
    <n v="0.7576154663411806"/>
    <n v="-7.998103074514715E-3"/>
    <n v="0.74961736326666595"/>
    <n v="1.0297566161492301E-3"/>
    <n v="4.097347377941144E-3"/>
    <n v="2.1774555306387999E-2"/>
    <s v="NaN"/>
    <n v="543.12105583652408"/>
    <n v="-5.7336978711619322"/>
    <n v="537.38735796536218"/>
    <n v="0.73821420689655204"/>
    <n v="2.9373154758620679"/>
    <n v="15.60979150213188"/>
    <s v="NaN"/>
    <n v="-2041.133156884446"/>
  </r>
  <r>
    <x v="1"/>
    <x v="24"/>
    <n v="716.86864972300214"/>
    <n v="716.86864972300214"/>
    <s v="NaN"/>
    <n v="0.75557915862426273"/>
    <n v="-7.9984938097872639E-3"/>
    <n v="0.74758066481447549"/>
    <n v="1.134611560507219E-3"/>
    <n v="4.5145596828602991E-3"/>
    <n v="2.338571605146459E-2"/>
    <s v="NaN"/>
    <n v="541.65101120181725"/>
    <n v="-5.7338694572399866"/>
    <n v="535.91714174457729"/>
    <n v="0.81336745734091809"/>
    <n v="3.2363463039459668"/>
    <n v="16.764486688618959"/>
    <s v="NaN"/>
    <n v="-2041.348254713291"/>
  </r>
  <r>
    <x v="1"/>
    <x v="25"/>
    <n v="716.85508153212425"/>
    <n v="716.85508153212425"/>
    <s v="NaN"/>
    <n v="0.69126039156770314"/>
    <n v="-7.9982822666405818E-3"/>
    <n v="0.68326210930106257"/>
    <n v="1.239470474124645E-3"/>
    <n v="4.9317877812538428E-3"/>
    <n v="2.50230525725238E-2"/>
    <s v="NaN"/>
    <n v="495.53352435719398"/>
    <n v="-5.7336092863695782"/>
    <n v="489.7999150708244"/>
    <n v="0.88852070778528303"/>
    <n v="3.5353771320298581"/>
    <n v="17.937902392059179"/>
    <s v="NaN"/>
    <n v="-1877.9262894433989"/>
  </r>
  <r>
    <x v="1"/>
    <x v="26"/>
    <n v="717.17552177385903"/>
    <n v="717.17552177385903"/>
    <s v="NaN"/>
    <n v="0.75084499775196967"/>
    <n v="-7.9953358249528223E-3"/>
    <n v="0.74284966192701685"/>
    <n v="1.3437072640824391E-3"/>
    <n v="5.3465404823490751E-3"/>
    <n v="2.7018240520761069E-2"/>
    <s v="NaN"/>
    <n v="538.48765303406083"/>
    <n v="-5.7340591420177676"/>
    <n v="532.75359389204311"/>
    <n v="0.96367395822964808"/>
    <n v="3.834407960113758"/>
    <n v="19.376820742888441"/>
    <s v="NaN"/>
    <n v="-2042.0711540288601"/>
  </r>
  <r>
    <x v="1"/>
    <x v="27"/>
    <n v="717.4959620155937"/>
    <n v="717.4959620155937"/>
    <s v="NaN"/>
    <n v="0.74915863629733193"/>
    <n v="-7.9917411127154395E-3"/>
    <n v="0.74116689518461643"/>
    <n v="1.4478509478377179E-3"/>
    <n v="5.7609227187648236E-3"/>
    <n v="2.903163948363912E-2"/>
    <s v="NaN"/>
    <n v="537.51829645244447"/>
    <n v="-5.734041977847335"/>
    <n v="531.78425447459711"/>
    <n v="1.0388272086740129"/>
    <n v="4.1334387881976573"/>
    <n v="20.83008410020355"/>
    <s v="NaN"/>
    <n v="-2045.2175500963169"/>
  </r>
  <r>
    <x v="1"/>
    <x v="28"/>
    <n v="717.8164022573286"/>
    <n v="717.8164022573286"/>
    <s v="NaN"/>
    <n v="0.73185458084138544"/>
    <n v="-7.9881735215514751E-3"/>
    <n v="0.72386640731983387"/>
    <n v="1.551901650081034E-3"/>
    <n v="6.1749349866382129E-3"/>
    <n v="3.1015888898412711E-2"/>
    <s v="NaN"/>
    <n v="525.33722219510855"/>
    <n v="-5.734041977847335"/>
    <n v="519.60318021726118"/>
    <n v="1.11398045911838"/>
    <n v="4.4324696162815478"/>
    <n v="22.26371378187163"/>
    <s v="NaN"/>
    <n v="-2007.1822616068021"/>
  </r>
  <r>
    <x v="1"/>
    <x v="29"/>
    <n v="718.13684249906328"/>
    <n v="718.13684249906328"/>
    <s v="NaN"/>
    <n v="0.68405720090134947"/>
    <n v="-7.9846091141811942E-3"/>
    <n v="0.67607259178716828"/>
    <n v="1.6558594952803831E-3"/>
    <n v="6.5885777812208814E-3"/>
    <n v="3.3012464013600203E-2"/>
    <s v="NaN"/>
    <n v="491.24667834404249"/>
    <n v="-5.7340419778473253"/>
    <n v="485.51263636619518"/>
    <n v="1.189133709562747"/>
    <n v="4.731500444365448"/>
    <n v="23.707466669840809"/>
    <s v="NaN"/>
    <n v="-1888.8493696967071"/>
  </r>
  <r>
    <x v="1"/>
    <x v="30"/>
    <n v="718.45728274079818"/>
    <n v="718.45728274079818"/>
    <s v="NaN"/>
    <n v="0.69375285035837186"/>
    <n v="-7.9810478863445913E-3"/>
    <n v="0.68577180247202729"/>
    <n v="1.7597246076816999E-3"/>
    <n v="7.0018515968808537E-3"/>
    <n v="3.5021348336987543E-2"/>
    <s v="NaN"/>
    <n v="498.43178776215939"/>
    <n v="-5.7340419778473253"/>
    <n v="492.69774578431208"/>
    <n v="1.2642869600071109"/>
    <n v="5.0305312724493367"/>
    <n v="25.161342764111041"/>
    <s v="NaN"/>
    <n v="-1921.8976581967329"/>
  </r>
  <r>
    <x v="1"/>
    <x v="31"/>
    <n v="718.77772298253296"/>
    <n v="718.77772298253296"/>
    <s v="NaN"/>
    <n v="0.70299412239976766"/>
    <n v="-7.9774898337892121E-3"/>
    <n v="0.69501663256597845"/>
    <n v="1.863497111309366E-3"/>
    <n v="7.414756927104642E-3"/>
    <n v="3.7042525405770521E-2"/>
    <s v="NaN"/>
    <n v="505.2965145686091"/>
    <n v="-5.7340419778473146"/>
    <n v="499.56247259076179"/>
    <n v="1.339440210451474"/>
    <n v="5.3295621005332379"/>
    <n v="26.625342064682361"/>
    <s v="NaN"/>
    <n v="-1953.8083288770831"/>
  </r>
  <r>
    <x v="1"/>
    <x v="32"/>
    <n v="719.09816322426764"/>
    <n v="719.09816322426764"/>
    <s v="NaN"/>
    <n v="0.70252784026405557"/>
    <n v="-7.9739349522702507E-3"/>
    <n v="0.6945539053117854"/>
    <n v="1.967177129966695E-3"/>
    <n v="7.8272942644990878E-3"/>
    <n v="3.9075978786489093E-2"/>
    <s v="NaN"/>
    <n v="505.18647954779408"/>
    <n v="-5.7340419778473253"/>
    <n v="499.45243756994682"/>
    <n v="1.414593460895837"/>
    <n v="5.628592928617139"/>
    <n v="28.099464571554751"/>
    <s v="NaN"/>
    <n v="-1960.1819912805649"/>
  </r>
  <r>
    <x v="1"/>
    <x v="33"/>
    <n v="719.41860346600265"/>
    <n v="719.41860346600265"/>
    <s v="NaN"/>
    <n v="0.69926339606635179"/>
    <n v="-7.9703832375503589E-3"/>
    <n v="0.6912930128288014"/>
    <n v="2.0707647872364211E-3"/>
    <n v="8.2394641007933669E-3"/>
    <n v="4.1121692074962093E-2"/>
    <s v="NaN"/>
    <n v="503.06309585294912"/>
    <n v="-5.7340419778473164"/>
    <n v="497.32905387510169"/>
    <n v="1.4897467113402001"/>
    <n v="5.9276237567010277"/>
    <n v="29.58371028472822"/>
    <s v="NaN"/>
    <n v="-1959.2104936357059"/>
  </r>
  <r>
    <x v="2"/>
    <x v="0"/>
    <n v="3809.2573060970881"/>
    <n v="3809.2573060970881"/>
    <s v="NaN"/>
    <n v="1.1068751606999561"/>
    <n v="-6.7295731973354344E-3"/>
    <n v="1.10014558750262"/>
    <n v="2.3082558416638799E-2"/>
    <n v="6.0556213458067817E-2"/>
    <n v="-1.2552531754975321E-2"/>
    <s v="NaN"/>
    <n v="4216.3722928336947"/>
    <n v="-25.634675868865141"/>
    <n v="4190.7376169648296"/>
    <n v="87.927404291994151"/>
    <n v="230.67419854471959"/>
    <n v="-47.815823297655427"/>
    <s v="NaN"/>
    <n v="-16358.91912051574"/>
  </r>
  <r>
    <x v="2"/>
    <x v="1"/>
    <n v="3813.4220372896002"/>
    <n v="3813.4220372896002"/>
    <s v="NaN"/>
    <n v="1.109316539348322"/>
    <n v="-6.8954071109438549E-3"/>
    <n v="1.102421132237378"/>
    <n v="2.342202696289785E-2"/>
    <n v="5.7051946563255608E-2"/>
    <n v="-1.1707042910652631E-2"/>
    <s v="NaN"/>
    <n v="4230.2921374807274"/>
    <n v="-26.295097432956709"/>
    <n v="4203.9970400477696"/>
    <n v="89.318073778305859"/>
    <n v="217.56315029458759"/>
    <n v="-44.643895426977707"/>
    <s v="NaN"/>
    <n v="-16376.19268521167"/>
  </r>
  <r>
    <x v="2"/>
    <x v="2"/>
    <n v="3817.586768482111"/>
    <n v="3817.586768482111"/>
    <s v="NaN"/>
    <n v="1.112313462971771"/>
    <n v="-7.0560499564965174E-3"/>
    <n v="1.1052574130152739"/>
    <n v="2.3749679182038061E-2"/>
    <n v="5.31468139810213E-2"/>
    <n v="-1.07771549611247E-2"/>
    <s v="NaN"/>
    <n v="4246.3531586455483"/>
    <n v="-26.937082951669879"/>
    <n v="4219.4160756938782"/>
    <n v="90.66646100104353"/>
    <n v="202.89257384092701"/>
    <n v="-41.142724181470982"/>
    <s v="NaN"/>
    <n v="-16396.718749967549"/>
  </r>
  <r>
    <x v="2"/>
    <x v="3"/>
    <n v="3821.7514996746222"/>
    <n v="3821.7514996746222"/>
    <s v="NaN"/>
    <n v="1.115803848226137"/>
    <n v="-6.6142764083589383E-3"/>
    <n v="1.109189571817778"/>
    <n v="2.4120844462065021E-2"/>
    <n v="4.8769700120227827E-2"/>
    <n v="-9.7556946683096928E-3"/>
    <s v="NaN"/>
    <n v="4264.3250303009536"/>
    <n v="-25.278120782908239"/>
    <n v="4239.046909518046"/>
    <n v="92.183873496315272"/>
    <n v="186.38567457316231"/>
    <n v="-37.28384072898028"/>
    <s v="NaN"/>
    <n v="-16427.886261816151"/>
  </r>
  <r>
    <x v="2"/>
    <x v="4"/>
    <n v="3825.916230867133"/>
    <n v="3825.916230867133"/>
    <s v="NaN"/>
    <n v="1.1192520457488171"/>
    <n v="-6.6274643666617622E-3"/>
    <n v="1.1126245813821549"/>
    <n v="2.449030791713698E-2"/>
    <n v="4.4404924576703947E-2"/>
    <n v="-8.7398812392932776E-3"/>
    <s v="NaN"/>
    <n v="4282.1645682616418"/>
    <n v="-25.3561234899048"/>
    <n v="4256.8084447717374"/>
    <n v="93.69786655910822"/>
    <n v="169.88952166844251"/>
    <n v="-33.438053489263297"/>
    <s v="NaN"/>
    <n v="-16452.17852487159"/>
  </r>
  <r>
    <x v="2"/>
    <x v="5"/>
    <n v="3830.0809620596442"/>
    <n v="3830.0809620596442"/>
    <s v="NaN"/>
    <n v="1.1226586443452911"/>
    <n v="-6.4225161060649759E-3"/>
    <n v="1.1162361282392259"/>
    <n v="2.4858737340517169E-2"/>
    <n v="4.0042490994350997E-2"/>
    <n v="-7.7301511796652126E-3"/>
    <s v="NaN"/>
    <n v="4299.8735005985873"/>
    <n v="-24.598756666360899"/>
    <n v="4275.2747439322266"/>
    <n v="95.210976628755986"/>
    <n v="153.3659824309085"/>
    <n v="-29.607104867078629"/>
    <s v="NaN"/>
    <n v="-16478.89685979248"/>
  </r>
  <r>
    <x v="2"/>
    <x v="6"/>
    <n v="3834.245693252155"/>
    <n v="3834.245693252155"/>
    <s v="NaN"/>
    <n v="1.0603071161614901"/>
    <n v="-6.3987578511407002E-3"/>
    <n v="1.053908358310349"/>
    <n v="2.5229170641772269E-2"/>
    <n v="3.5689522950149592E-2"/>
    <n v="-6.724323048542989E-3"/>
    <s v="NaN"/>
    <n v="4065.477993666806"/>
    <n v="-24.53440973289965"/>
    <n v="4040.9435839339071"/>
    <n v="96.734838877539033"/>
    <n v="136.84239966583499"/>
    <n v="-25.78270668891216"/>
    <s v="NaN"/>
    <n v="-15578.70642455877"/>
  </r>
  <r>
    <x v="2"/>
    <x v="7"/>
    <n v="3838.4104244446671"/>
    <n v="3838.4104244446671"/>
    <s v="NaN"/>
    <n v="1.0658025425099029"/>
    <n v="-6.3547160825110777E-3"/>
    <n v="1.0594478264273921"/>
    <n v="2.5598248738275192E-2"/>
    <n v="3.1346073374773083E-2"/>
    <n v="-5.7247281037258518E-3"/>
    <s v="NaN"/>
    <n v="4090.9875895696409"/>
    <n v="-24.39200845549669"/>
    <n v="4066.5955811141439"/>
    <n v="98.25658480452303"/>
    <n v="120.31909480713639"/>
    <n v="-21.973856030452659"/>
    <s v="NaN"/>
    <n v="-15631.723817217709"/>
  </r>
  <r>
    <x v="2"/>
    <x v="8"/>
    <n v="3842.575155637177"/>
    <n v="3842.575155637177"/>
    <s v="NaN"/>
    <n v="1.071287348120681"/>
    <n v="-6.4274788125405959E-3"/>
    <n v="1.064859869308141"/>
    <n v="2.596638031221233E-2"/>
    <n v="2.70157040189405E-2"/>
    <n v="-4.7242407180619773E-3"/>
    <s v="NaN"/>
    <n v="4116.5021484369663"/>
    <n v="-24.698070398452838"/>
    <n v="4091.804078038514"/>
    <n v="99.777767869533449"/>
    <n v="103.8098730752282"/>
    <n v="-18.153250012474491"/>
    <s v="NaN"/>
    <n v="-15683.207719561031"/>
  </r>
  <r>
    <x v="2"/>
    <x v="9"/>
    <n v="3846.7398868296891"/>
    <n v="3846.7398868296891"/>
    <s v="NaN"/>
    <n v="1.075720703626037"/>
    <n v="-6.6140062182766246E-3"/>
    <n v="1.0691066974077601"/>
    <n v="2.62727865832907E-2"/>
    <n v="2.3347274277536401E-2"/>
    <n v="-3.8619390646138789E-3"/>
    <s v="NaN"/>
    <n v="4138.0177377267737"/>
    <n v="-25.442361531584289"/>
    <n v="4112.5753761951892"/>
    <n v="101.0645760881082"/>
    <n v="89.810891212152072"/>
    <n v="-14.855875040355951"/>
    <s v="NaN"/>
    <n v="-15724.848217670111"/>
  </r>
  <r>
    <x v="2"/>
    <x v="10"/>
    <n v="3850.9046180222008"/>
    <n v="3850.9046180222008"/>
    <s v="NaN"/>
    <n v="1.077426184037019"/>
    <n v="-6.5262250075111767E-3"/>
    <n v="1.070899959029507"/>
    <n v="2.6510238776366449E-2"/>
    <n v="2.038552196452342E-2"/>
    <n v="-3.153427111671458E-3"/>
    <s v="NaN"/>
    <n v="4149.0654676861923"/>
    <n v="-25.131870019676761"/>
    <n v="4123.9335976665152"/>
    <n v="102.0884009287808"/>
    <n v="78.50270067397625"/>
    <n v="-12.14354702693203"/>
    <s v="NaN"/>
    <n v="-15738.730891556679"/>
  </r>
  <r>
    <x v="2"/>
    <x v="11"/>
    <n v="3855.069349214712"/>
    <n v="3855.069349214712"/>
    <s v="NaN"/>
    <n v="0.86249804447523204"/>
    <n v="-6.349337528954173E-3"/>
    <n v="0.85614870694627776"/>
    <n v="3.1779924189799573E-2"/>
    <n v="1.774839003198412E-2"/>
    <n v="-2.5178483728883361E-3"/>
    <s v="NaN"/>
    <n v="3324.989775014094"/>
    <n v="-24.477136495689908"/>
    <n v="3300.5126385184039"/>
    <n v="122.5138116644635"/>
    <n v="68.421274410209918"/>
    <n v="-9.7064800882919577"/>
    <s v="NaN"/>
    <n v="-12766.38456318538"/>
  </r>
  <r>
    <x v="2"/>
    <x v="12"/>
    <n v="3859.2340804072228"/>
    <n v="3859.2340804072228"/>
    <s v="NaN"/>
    <n v="0.86076605228567837"/>
    <n v="-6.4902906113243246E-3"/>
    <n v="0.85427576167435404"/>
    <n v="3.1926328670628917E-2"/>
    <n v="1.5417892108295471E-2"/>
    <n v="-1.9495922853634299E-3"/>
    <s v="NaN"/>
    <n v="3321.8976842384759"/>
    <n v="-25.04755071896987"/>
    <n v="3296.850133519506"/>
    <n v="123.21117566797339"/>
    <n v="59.50125467237546"/>
    <n v="-7.5239329905735524"/>
    <s v="NaN"/>
    <n v="-12730.80831318852"/>
  </r>
  <r>
    <x v="2"/>
    <x v="13"/>
    <n v="3863.398811599734"/>
    <n v="3863.398811599734"/>
    <s v="NaN"/>
    <n v="0.85968377479868541"/>
    <n v="-6.4060936006493704E-3"/>
    <n v="0.85327768119803604"/>
    <n v="3.2073487247315208E-2"/>
    <n v="1.335100302065787E-2"/>
    <n v="-1.437151312347775E-3"/>
    <s v="NaN"/>
    <n v="3321.301273908814"/>
    <n v="-24.749294403745441"/>
    <n v="3296.5519795050691"/>
    <n v="123.9126725151368"/>
    <n v="51.580249203674072"/>
    <n v="-5.5522886722133906"/>
    <s v="NaN"/>
    <n v="-12710.4729126906"/>
  </r>
  <r>
    <x v="2"/>
    <x v="14"/>
    <n v="3867.5635427922462"/>
    <n v="3867.5635427922462"/>
    <s v="NaN"/>
    <n v="0.85784156485834195"/>
    <n v="-6.3989422687771268E-3"/>
    <n v="0.85144262258956482"/>
    <n v="3.2168649282117552E-2"/>
    <n v="1.152513245401187E-2"/>
    <n v="-9.7707148164998523E-4"/>
    <s v="NaN"/>
    <n v="3317.7567617379732"/>
    <n v="-24.74831583115472"/>
    <n v="3293.008445906818"/>
    <n v="124.4142951843878"/>
    <n v="44.57418210498804"/>
    <n v="-3.7788860411314849"/>
    <s v="NaN"/>
    <n v="-12680.13280290305"/>
  </r>
  <r>
    <x v="2"/>
    <x v="15"/>
    <n v="3871.7282739847569"/>
    <n v="3871.7282739847569"/>
    <s v="NaN"/>
    <n v="0.85798033534773976"/>
    <n v="-6.5892088515074644E-3"/>
    <n v="0.85139112649623239"/>
    <n v="3.2341466628546443E-2"/>
    <n v="1.014672195656415E-2"/>
    <n v="-6.096687074624023E-4"/>
    <s v="NaN"/>
    <n v="3321.866722888768"/>
    <n v="-25.511626213572079"/>
    <n v="3296.355096675195"/>
    <n v="125.2173707678777"/>
    <n v="39.285350287491347"/>
    <n v="-2.360471572445924"/>
    <s v="NaN"/>
    <n v="-12681.15693591425"/>
  </r>
  <r>
    <x v="2"/>
    <x v="16"/>
    <n v="3875.8930051772668"/>
    <n v="3875.8930051772668"/>
    <s v="NaN"/>
    <n v="0.71288555495796502"/>
    <n v="-6.4931498014942444E-3"/>
    <n v="0.70639240515647084"/>
    <n v="3.2399341800055131E-2"/>
    <n v="9.1152770244321748E-3"/>
    <n v="-3.1848891523655209E-4"/>
    <s v="NaN"/>
    <n v="2763.068135953491"/>
    <n v="-25.166753897179699"/>
    <n v="2737.9013820563109"/>
    <n v="125.5763822551811"/>
    <n v="35.329838459249721"/>
    <n v="-1.234428958791848"/>
    <s v="NaN"/>
    <n v="-10624.434970644779"/>
  </r>
  <r>
    <x v="2"/>
    <x v="17"/>
    <n v="3880.0577363697789"/>
    <n v="3880.0577363697789"/>
    <s v="NaN"/>
    <n v="0.71215359522892407"/>
    <n v="-6.7189312046567811E-3"/>
    <n v="0.70543466402426735"/>
    <n v="3.2429878903214353E-2"/>
    <n v="8.3754355893954358E-3"/>
    <n v="-8.9864587141729122E-5"/>
    <s v="NaN"/>
    <n v="2763.197066651539"/>
    <n v="-26.06984100076486"/>
    <n v="2737.1272256507741"/>
    <n v="125.8298025279519"/>
    <n v="32.497173654100543"/>
    <n v="-0.34867978656494231"/>
    <s v="NaN"/>
    <n v="-10615.386914170591"/>
  </r>
  <r>
    <x v="2"/>
    <x v="18"/>
    <n v="3884.2224675622901"/>
    <n v="3884.2224675622901"/>
    <s v="NaN"/>
    <n v="0.71126286398117122"/>
    <n v="-7.6855027124196297E-3"/>
    <n v="0.70357736126875148"/>
    <n v="3.2413153510581723E-2"/>
    <n v="8.4315457213861526E-3"/>
    <n v="-1.2748753192881799E-4"/>
    <s v="NaN"/>
    <n v="2762.7031966183658"/>
    <n v="-29.852202310091251"/>
    <n v="2732.8509943082749"/>
    <n v="125.89989911034711"/>
    <n v="32.749999327286787"/>
    <n v="-0.49518993585197979"/>
    <s v="NaN"/>
    <n v="-10600.354243637839"/>
  </r>
  <r>
    <x v="2"/>
    <x v="19"/>
    <n v="3888.3871987548009"/>
    <n v="3888.3871987548009"/>
    <s v="NaN"/>
    <n v="0.71032790004524105"/>
    <n v="-6.2961975873108847E-3"/>
    <n v="0.70403170245793023"/>
    <n v="3.2402172887932852E-2"/>
    <n v="8.4249455526840926E-3"/>
    <n v="-1.648018157900903E-4"/>
    <s v="NaN"/>
    <n v="2762.0299134542952"/>
    <n v="-24.482054099330512"/>
    <n v="2737.5478593549651"/>
    <n v="125.992194269278"/>
    <n v="32.75945043726302"/>
    <n v="-0.64081327084973383"/>
    <s v="NaN"/>
    <n v="-10617.415199566711"/>
  </r>
  <r>
    <x v="2"/>
    <x v="20"/>
    <n v="3892.5519299473108"/>
    <n v="3892.5519299473108"/>
    <s v="NaN"/>
    <n v="0.7064359017303935"/>
    <n v="-6.6661969255828917E-3"/>
    <n v="0.6997697048048106"/>
    <n v="3.2358560684385418E-2"/>
    <n v="8.4378917902133057E-3"/>
    <n v="-2.0089541502758419E-4"/>
    <s v="NaN"/>
    <n v="2749.8384326647119"/>
    <n v="-25.94851770808652"/>
    <n v="2723.889914956625"/>
    <n v="125.9573778423217"/>
    <n v="32.844931972681373"/>
    <n v="-0.78199583548318885"/>
    <s v="NaN"/>
    <n v="-10567.00417276683"/>
  </r>
  <r>
    <x v="2"/>
    <x v="21"/>
    <n v="3895.2087369525798"/>
    <n v="3895.2087369525798"/>
    <s v="NaN"/>
    <n v="0.44745843203365698"/>
    <n v="-6.3211608939909578E-3"/>
    <n v="0.44113727113966611"/>
    <n v="3.732048784327547E-2"/>
    <n v="8.2144300574542792E-3"/>
    <n v="-2.5145126766354901E-4"/>
    <s v="NaN"/>
    <n v="1742.9439938806031"/>
    <n v="-24.622241141956561"/>
    <n v="1718.3217527386471"/>
    <n v="145.37109031445911"/>
    <n v="31.996919728881789"/>
    <n v="-0.97945517472085752"/>
    <s v="NaN"/>
    <n v="-6947.2711278939423"/>
  </r>
  <r>
    <x v="2"/>
    <x v="22"/>
    <n v="3897.8655439578479"/>
    <n v="3897.8655439578479"/>
    <s v="NaN"/>
    <n v="0.44439389480351921"/>
    <n v="-6.5357881359637653E-3"/>
    <n v="0.43785810666755548"/>
    <n v="3.745220306817406E-2"/>
    <n v="7.9926481767353223E-3"/>
    <n v="-3.0136556211449579E-4"/>
    <s v="NaN"/>
    <n v="1732.1876504998661"/>
    <n v="-25.475623377781648"/>
    <n v="1706.712027122084"/>
    <n v="145.9836518847481"/>
    <n v="31.154267933074131"/>
    <n v="-1.1746824407015819"/>
    <s v="NaN"/>
    <n v="-6903.1426364977124"/>
  </r>
  <r>
    <x v="2"/>
    <x v="23"/>
    <n v="3900.5223509631169"/>
    <n v="3900.5223509631169"/>
    <s v="NaN"/>
    <n v="0.44139235843605151"/>
    <n v="-6.9515591464817256E-3"/>
    <n v="0.43444079928956969"/>
    <n v="3.7580171706962373E-2"/>
    <n v="7.8084166981951487E-3"/>
    <n v="-3.5167704311169759E-4"/>
    <s v="NaN"/>
    <n v="1721.660759624142"/>
    <n v="-27.114711824894069"/>
    <n v="1694.5460477992481"/>
    <n v="146.58229969603849"/>
    <n v="30.4569038569438"/>
    <n v="-1.371724166977796"/>
    <s v="NaN"/>
    <n v="-6857.4495996798842"/>
  </r>
  <r>
    <x v="2"/>
    <x v="24"/>
    <n v="3903.1791579683859"/>
    <n v="3903.1791579683859"/>
    <s v="NaN"/>
    <n v="0.43834867060621752"/>
    <n v="-6.3522455269094088E-3"/>
    <n v="0.43199642507930808"/>
    <n v="3.77107630567401E-2"/>
    <n v="7.5950323215625073E-3"/>
    <n v="-3.9473127121476609E-4"/>
    <s v="NaN"/>
    <n v="1710.953395033338"/>
    <n v="-24.79395234693072"/>
    <n v="1686.1594426864069"/>
    <n v="147.19186439415219"/>
    <n v="29.644771861619031"/>
    <n v="-1.5407068708038421"/>
    <s v="NaN"/>
    <n v="-6825.3363642623262"/>
  </r>
  <r>
    <x v="2"/>
    <x v="25"/>
    <n v="3905.8359649736549"/>
    <n v="3905.8359649736549"/>
    <s v="NaN"/>
    <n v="0.42952924336427722"/>
    <n v="-7.1811882089283276E-3"/>
    <n v="0.42234805515534879"/>
    <n v="3.7961648887503072E-2"/>
    <n v="7.426533970979486E-3"/>
    <n v="-4.3983684794133827E-4"/>
    <s v="NaN"/>
    <n v="1677.6707667401149"/>
    <n v="-28.048543177677011"/>
    <n v="1649.622223562438"/>
    <n v="148.27197351451159"/>
    <n v="29.006823478950292"/>
    <n v="-1.717930579409928"/>
    <s v="NaN"/>
    <n v="-6692.3379965810736"/>
  </r>
  <r>
    <x v="2"/>
    <x v="26"/>
    <n v="3908.4927719789248"/>
    <n v="3908.4927719789248"/>
    <s v="NaN"/>
    <n v="0.52113251497493296"/>
    <n v="-6.9483103964913624E-3"/>
    <n v="0.51418420457844172"/>
    <n v="7.9069355125474722E-2"/>
    <n v="7.2474077763030097E-3"/>
    <n v="-4.8068442653839732E-4"/>
    <s v="NaN"/>
    <n v="2036.842668022724"/>
    <n v="-27.157420962152511"/>
    <n v="2009.685247060572"/>
    <n v="309.04200299295269"/>
    <n v="28.326440909264161"/>
    <n v="-1.87875160672816"/>
    <s v="NaN"/>
    <n v="-8598.9747776396689"/>
  </r>
  <r>
    <x v="2"/>
    <x v="27"/>
    <n v="3911.1495789841929"/>
    <n v="3911.1495789841929"/>
    <s v="NaN"/>
    <n v="0.51872617191236847"/>
    <n v="-6.9981949899554459E-3"/>
    <n v="0.51172797692241301"/>
    <n v="7.8802636284683703E-2"/>
    <n v="7.0705413255509053E-3"/>
    <n v="-5.1740776393337663E-4"/>
    <s v="NaN"/>
    <n v="2028.8156488831421"/>
    <n v="-27.370987388613528"/>
    <n v="2001.444661494528"/>
    <n v="308.20889772768521"/>
    <n v="27.653944728618761"/>
    <n v="-2.0236591580711791"/>
    <s v="NaN"/>
    <n v="-8562.7074309075688"/>
  </r>
  <r>
    <x v="2"/>
    <x v="28"/>
    <n v="3913.8063859894619"/>
    <n v="3913.8063859894619"/>
    <s v="NaN"/>
    <n v="0.51629199184665076"/>
    <n v="-6.3327861692504409E-3"/>
    <n v="0.50995920567740038"/>
    <n v="7.8545914765531868E-2"/>
    <n v="6.8627336056116626E-3"/>
    <n v="-5.5226521340807487E-4"/>
    <s v="NaN"/>
    <n v="2020.666894724641"/>
    <n v="-24.785298950318118"/>
    <n v="1995.8815957743229"/>
    <n v="307.41350280272258"/>
    <n v="26.859410610987421"/>
    <n v="-2.161459118996357"/>
    <s v="NaN"/>
    <n v="-8535.9745169205762"/>
  </r>
  <r>
    <x v="2"/>
    <x v="29"/>
    <n v="3916.4631929947309"/>
    <n v="3916.4631929947309"/>
    <s v="NaN"/>
    <n v="0.51389817463918652"/>
    <n v="-7.3038588390964016E-3"/>
    <n v="0.50659431580009007"/>
    <n v="7.827870229935488E-2"/>
    <n v="6.6910480039143044E-3"/>
    <n v="-5.9507163630521541E-4"/>
    <s v="NaN"/>
    <n v="2012.663285921552"/>
    <n v="-28.605294310150281"/>
    <n v="1984.057991611402"/>
    <n v="306.57565635081539"/>
    <n v="26.205243229891231"/>
    <n v="-2.3305761607845228"/>
    <s v="NaN"/>
    <n v="-8486.5304884489597"/>
  </r>
  <r>
    <x v="2"/>
    <x v="30"/>
    <n v="3919.119999999999"/>
    <n v="3919.119999999999"/>
    <s v="NaN"/>
    <n v="0.51146192305658089"/>
    <n v="-6.5009120630930943E-3"/>
    <n v="0.50496101099348767"/>
    <n v="7.8020609907197516E-2"/>
    <n v="6.4850243001916283E-3"/>
    <n v="-6.2834092939468504E-4"/>
    <s v="NaN"/>
    <n v="2004.480651889507"/>
    <n v="-25.4778544847094"/>
    <n v="1979.0027974047971"/>
    <n v="305.7721326994959"/>
    <n v="25.41558843536701"/>
    <n v="-2.462543503209297"/>
    <s v="NaN"/>
    <n v="-8461.6692418010898"/>
  </r>
  <r>
    <x v="2"/>
    <x v="31"/>
    <n v="3920.6291486101181"/>
    <n v="3920.6291486101181"/>
    <s v="NaN"/>
    <n v="0.51052037782227655"/>
    <n v="-3.648494586045061E-3"/>
    <n v="0.50687188323623145"/>
    <n v="7.7634044271749608E-2"/>
    <n v="6.1949577163359663E-3"/>
    <n v="-6.4079275240787098E-4"/>
    <s v="NaN"/>
    <n v="2001.561074249468"/>
    <n v="-14.304394222594469"/>
    <n v="1987.256680026873"/>
    <n v="304.37429689630989"/>
    <n v="24.288131797073959"/>
    <n v="-2.5123107433084049"/>
    <s v="NaN"/>
    <n v="-8482.4915925829173"/>
  </r>
  <r>
    <x v="2"/>
    <x v="32"/>
    <n v="3925.3087149053231"/>
    <n v="3925.3087149053231"/>
    <s v="NaN"/>
    <n v="0.50984132583365738"/>
    <n v="-1.08273271098401E-2"/>
    <n v="0.4990139987238173"/>
    <n v="7.7554151221069956E-2"/>
    <n v="6.128070675135629E-3"/>
    <n v="-6.961188939288717E-4"/>
    <s v="NaN"/>
    <n v="2001.28459951374"/>
    <n v="-42.500601463385998"/>
    <n v="1958.7839980503541"/>
    <n v="304.42398566515118"/>
    <n v="24.054569226665631"/>
    <n v="-2.7324815609492541"/>
    <s v="NaN"/>
    <n v="-8376.6102617319084"/>
  </r>
  <r>
    <x v="2"/>
    <x v="33"/>
    <n v="3933.455044608942"/>
    <n v="3933.455044608942"/>
    <s v="NaN"/>
    <n v="0.50932547427021224"/>
    <n v="-1.943685030153295E-2"/>
    <n v="0.48988862396867933"/>
    <n v="7.7366776268526768E-2"/>
    <n v="6.3449581544684983E-3"/>
    <n v="-8.1069832740112964E-4"/>
    <s v="NaN"/>
    <n v="2003.4088561160081"/>
    <n v="-76.453976869873614"/>
    <n v="1926.9548792461351"/>
    <n v="304.31873639856798"/>
    <n v="24.957607660526762"/>
    <n v="-3.1888454255720049"/>
    <s v="NaN"/>
    <n v="-8261.1553855594957"/>
  </r>
  <r>
    <x v="3"/>
    <x v="0"/>
    <n v="226872.33088888001"/>
    <n v="226872.33088888001"/>
    <s v="NaN"/>
    <n v="2.1709149195422688"/>
    <n v="-2.3054694567764811"/>
    <n v="-0.13455453723421151"/>
    <n v="0.10841589940752699"/>
    <n v="-8.5326792523154851E-2"/>
    <n v="2.7618454063792219E-2"/>
    <s v="NaN"/>
    <n v="492520.5279579999"/>
    <n v="-523047.22945200012"/>
    <n v="-30526.70149400015"/>
    <n v="24596.567803999991"/>
    <n v="-19358.288306999999"/>
    <n v="6265.8630489999996"/>
    <s v="NaN"/>
    <n v="69749.382809340255"/>
  </r>
  <r>
    <x v="3"/>
    <x v="1"/>
    <n v="226820.69388706001"/>
    <n v="226820.69388706001"/>
    <s v="NaN"/>
    <n v="2.2300294842403559"/>
    <n v="-2.3434394569556689"/>
    <n v="-0.11340997271531381"/>
    <n v="0.10762745818137499"/>
    <n v="-9.2711084842509103E-2"/>
    <n v="2.80826134901591E-2"/>
    <s v="NaN"/>
    <n v="505816.83500399999"/>
    <n v="-531540.56370900001"/>
    <n v="-25723.72870500002"/>
    <n v="24412.134746000011"/>
    <n v="-21028.792594999999"/>
    <n v="6369.7178779999986"/>
    <s v="NaN"/>
    <n v="58559.118478672033"/>
  </r>
  <r>
    <x v="3"/>
    <x v="2"/>
    <n v="226774.36408592001"/>
    <n v="226774.36408592001"/>
    <s v="NaN"/>
    <n v="2.2483194384124658"/>
    <n v="-2.382979543147365"/>
    <n v="-0.1346601047348992"/>
    <n v="0.12014200352327919"/>
    <n v="-9.561176954192685E-2"/>
    <n v="2.8627918733972451E-2"/>
    <s v="NaN"/>
    <n v="509861.21090799989"/>
    <n v="-540398.6705270001"/>
    <n v="-30537.45961900015"/>
    <n v="27245.126448999999"/>
    <n v="-21682.298236999999"/>
    <n v="6492.078066"/>
    <s v="NaN"/>
    <n v="67769.362250340026"/>
  </r>
  <r>
    <x v="3"/>
    <x v="3"/>
    <n v="226732.92528446999"/>
    <n v="226732.92528446999"/>
    <s v="NaN"/>
    <n v="2.2593980501564519"/>
    <n v="-2.3974295147738389"/>
    <n v="-0.1380314646173868"/>
    <n v="0.1165582228908425"/>
    <n v="-9.7854968056197394E-2"/>
    <n v="2.8732559088303779E-2"/>
    <s v="NaN"/>
    <n v="512279.92929399997"/>
    <n v="-543576.20704799995"/>
    <n v="-31296.277753999919"/>
    <n v="26427.586842000001"/>
    <n v="-22186.943160999999"/>
    <n v="6514.6171730000005"/>
    <s v="NaN"/>
    <n v="75317.061966673253"/>
  </r>
  <r>
    <x v="3"/>
    <x v="4"/>
    <n v="226694.54678313"/>
    <n v="226694.54678313"/>
    <s v="NaN"/>
    <n v="2.27461555164049"/>
    <n v="-2.4313174733897762"/>
    <n v="-0.15670192174928579"/>
    <n v="0.1216232422140107"/>
    <n v="-9.3256534993867962E-2"/>
    <n v="2.9105563343401131E-2"/>
    <s v="NaN"/>
    <n v="515642.94158500002"/>
    <n v="-551166.41271599988"/>
    <n v="-35523.471130999853"/>
    <n v="27571.325772"/>
    <n v="-21140.747934999999"/>
    <n v="6598.0724910000008"/>
    <s v="NaN"/>
    <n v="82481.009611006972"/>
  </r>
  <r>
    <x v="3"/>
    <x v="5"/>
    <n v="226659.83348157001"/>
    <n v="226659.83348157001"/>
    <s v="NaN"/>
    <n v="2.274407584305921"/>
    <n v="-2.4451654733394319"/>
    <n v="-0.170757889033511"/>
    <n v="0.12557374009239411"/>
    <n v="-9.7572215611806914E-2"/>
    <n v="2.9189760008969421E-2"/>
    <s v="NaN"/>
    <n v="515516.84432799998"/>
    <n v="-554220.79902200005"/>
    <n v="-38703.954694000007"/>
    <n v="28462.523019"/>
    <n v="-22115.702142999999"/>
    <n v="6616.1461430000008"/>
    <s v="NaN"/>
    <n v="94383.621475008622"/>
  </r>
  <r>
    <x v="3"/>
    <x v="6"/>
    <n v="226623.41768024999"/>
    <n v="226623.41768024999"/>
    <s v="NaN"/>
    <n v="2.336759681385526"/>
    <n v="-2.4886574644185639"/>
    <n v="-0.1518977830330383"/>
    <n v="0.1246074476241605"/>
    <n v="-0.1026187979558774"/>
    <n v="2.9508876930959809E-2"/>
    <s v="NaN"/>
    <n v="529564.46529299987"/>
    <n v="-563988.06002200011"/>
    <n v="-34423.594729000237"/>
    <n v="28238.965649000002"/>
    <n v="-23255.822711000001"/>
    <n v="6687.4025419999989"/>
    <s v="NaN"/>
    <n v="83427.847246341786"/>
  </r>
  <r>
    <x v="3"/>
    <x v="7"/>
    <n v="226586.51707889"/>
    <n v="226586.51707889"/>
    <s v="NaN"/>
    <n v="2.3516260132348492"/>
    <n v="-2.5150255765906389"/>
    <n v="-0.1633995633557907"/>
    <n v="0.12962542321868981"/>
    <n v="-0.1045861674803413"/>
    <n v="2.9905568241029759E-2"/>
    <s v="NaN"/>
    <n v="532846.74781099998"/>
    <n v="-569870.88576400001"/>
    <n v="-37024.137953000027"/>
    <n v="29371.373172"/>
    <n v="-23697.815424"/>
    <n v="6776.1985489999988"/>
    <s v="NaN"/>
    <n v="90106.066072008311"/>
  </r>
  <r>
    <x v="3"/>
    <x v="8"/>
    <n v="226545.27677781001"/>
    <n v="226545.27677781001"/>
    <s v="NaN"/>
    <n v="2.3531099279189012"/>
    <n v="-2.4887383954597859"/>
    <n v="-0.13562846754088501"/>
    <n v="0.1161687238962458"/>
    <n v="-0.1060435907457114"/>
    <n v="2.9606463672064369E-2"/>
    <s v="NaN"/>
    <n v="533085.93990900007"/>
    <n v="-563811.92862700007"/>
    <n v="-30725.988718000011"/>
    <n v="26317.475708000002"/>
    <n v="-24023.674616"/>
    <n v="6707.2045070000004"/>
    <s v="NaN"/>
    <n v="79658.271436340598"/>
  </r>
  <r>
    <x v="3"/>
    <x v="9"/>
    <n v="226499.79547596999"/>
    <n v="226499.79547596999"/>
    <s v="NaN"/>
    <n v="2.3529194220422189"/>
    <n v="-2.5393816710488881"/>
    <n v="-0.18646224900666941"/>
    <n v="0.13432500770724909"/>
    <n v="-0.10206747295033509"/>
    <n v="3.0012875326067171E-2"/>
    <s v="NaN"/>
    <n v="532935.76786400005"/>
    <n v="-575169.42912800005"/>
    <n v="-42233.661263999988"/>
    <n v="30424.586772999999"/>
    <n v="-23118.261748000001"/>
    <n v="6797.9101229999997"/>
    <s v="NaN"/>
    <n v="103141.22909200939"/>
  </r>
  <r>
    <x v="3"/>
    <x v="10"/>
    <n v="226460.90567439009"/>
    <n v="226460.90567439009"/>
    <s v="NaN"/>
    <n v="2.3501754587179851"/>
    <n v="-2.528469728286324"/>
    <n v="-0.17829426956833941"/>
    <n v="0.1267917280710899"/>
    <n v="-0.10874240304155459"/>
    <n v="2.9807412762472962E-2"/>
    <s v="NaN"/>
    <n v="532222.86287499999"/>
    <n v="-572599.54463799996"/>
    <n v="-40376.681762999971"/>
    <n v="28713.36957100001"/>
    <n v="-24625.903077999999"/>
    <n v="6750.2136899999996"/>
    <s v="NaN"/>
    <n v="108309.67246000969"/>
  </r>
  <r>
    <x v="3"/>
    <x v="11"/>
    <n v="226421.78427276001"/>
    <n v="226421.78427276001"/>
    <s v="NaN"/>
    <n v="2.3796594476701238"/>
    <n v="-2.547036629193197"/>
    <n v="-0.16737718152307349"/>
    <n v="0.13494996776984611"/>
    <n v="-0.1037658503551797"/>
    <n v="3.00085244925677E-2"/>
    <s v="NaN"/>
    <n v="538806.73810299998"/>
    <n v="-576704.57818999991"/>
    <n v="-37897.840086999931"/>
    <n v="30555.61249"/>
    <n v="-23494.848984"/>
    <n v="6794.5836589999999"/>
    <s v="NaN"/>
    <n v="88155.807380674436"/>
  </r>
  <r>
    <x v="3"/>
    <x v="12"/>
    <n v="226378.94527062"/>
    <n v="226378.94527062"/>
    <s v="NaN"/>
    <n v="2.3656739098629571"/>
    <n v="-2.5669123695728069"/>
    <n v="-0.20123845970984999"/>
    <n v="0.14911942052139751"/>
    <n v="-0.1037985647689542"/>
    <n v="3.0092140891709099E-2"/>
    <s v="NaN"/>
    <n v="535538.76456899999"/>
    <n v="-581094.91482599999"/>
    <n v="-45556.150257000001"/>
    <n v="33757.497137000013"/>
    <n v="-23497.809613000001"/>
    <n v="6812.227116"/>
    <s v="NaN"/>
    <n v="104442.1972623428"/>
  </r>
  <r>
    <x v="3"/>
    <x v="13"/>
    <n v="226331.84066875"/>
    <n v="226331.84066875"/>
    <s v="NaN"/>
    <n v="2.3508738637650488"/>
    <n v="-2.5599285043149371"/>
    <n v="-0.20905464054988779"/>
    <n v="0.1686605967600856"/>
    <n v="-0.1073157006068286"/>
    <n v="2.97635632357145E-2"/>
    <s v="NaN"/>
    <n v="532077.6087659999"/>
    <n v="-579393.33036199992"/>
    <n v="-47315.721596000018"/>
    <n v="38173.263313000003"/>
    <n v="-24288.960051000009"/>
    <n v="6736.4420520000003"/>
    <s v="NaN"/>
    <n v="97881.579700675691"/>
  </r>
  <r>
    <x v="3"/>
    <x v="14"/>
    <n v="226285.55666751001"/>
    <n v="226285.55666751001"/>
    <s v="NaN"/>
    <n v="2.348017182646315"/>
    <n v="-2.592135718312147"/>
    <n v="-0.2441185356658308"/>
    <n v="0.17003415543456299"/>
    <n v="-0.11147630507440991"/>
    <n v="2.9818229428201039E-2"/>
    <s v="NaN"/>
    <n v="531322.37523999996"/>
    <n v="-586562.87397599989"/>
    <n v="-55240.498735999921"/>
    <n v="38476.273515000001"/>
    <n v="-25225.477749000001"/>
    <n v="6747.4346450000003"/>
    <s v="NaN"/>
    <n v="129221.6505250115"/>
  </r>
  <r>
    <x v="3"/>
    <x v="15"/>
    <n v="226244.22316615001"/>
    <n v="226244.22316615001"/>
    <s v="NaN"/>
    <n v="2.3384648184827421"/>
    <n v="-2.57079040484876"/>
    <n v="-0.2323255863660183"/>
    <n v="0.16237987053495101"/>
    <n v="-0.1130252285258168"/>
    <n v="2.9296421982595321E-2"/>
    <s v="NaN"/>
    <n v="529064.15625899995"/>
    <n v="-581626.47806800005"/>
    <n v="-52562.321809000103"/>
    <n v="36737.507666999998"/>
    <n v="-25571.305026000002"/>
    <n v="6628.1462329999986"/>
    <s v="NaN"/>
    <n v="127482.5674283453"/>
  </r>
  <r>
    <x v="3"/>
    <x v="16"/>
    <n v="226196.39756530989"/>
    <n v="226196.39756530989"/>
    <s v="NaN"/>
    <n v="2.3701567011835598"/>
    <n v="-2.5526371229687128"/>
    <n v="-0.18248042178515339"/>
    <n v="0.1411165993073947"/>
    <n v="-0.1168144049039104"/>
    <n v="2.9109968380901519E-2"/>
    <s v="NaN"/>
    <n v="536120.907473"/>
    <n v="-577397.32150700002"/>
    <n v="-41276.414034000023"/>
    <n v="31920.0664"/>
    <n v="-26422.997573000001"/>
    <n v="6584.5699810000006"/>
    <s v="NaN"/>
    <n v="107047.5091620098"/>
  </r>
  <r>
    <x v="3"/>
    <x v="17"/>
    <n v="226149.13813884999"/>
    <n v="226149.13813884999"/>
    <s v="NaN"/>
    <n v="2.3686152886026819"/>
    <n v="-2.4845003026234269"/>
    <n v="-0.11588501402074521"/>
    <n v="9.7555079371801454E-2"/>
    <n v="-0.1155043992206692"/>
    <n v="2.8665712738731589E-2"/>
    <s v="NaN"/>
    <n v="535660.30609999993"/>
    <n v="-561867.602144"/>
    <n v="-26207.296044000079"/>
    <n v="22061.997121"/>
    <n v="-26121.220335000002"/>
    <n v="6482.7262300000002"/>
    <s v="NaN"/>
    <n v="87207.24110267486"/>
  </r>
  <r>
    <x v="3"/>
    <x v="18"/>
    <n v="226106.15421265"/>
    <n v="226106.15421265"/>
    <s v="NaN"/>
    <n v="2.378246307671334"/>
    <n v="-2.4102724479735098"/>
    <n v="-3.2026140302176799E-2"/>
    <n v="4.8071951941553517E-2"/>
    <n v="-0.1194380062720518"/>
    <n v="2.8624603640434201E-2"/>
    <s v="NaN"/>
    <n v="537736.12639800005"/>
    <n v="-544977.433816"/>
    <n v="-7241.307417999953"/>
    <n v="10869.364179"/>
    <n v="-27005.668265"/>
    <n v="6472.1990449999994"/>
    <s v="NaN"/>
    <n v="61986.512349672113"/>
  </r>
  <r>
    <x v="3"/>
    <x v="19"/>
    <n v="226067.95155078999"/>
    <n v="226067.95155078999"/>
    <s v="NaN"/>
    <n v="2.392346511409392"/>
    <n v="-2.378380795953742"/>
    <n v="1.396571545564968E-2"/>
    <n v="4.0148426611283122E-2"/>
    <n v="-0.1220755579580672"/>
    <n v="2.9072591231594381E-2"/>
    <s v="NaN"/>
    <n v="540832.87523399992"/>
    <n v="-537675.67454899999"/>
    <n v="3157.2006849999311"/>
    <n v="9076.2725620000001"/>
    <n v="-27597.371321999999"/>
    <n v="6572.3811460000006"/>
    <s v="NaN"/>
    <n v="32235.562073003159"/>
  </r>
  <r>
    <x v="3"/>
    <x v="20"/>
    <n v="226031.45726689999"/>
    <n v="226031.45726689999"/>
    <s v="NaN"/>
    <n v="2.3909128012162721"/>
    <n v="-2.4612394473663688"/>
    <n v="-7.0326646150096997E-2"/>
    <n v="8.2514290181197811E-2"/>
    <n v="-0.1142315451274183"/>
    <n v="3.0040394917165082E-2"/>
    <s v="NaN"/>
    <n v="540421.50465699995"/>
    <n v="-556317.538971"/>
    <n v="-15896.03431400005"/>
    <n v="18650.825255"/>
    <n v="-25819.922611000002"/>
    <n v="6790.074239999999"/>
    <s v="NaN"/>
    <n v="59675.210576672282"/>
  </r>
  <r>
    <x v="3"/>
    <x v="21"/>
    <n v="225990.88551115"/>
    <n v="225990.88551115"/>
    <s v="NaN"/>
    <n v="2.4255516409264879"/>
    <n v="-2.4704450127855022"/>
    <n v="-4.4893371859013841E-2"/>
    <n v="5.7716323857479032E-2"/>
    <n v="-0.113858090222539"/>
    <n v="3.020052272268858E-2"/>
    <s v="NaN"/>
    <n v="548152.5631860001"/>
    <n v="-558298.05604599998"/>
    <n v="-10145.49285999988"/>
    <n v="13043.363137"/>
    <n v="-25730.89063200001"/>
    <n v="6825.0428729999994"/>
    <s v="NaN"/>
    <n v="58695.917434004929"/>
  </r>
  <r>
    <x v="3"/>
    <x v="22"/>
    <n v="225948.34581930999"/>
    <n v="225948.34581930999"/>
    <s v="NaN"/>
    <n v="2.443006113868285"/>
    <n v="-2.4765352736748301"/>
    <n v="-3.3529159806544293E-2"/>
    <n v="4.9230755944084263E-2"/>
    <n v="-0.1134495178933472"/>
    <n v="3.025030625568698E-2"/>
    <s v="NaN"/>
    <n v="551993.19025500002"/>
    <n v="-559569.04845"/>
    <n v="-7575.8581949999789"/>
    <n v="11123.607868999999"/>
    <n v="-25633.730901999999"/>
    <n v="6835.0066589999997"/>
    <s v="NaN"/>
    <n v="55920.240086338359"/>
  </r>
  <r>
    <x v="3"/>
    <x v="23"/>
    <n v="225900.31024943999"/>
    <n v="225900.31024943999"/>
    <s v="NaN"/>
    <n v="2.4541315519568849"/>
    <n v="-2.5007739501694668"/>
    <n v="-4.6642398212581593E-2"/>
    <n v="5.6361165236742138E-2"/>
    <n v="-0.11102596054563039"/>
    <n v="3.0462105286183691E-2"/>
    <s v="NaN"/>
    <n v="554389.07897999999"/>
    <n v="-564925.6112070001"/>
    <n v="-10536.532227000111"/>
    <n v="12732.004713"/>
    <n v="-25080.798932999998"/>
    <n v="6881.3990350000013"/>
    <s v="NaN"/>
    <n v="58681.067177339028"/>
  </r>
  <r>
    <x v="3"/>
    <x v="24"/>
    <n v="225850.44359802001"/>
    <n v="225850.44359802001"/>
    <s v="NaN"/>
    <n v="2.4632283381571241"/>
    <n v="-2.505746662646632"/>
    <n v="-4.2518324489508423E-2"/>
    <n v="6.0045603125478603E-2"/>
    <n v="-0.1149221584625108"/>
    <n v="3.0517361047416709E-2"/>
    <s v="NaN"/>
    <n v="556321.21285599994"/>
    <n v="-565923.99530299997"/>
    <n v="-9602.7824470000342"/>
    <n v="13561.326102000001"/>
    <n v="-25955.220468"/>
    <n v="6892.3595299999988"/>
    <s v="NaN"/>
    <n v="55382.496704338533"/>
  </r>
  <r>
    <x v="3"/>
    <x v="25"/>
    <n v="225796.86852369999"/>
    <n v="225796.86852369999"/>
    <s v="NaN"/>
    <n v="2.4611659906331722"/>
    <n v="-2.5210387986813529"/>
    <n v="-5.9872808048181458E-2"/>
    <n v="6.4082029346129998E-2"/>
    <n v="-0.11229573341199189"/>
    <n v="3.0575719061734261E-2"/>
    <s v="NaN"/>
    <n v="555723.57360200013"/>
    <n v="-569242.66616900009"/>
    <n v="-13519.09256699996"/>
    <n v="14469.521554999999"/>
    <n v="-25356.024953"/>
    <n v="6903.9016170000004"/>
    <s v="NaN"/>
    <n v="64172.879276005689"/>
  </r>
  <r>
    <x v="3"/>
    <x v="26"/>
    <n v="225743.12565639001"/>
    <n v="225743.12565639001"/>
    <s v="NaN"/>
    <n v="2.4981174206047729"/>
    <n v="-2.557763280149107"/>
    <n v="-5.9645859544333608E-2"/>
    <n v="7.7342894673903803E-2"/>
    <n v="-0.1173275432285585"/>
    <n v="3.0765506616451031E-2"/>
    <s v="NaN"/>
    <n v="563932.83478400006"/>
    <n v="-577397.47754999995"/>
    <n v="-13464.64276599989"/>
    <n v="17459.626790999999"/>
    <n v="-26485.886333999999"/>
    <n v="6945.1016260000006"/>
    <s v="NaN"/>
    <n v="57001.269171004773"/>
  </r>
  <r>
    <x v="3"/>
    <x v="27"/>
    <n v="225692.95461064001"/>
    <n v="225692.95461064001"/>
    <s v="NaN"/>
    <n v="2.4967582588350519"/>
    <n v="-2.5449644878897861"/>
    <n v="-4.8206229054733783E-2"/>
    <n v="7.3140687814017336E-2"/>
    <n v="-0.1200831115032171"/>
    <n v="3.0565013183068979E-2"/>
    <s v="NaN"/>
    <n v="563500.74838499993"/>
    <n v="-574380.55465100007"/>
    <n v="-10879.806266000151"/>
    <n v="16507.337935"/>
    <n v="-27101.912233999999"/>
    <n v="6898.3081330000005"/>
    <s v="NaN"/>
    <n v="53445.598917338699"/>
  </r>
  <r>
    <x v="3"/>
    <x v="28"/>
    <n v="225643.94182034"/>
    <n v="225643.94182034"/>
    <s v="NaN"/>
    <n v="2.493882954752896"/>
    <n v="-2.5445432597882589"/>
    <n v="-5.0660305035363382E-2"/>
    <n v="7.6218135294291889E-2"/>
    <n v="-0.1210174263076028"/>
    <n v="3.0331479537125589E-2"/>
    <s v="NaN"/>
    <n v="562729.58034899994"/>
    <n v="-574160.77127100015"/>
    <n v="-11431.190922000211"/>
    <n v="17198.160486000001"/>
    <n v="-27306.849101"/>
    <n v="6844.1146040000003"/>
    <s v="NaN"/>
    <n v="53884.471421005677"/>
  </r>
  <r>
    <x v="3"/>
    <x v="29"/>
    <n v="225595.51854628991"/>
    <n v="225595.51854628991"/>
    <s v="NaN"/>
    <n v="2.5018384911364722"/>
    <n v="-2.508674558669806"/>
    <n v="-6.8360675333347621E-3"/>
    <n v="5.5871143208962852E-2"/>
    <n v="-0.122015667010477"/>
    <n v="3.028715778588487E-2"/>
    <s v="NaN"/>
    <n v="564403.55172699993"/>
    <n v="-565945.73792700004"/>
    <n v="-1542.1862000001131"/>
    <n v="12604.279524"/>
    <n v="-27526.187669999999"/>
    <n v="6832.6470660000005"/>
    <s v="NaN"/>
    <n v="35315.306693336963"/>
  </r>
  <r>
    <x v="3"/>
    <x v="30"/>
    <n v="225546.30704484999"/>
    <n v="225546.30704484999"/>
    <s v="NaN"/>
    <n v="2.5048493407637911"/>
    <n v="-2.531538529457992"/>
    <n v="-2.668918869420063E-2"/>
    <n v="6.7315766535609431E-2"/>
    <n v="-0.1144765806157302"/>
    <n v="3.044323183103425E-2"/>
    <s v="NaN"/>
    <n v="564959.51851299999"/>
    <n v="-570979.1664610001"/>
    <n v="-6019.6479480001144"/>
    <n v="15182.822548"/>
    <n v="-25819.770001000001"/>
    <n v="6866.3585139999996"/>
    <s v="NaN"/>
    <n v="35897.535252337009"/>
  </r>
  <r>
    <x v="3"/>
    <x v="31"/>
    <n v="225498.12777373"/>
    <n v="225498.12777373"/>
    <s v="NaN"/>
    <n v="2.5047285428939121"/>
    <n v="-2.513749869652071"/>
    <n v="-9.021326758159082E-3"/>
    <n v="6.6062507547503743E-2"/>
    <n v="-0.1232746028379151"/>
    <n v="3.005166329274268E-2"/>
    <s v="NaN"/>
    <n v="564811.59700399998"/>
    <n v="-566845.88929799991"/>
    <n v="-2034.292293999926"/>
    <n v="14896.971767999999"/>
    <n v="-27798.192142"/>
    <n v="6776.593809"/>
    <s v="NaN"/>
    <n v="29916.03581633576"/>
  </r>
  <r>
    <x v="3"/>
    <x v="32"/>
    <n v="225449.44835478"/>
    <n v="225449.44835478"/>
    <s v="NaN"/>
    <n v="2.5122361337150352"/>
    <n v="-2.5003062030204721"/>
    <n v="1.1929930694562749E-2"/>
    <n v="5.7139587193524723E-2"/>
    <n v="-0.12200581117730119"/>
    <n v="3.013689417553168E-2"/>
    <s v="NaN"/>
    <n v="566382.25048299995"/>
    <n v="-563692.65418900002"/>
    <n v="2689.5962939999299"/>
    <n v="12882.088411999999"/>
    <n v="-27506.142825999999"/>
    <n v="6794.3461669999997"/>
    <s v="NaN"/>
    <n v="18847.07716100198"/>
  </r>
  <r>
    <x v="3"/>
    <x v="33"/>
    <n v="225402.43307274999"/>
    <n v="225402.43307274999"/>
    <s v="NaN"/>
    <n v="2.4642238208126508"/>
    <n v="-2.4643941159442382"/>
    <n v="-1.7029513158681251E-4"/>
    <n v="6.3051918678326643E-2"/>
    <n v="-0.11705075683670441"/>
    <n v="2.9599042370792281E-2"/>
    <s v="NaN"/>
    <n v="555442.04484699992"/>
    <n v="-555480.42978400004"/>
    <n v="-38.384937000111677"/>
    <n v="14212.05588"/>
    <n v="-26383.525384"/>
    <n v="6671.696167000001"/>
    <s v="NaN"/>
    <n v="20306.580338002259"/>
  </r>
  <r>
    <x v="4"/>
    <x v="0"/>
    <n v="1214.98"/>
    <n v="1209.549"/>
    <n v="5.4309999999999992"/>
    <n v="2.8876362582100108"/>
    <n v="-2.5217382554609942"/>
    <n v="0.36589800274901652"/>
    <n v="1.8562449562955771E-2"/>
    <n v="-4.4460591577639132E-2"/>
    <n v="0.121823515818706"/>
    <n v="-7.8E-2"/>
    <n v="3508.4203010000001"/>
    <n v="-3063.86154562"/>
    <n v="444.55875538000009"/>
    <n v="22.55300497"/>
    <n v="-54.018729555"/>
    <n v="147.351511735"/>
    <n v="-0.42361799999999988"/>
    <n v="-2053.410056610187"/>
  </r>
  <r>
    <x v="4"/>
    <x v="1"/>
    <n v="1217.2449999999999"/>
    <n v="1211.796"/>
    <n v="5.448999999999999"/>
    <n v="2.8860562117733068"/>
    <n v="-1.958819620511894"/>
    <n v="0.927236591261414"/>
    <n v="6.1108427229978522E-2"/>
    <n v="0.18065318178625189"/>
    <n v="0.11921587989583229"/>
    <n v="-7.8E-2"/>
    <n v="3513.0374935"/>
    <n v="-2384.36338897"/>
    <n v="1128.67410453"/>
    <n v="74.383927503555213"/>
    <n v="219.89918226340629"/>
    <n v="144.46532639425001"/>
    <n v="-0.42502200000000001"/>
    <n v="-5745.6575685349653"/>
  </r>
  <r>
    <x v="4"/>
    <x v="2"/>
    <n v="1219.556"/>
    <n v="1214.088"/>
    <n v="5.4679999999999991"/>
    <n v="2.884530842782127"/>
    <n v="-1.944564622383063"/>
    <n v="0.93996622039906308"/>
    <n v="1.6357227730861599E-2"/>
    <n v="-3.1551267642624788E-2"/>
    <n v="0.1248949973774455"/>
    <n v="-7.8E-2"/>
    <n v="3517.8468965000002"/>
    <n v="-2371.5054526150002"/>
    <n v="1146.341443885"/>
    <n v="19.948555222538651"/>
    <n v="-38.478537761168923"/>
    <n v="151.63351757598809"/>
    <n v="-0.42650399999999988"/>
    <n v="-4689.734408049073"/>
  </r>
  <r>
    <x v="4"/>
    <x v="3"/>
    <n v="1221.721"/>
    <n v="1216.2370000000001"/>
    <n v="5.484"/>
    <n v="2.8830859557951451"/>
    <n v="-1.908251838991881"/>
    <n v="0.97483411680326404"/>
    <n v="5.0513442409173971E-2"/>
    <n v="0.14268990860249081"/>
    <n v="0.12441259079339009"/>
    <n v="-7.8E-2"/>
    <n v="3522.3266570000001"/>
    <n v="-2331.3513449850002"/>
    <n v="1190.9753120150001"/>
    <n v="61.713333373578422"/>
    <n v="174.32725782774361"/>
    <n v="151.31519618878039"/>
    <n v="-0.42775200000000002"/>
    <n v="-5785.645607152569"/>
  </r>
  <r>
    <x v="4"/>
    <x v="4"/>
    <n v="1223.606"/>
    <n v="1218.115"/>
    <n v="5.4909999999999997"/>
    <n v="2.8814226491207129"/>
    <n v="-1.9917937516488149"/>
    <n v="0.88962889747189844"/>
    <n v="-1.7296450721210551E-2"/>
    <n v="-0.19673701006467181"/>
    <n v="0.12954387924168009"/>
    <n v="-7.8000000000000014E-2"/>
    <n v="3525.7260419999998"/>
    <n v="-2437.17078528"/>
    <n v="1088.55525672"/>
    <n v="-21.164040881177559"/>
    <n v="-240.72858593719269"/>
    <n v="157.7993424624791"/>
    <n v="-0.42829800000000001"/>
    <n v="-3608.1234726687262"/>
  </r>
  <r>
    <x v="4"/>
    <x v="5"/>
    <n v="1225.4159999999999"/>
    <n v="1219.915"/>
    <n v="5.5010000000000003"/>
    <n v="2.8797913679925831"/>
    <n v="-2.0217374441128562"/>
    <n v="0.85805392387972723"/>
    <n v="3.0604928714044421E-2"/>
    <n v="8.554410577829373E-2"/>
    <n v="0.1264991668863836"/>
    <n v="-7.8E-2"/>
    <n v="3528.942419"/>
    <n v="-2477.4694118150001"/>
    <n v="1051.4730071849999"/>
    <n v="37.503769325049461"/>
    <n v="104.8271159264136"/>
    <n v="154.3182311722027"/>
    <n v="-0.42907800000000001"/>
    <n v="-4941.5411672322243"/>
  </r>
  <r>
    <x v="4"/>
    <x v="6"/>
    <n v="1226.97"/>
    <n v="1221.462"/>
    <n v="5.508"/>
    <n v="2.7804218196043919"/>
    <n v="-2.0346715742397938"/>
    <n v="0.74575024536459766"/>
    <n v="0.192797748249978"/>
    <n v="0.4885318375334598"/>
    <n v="0.12036261764041729"/>
    <n v="-7.7999999999999986E-2"/>
    <n v="3411.4941600000002"/>
    <n v="-2496.480981445"/>
    <n v="915.0131785550002"/>
    <n v="236.55705317027551"/>
    <n v="599.41390869842905"/>
    <n v="147.0183636682994"/>
    <n v="-0.42962400000000001"/>
    <n v="-6957.767227004646"/>
  </r>
  <r>
    <x v="4"/>
    <x v="7"/>
    <n v="1228.5129999999999"/>
    <n v="1222.9960000000001"/>
    <n v="5.5170000000000003"/>
    <n v="2.7791214350194089"/>
    <n v="-2.1667945022030701"/>
    <n v="0.61232693281633999"/>
    <n v="0.12774603298292381"/>
    <n v="0.16569679549477101"/>
    <n v="0.1240903128965862"/>
    <n v="-7.7999999999999986E-2"/>
    <n v="3414.1868115000002"/>
    <n v="-2661.9352142849998"/>
    <n v="752.2515972150004"/>
    <n v="156.93766221795059"/>
    <n v="203.56066732366759"/>
    <n v="151.76195631127339"/>
    <n v="-0.43032599999999999"/>
    <n v="-4634.965709249359"/>
  </r>
  <r>
    <x v="4"/>
    <x v="8"/>
    <n v="1229.6289999999999"/>
    <n v="1224.104"/>
    <n v="5.5250000000000004"/>
    <n v="2.7781473684338929"/>
    <n v="-2.3390459790473388"/>
    <n v="0.43910138938655457"/>
    <n v="0.1140386735622767"/>
    <n v="0.1645954192705191"/>
    <n v="0.12359640011479139"/>
    <n v="-7.7999999999999986E-2"/>
    <n v="3416.0905705"/>
    <n v="-2876.1587681699998"/>
    <n v="539.93180232999975"/>
    <n v="140.22526013370879"/>
    <n v="202.39130080218911"/>
    <n v="151.2948477661167"/>
    <n v="-0.43094999999999989"/>
    <n v="-3789.1782904510642"/>
  </r>
  <r>
    <x v="4"/>
    <x v="9"/>
    <n v="1230.855"/>
    <n v="1225.3320000000001"/>
    <n v="5.5230000000000006"/>
    <n v="2.7770058369994839"/>
    <n v="-2.2924530335295379"/>
    <n v="0.48455280346994561"/>
    <n v="5.6296559037235419E-2"/>
    <n v="-5.7195509762668462E-2"/>
    <n v="0.1300540299600802"/>
    <n v="-7.8E-2"/>
    <n v="3418.0915194999998"/>
    <n v="-2821.6772785849998"/>
    <n v="596.41424091499994"/>
    <n v="69.2929011737764"/>
    <n v="-70.399379168929286"/>
    <n v="159.359364639045"/>
    <n v="-0.43079400000000001"/>
    <n v="-2765.5332230495219"/>
  </r>
  <r>
    <x v="4"/>
    <x v="10"/>
    <n v="1231.8800000000001"/>
    <n v="1226.355"/>
    <n v="5.5249999999999986"/>
    <n v="2.7760990985323239"/>
    <n v="-3.834812051384874"/>
    <n v="-1.058712952852551"/>
    <n v="7.1114798372687846E-2"/>
    <n v="4.0296855420295208E-2"/>
    <n v="0.1250672697936237"/>
    <n v="-7.8000000000000014E-2"/>
    <n v="3419.8209574999992"/>
    <n v="-4724.0282698599995"/>
    <n v="-1304.2073123600001"/>
    <n v="87.604897819346704"/>
    <n v="49.640890255153273"/>
    <n v="153.3768716477594"/>
    <n v="-0.43095"/>
    <n v="3718.0572096720562"/>
  </r>
  <r>
    <x v="4"/>
    <x v="11"/>
    <n v="1233.3140000000001"/>
    <n v="1227.79"/>
    <n v="5.524"/>
    <n v="2.774934854789616"/>
    <n v="-2.5810935998415658"/>
    <n v="0.1938412549480503"/>
    <n v="5.9307893634554867E-2"/>
    <n v="3.6058676295882219E-2"/>
    <n v="0.12614146328685891"/>
    <n v="-7.8E-2"/>
    <n v="3422.3660055"/>
    <n v="-3183.2988719949999"/>
    <n v="239.0671335049997"/>
    <n v="73.14525553000739"/>
    <n v="44.471670297179678"/>
    <n v="154.87522720897249"/>
    <n v="-0.43087199999999998"/>
    <n v="-1874.137519984421"/>
  </r>
  <r>
    <x v="4"/>
    <x v="12"/>
    <n v="1234.32"/>
    <n v="1228.79"/>
    <n v="5.5299999999999994"/>
    <n v="2.774290427522847"/>
    <n v="-2.1949486344140898"/>
    <n v="0.57934179310875678"/>
    <n v="5.1704360080894941E-2"/>
    <n v="-6.3526987098652659E-3"/>
    <n v="0.12297157397917501"/>
    <n v="-7.8000000000000014E-2"/>
    <n v="3424.3621604999998"/>
    <n v="-2709.26899843"/>
    <n v="715.09316207000074"/>
    <n v="63.819725735050262"/>
    <n v="-7.8412630715608964"/>
    <n v="151.10624038987041"/>
    <n v="-0.43134000000000011"/>
    <n v="-3379.7372587859631"/>
  </r>
  <r>
    <x v="4"/>
    <x v="13"/>
    <n v="1235.6869999999999"/>
    <n v="1230.1569999999999"/>
    <n v="5.5299999999999994"/>
    <n v="2.7730819896138752"/>
    <n v="-2.3834392483290672"/>
    <n v="0.38964274128480803"/>
    <n v="6.2080548584865183E-2"/>
    <n v="7.53583634613081E-2"/>
    <n v="0.11033850284429381"/>
    <n v="-7.8000000000000014E-2"/>
    <n v="3426.6613645000002"/>
    <n v="-2945.1848944499998"/>
    <n v="481.47647005000039"/>
    <n v="76.712126839186297"/>
    <n v="93.119350070413418"/>
    <n v="135.73368164342801"/>
    <n v="-0.43134000000000011"/>
    <n v="-2884.2377248780331"/>
  </r>
  <r>
    <x v="4"/>
    <x v="14"/>
    <n v="1236.848"/>
    <n v="1231.318"/>
    <n v="5.53"/>
    <n v="2.772202133972808"/>
    <n v="-2.3981707462962309"/>
    <n v="0.37403138767657768"/>
    <n v="0.10084812278332229"/>
    <n v="0.2698794113145645"/>
    <n v="0.11155143781195689"/>
    <n v="-7.8E-2"/>
    <n v="3428.792664999999"/>
    <n v="-2966.1726912150002"/>
    <n v="462.61997378499967"/>
    <n v="124.7337989683066"/>
    <n v="333.79981012559648"/>
    <n v="137.3552933037432"/>
    <n v="-0.43134"/>
    <n v="-3879.6176326700538"/>
  </r>
  <r>
    <x v="4"/>
    <x v="15"/>
    <n v="1238.136"/>
    <n v="1232.5909999999999"/>
    <n v="5.5450000000000008"/>
    <n v="2.7709433826332481"/>
    <n v="-2.4618480297560201"/>
    <n v="0.30909535287722828"/>
    <n v="9.9025185849258637E-2"/>
    <n v="0.25411762454298098"/>
    <n v="0.1109923431680971"/>
    <n v="-7.7999999999999986E-2"/>
    <n v="3430.804756"/>
    <n v="-3048.10267217"/>
    <n v="382.70208382999999"/>
    <n v="122.60664750665769"/>
    <n v="314.63217918114839"/>
    <n v="136.80816325790801"/>
    <n v="-0.43251000000000001"/>
    <n v="-3506.4940671779368"/>
  </r>
  <r>
    <x v="4"/>
    <x v="16"/>
    <n v="1239.3009999999999"/>
    <n v="1233.7349999999999"/>
    <n v="5.5660000000000007"/>
    <n v="2.847389788275811"/>
    <n v="-2.6838561884158891"/>
    <n v="0.1635335998599218"/>
    <n v="3.7931252778698493E-2"/>
    <n v="-0.1035025948925539"/>
    <n v="0.114051047076516"/>
    <n v="-7.7999999999999986E-2"/>
    <n v="3528.773012000001"/>
    <n v="-3326.1056581600001"/>
    <n v="202.66735384000091"/>
    <n v="47.008239499893818"/>
    <n v="-128.2708693529369"/>
    <n v="140.70876856494539"/>
    <n v="-0.43414799999999998"/>
    <n v="-959.49093002373263"/>
  </r>
  <r>
    <x v="4"/>
    <x v="17"/>
    <n v="1240.579"/>
    <n v="1235.0070000000001"/>
    <n v="5.572000000000001"/>
    <n v="2.84709554208156"/>
    <n v="-2.6794991305309859"/>
    <n v="0.16759641155057439"/>
    <n v="6.2031930469505503E-2"/>
    <n v="3.0635308138821579E-2"/>
    <n v="0.11224775550323531"/>
    <n v="-7.8000000000000014E-2"/>
    <n v="3532.0469404999999"/>
    <n v="-3324.1303518549998"/>
    <n v="207.91658864499999"/>
    <n v="76.955510269928666"/>
    <n v="38.005519935551128"/>
    <n v="138.6267637807841"/>
    <n v="-0.43461600000000011"/>
    <n v="-1690.589144314788"/>
  </r>
  <r>
    <x v="4"/>
    <x v="18"/>
    <n v="1242.2159999999999"/>
    <n v="1236.6410000000001"/>
    <n v="5.5749999999999993"/>
    <n v="2.846586054277195"/>
    <n v="-2.5171648378905118"/>
    <n v="0.32942121638668243"/>
    <n v="8.2233007017265963E-2"/>
    <n v="9.8876913763363883E-2"/>
    <n v="0.11051740794398229"/>
    <n v="-7.8E-2"/>
    <n v="3536.0747419999989"/>
    <n v="-3126.8624362649998"/>
    <n v="409.21230573499912"/>
    <n v="102.15115704496"/>
    <n v="122.82648430747081"/>
    <n v="136.67035787725411"/>
    <n v="-0.43485000000000001"/>
    <n v="-2824.8933348707651"/>
  </r>
  <r>
    <x v="4"/>
    <x v="19"/>
    <n v="1244.098"/>
    <n v="1238.508"/>
    <n v="5.59"/>
    <n v="2.8459162678502818"/>
    <n v="-2.3697564963129918"/>
    <n v="0.47615977153729011"/>
    <n v="5.3078942082562697E-2"/>
    <n v="3.9353321828245212E-4"/>
    <n v="0.11055395466388609"/>
    <n v="-7.8000000000000014E-2"/>
    <n v="3540.5987369999989"/>
    <n v="-2948.2093175499999"/>
    <n v="592.38941944999942"/>
    <n v="66.035405687032082"/>
    <n v="0.48959388979876189"/>
    <n v="136.92195728286021"/>
    <n v="-0.43602000000000007"/>
    <n v="-2916.4679731357969"/>
  </r>
  <r>
    <x v="4"/>
    <x v="20"/>
    <n v="1246.0550000000001"/>
    <n v="1240.443"/>
    <n v="5.612000000000001"/>
    <n v="2.8448670929453348"/>
    <n v="-2.465846348869031"/>
    <n v="0.37902074407630409"/>
    <n v="0.10640207597511341"/>
    <n v="0.26111122205042031"/>
    <n v="0.1073102938161646"/>
    <n v="-7.8E-2"/>
    <n v="3544.8608654999998"/>
    <n v="-3072.580172240001"/>
    <n v="472.28069325999923"/>
    <n v="132.58283877916989"/>
    <n v="325.35894379203648"/>
    <n v="133.11230279220459"/>
    <n v="-0.43773600000000012"/>
    <n v="-3897.2891562861919"/>
  </r>
  <r>
    <x v="4"/>
    <x v="21"/>
    <n v="1247.9690000000001"/>
    <n v="1242.335"/>
    <n v="5.6340000000000003"/>
    <n v="2.843897954596629"/>
    <n v="-2.4453949658725498"/>
    <n v="0.3985029887240793"/>
    <n v="4.7857917105782202E-2"/>
    <n v="-3.1699503044799092E-2"/>
    <n v="0.10957005831899019"/>
    <n v="-7.8E-2"/>
    <n v="3549.0964865000001"/>
    <n v="-3051.7771101650001"/>
    <n v="497.31937633500053"/>
    <n v="59.725196952585897"/>
    <n v="-39.559997115314872"/>
    <n v="136.12271840172269"/>
    <n v="-0.43945200000000001"/>
    <n v="-2394.9487561048632"/>
  </r>
  <r>
    <x v="4"/>
    <x v="22"/>
    <n v="1250.0509999999999"/>
    <n v="1244.403"/>
    <n v="5.6479999999999997"/>
    <n v="2.8428069446766568"/>
    <n v="-2.283168080466317"/>
    <n v="0.55963886421034026"/>
    <n v="1.8100944811313791E-2"/>
    <n v="-0.10842540211590571"/>
    <n v="0.1146469036273927"/>
    <n v="-7.7999999999999986E-2"/>
    <n v="3553.6536639999999"/>
    <n v="-2854.076542155"/>
    <n v="699.57712184499997"/>
    <n v="22.627104162327619"/>
    <n v="-135.53728234038999"/>
    <n v="142.6669508146384"/>
    <n v="-0.44054399999999988"/>
    <n v="-2672.6089517660221"/>
  </r>
  <r>
    <x v="4"/>
    <x v="23"/>
    <n v="1251.864"/>
    <n v="1246.2080000000001"/>
    <n v="5.6559999999999997"/>
    <n v="2.8420335280030411"/>
    <n v="-2.3305664971754112"/>
    <n v="0.51146703082762979"/>
    <n v="5.8235987027547662E-2"/>
    <n v="9.8473336324846963E-2"/>
    <n v="0.11025099703257631"/>
    <n v="-7.8E-2"/>
    <n v="3557.8394604999999"/>
    <n v="-2917.5522974199998"/>
    <n v="640.28716308000003"/>
    <n v="72.903535664253937"/>
    <n v="123.27522470496829"/>
    <n v="137.39567450997279"/>
    <n v="-0.44116799999999989"/>
    <n v="-3569.2082431840399"/>
  </r>
  <r>
    <x v="4"/>
    <x v="24"/>
    <n v="1253.7619999999999"/>
    <n v="1248.0830000000001"/>
    <n v="5.6790000000000012"/>
    <n v="2.8413520353145172"/>
    <n v="-2.381934675408889"/>
    <n v="0.45941735990562838"/>
    <n v="2.7304282219243341E-2"/>
    <n v="-4.3399595980169341E-2"/>
    <n v="0.1121873410286106"/>
    <n v="-7.7999999999999972E-2"/>
    <n v="3562.3792105000002"/>
    <n v="-2986.3791825099988"/>
    <n v="576.00002799000049"/>
    <n v="34.23307148376297"/>
    <n v="-54.412764255289083"/>
    <n v="140.0191131530114"/>
    <n v="-0.44296199999999991"/>
    <n v="-2549.7871166956802"/>
  </r>
  <r>
    <x v="4"/>
    <x v="25"/>
    <n v="1255.9860000000001"/>
    <n v="1250.309"/>
    <n v="5.6769999999999996"/>
    <n v="2.8403202651144208"/>
    <n v="-2.241541638640876"/>
    <n v="0.59877862647354407"/>
    <n v="2.8948035820403891E-2"/>
    <n v="-3.6948148710337157E-2"/>
    <n v="0.108711524139147"/>
    <n v="-7.7999999999999986E-2"/>
    <n v="3567.4024884999999"/>
    <n v="-2815.3449165500001"/>
    <n v="752.05757195000069"/>
    <n v="36.358327717925803"/>
    <n v="-46.406357506101521"/>
    <n v="135.9229970348928"/>
    <n v="-0.44280599999999998"/>
    <n v="-3217.462355054925"/>
  </r>
  <r>
    <x v="4"/>
    <x v="26"/>
    <n v="1258.2239999999999"/>
    <n v="1252.54"/>
    <n v="5.6839999999999993"/>
    <n v="2.8395287858123841"/>
    <n v="-2.2048296598181252"/>
    <n v="0.63469912599425848"/>
    <n v="2.7171387232595341E-2"/>
    <n v="1.560911608589698E-2"/>
    <n v="0.11243355199941669"/>
    <n v="-7.8E-2"/>
    <n v="3572.7632669999998"/>
    <n v="-2774.1695938950002"/>
    <n v="798.59367310499965"/>
    <n v="34.187691529345038"/>
    <n v="19.63976447806164"/>
    <n v="140.82752122134929"/>
    <n v="-0.44335200000000002"/>
    <n v="-3640.2860938907679"/>
  </r>
  <r>
    <x v="4"/>
    <x v="27"/>
    <n v="1260.2950000000001"/>
    <n v="1254.6079999999999"/>
    <n v="5.6870000000000003"/>
    <n v="2.8381027604648121"/>
    <n v="-2.2902355809473178"/>
    <n v="0.54786717951749397"/>
    <n v="2.7466865540714151E-2"/>
    <n v="-1.807641390675585E-3"/>
    <n v="0.11219104873276919"/>
    <n v="-7.7999999999999986E-2"/>
    <n v="3576.8467185"/>
    <n v="-2886.37245149"/>
    <n v="690.47426700999995"/>
    <n v="34.616353306634331"/>
    <n v="-2.2781614064614861"/>
    <n v="140.755787268522"/>
    <n v="-0.44358599999999992"/>
    <n v="-3164.7904206555022"/>
  </r>
  <r>
    <x v="4"/>
    <x v="28"/>
    <n v="1262.32"/>
    <n v="1256.615"/>
    <n v="5.705000000000001"/>
    <n v="2.7450382589200841"/>
    <n v="-2.647763125190127"/>
    <n v="9.7275133729957747E-2"/>
    <n v="7.9654972146154135E-2"/>
    <n v="3.4825971812815361E-2"/>
    <n v="0.11276756445518631"/>
    <n v="-7.8E-2"/>
    <n v="3465.1166950000011"/>
    <n v="-3342.3243481899999"/>
    <n v="122.7923468100003"/>
    <n v="100.5500644395333"/>
    <n v="43.96152073875308"/>
    <n v="141.70541300785391"/>
    <n v="-0.44499000000000011"/>
    <n v="-1498.069301652652"/>
  </r>
  <r>
    <x v="4"/>
    <x v="29"/>
    <n v="1264.2929999999999"/>
    <n v="1258.576"/>
    <n v="5.7170000000000014"/>
    <n v="2.7437718989980961"/>
    <n v="-2.436246281336683"/>
    <n v="0.30752561766141312"/>
    <n v="8.5231768498624738E-2"/>
    <n v="9.1697423816427662E-2"/>
    <n v="0.1153585486876878"/>
    <n v="-7.7999999999999986E-2"/>
    <n v="3468.9316055000008"/>
    <n v="-3080.1291197700002"/>
    <n v="388.80248573000108"/>
    <n v="107.75792829043181"/>
    <n v="115.9324110491428"/>
    <n v="145.18750077315531"/>
    <n v="-0.44592599999999999"/>
    <n v="-2776.5261327569328"/>
  </r>
  <r>
    <x v="4"/>
    <x v="30"/>
    <n v="1265.759"/>
    <n v="1260.0350000000001"/>
    <n v="5.7240000000000002"/>
    <n v="2.7430010953901971"/>
    <n v="-2.4930441475312448"/>
    <n v="0.24995694785895251"/>
    <n v="9.0690956269240619E-2"/>
    <n v="0.1366326071714111"/>
    <n v="0.1145284923325791"/>
    <n v="-7.8E-2"/>
    <n v="3471.9783235"/>
    <n v="-3155.5930671350002"/>
    <n v="316.3852563649998"/>
    <n v="114.7928941163977"/>
    <n v="172.94395222067811"/>
    <n v="144.30990883628121"/>
    <n v="-0.44647199999999998"/>
    <n v="-2742.6136449742248"/>
  </r>
  <r>
    <x v="4"/>
    <x v="31"/>
    <n v="1267.181"/>
    <n v="1261.4459999999999"/>
    <n v="5.7349999999999994"/>
    <n v="2.7424179537098481"/>
    <n v="-2.5710227145214439"/>
    <n v="0.17139523918840341"/>
    <n v="0.1140813693882735"/>
    <n v="0.24336573839098199"/>
    <n v="0.1149328347648484"/>
    <n v="-7.8000000000000014E-2"/>
    <n v="3475.139924999999"/>
    <n v="-3257.9511344099992"/>
    <n v="217.18879059000031"/>
    <n v="144.56174374280181"/>
    <n v="308.38843974002299"/>
    <n v="144.98156468277901"/>
    <n v="-0.44733000000000001"/>
    <n v="-2987.1350987708202"/>
  </r>
  <r>
    <x v="4"/>
    <x v="32"/>
    <n v="1268.5899999999999"/>
    <n v="1262.846"/>
    <n v="5.7440000000000007"/>
    <n v="2.7424079746017229"/>
    <n v="-2.650278476095508"/>
    <n v="9.212949850621506E-2"/>
    <n v="8.4835982761091736E-2"/>
    <n v="0.1261635787066902"/>
    <n v="0.1088007354112077"/>
    <n v="-7.8E-2"/>
    <n v="3478.9913325000002"/>
    <n v="-3362.11677199"/>
    <n v="116.8745605099994"/>
    <n v="107.6220793708934"/>
    <n v="160.04985431152011"/>
    <n v="137.398573511102"/>
    <n v="-0.44803199999999999"/>
    <n v="-1912.155797579728"/>
  </r>
  <r>
    <x v="4"/>
    <x v="33"/>
    <n v="1270.002"/>
    <n v="1264.2380000000001"/>
    <n v="5.7640000000000011"/>
    <n v="2.741637196240637"/>
    <n v="-2.5493866570210129"/>
    <n v="0.1922505392196234"/>
    <n v="-8.3167123390196981E-3"/>
    <n v="-0.21891733904893229"/>
    <n v="0.1201952801620271"/>
    <n v="-7.7999999999999986E-2"/>
    <n v="3481.8847225"/>
    <n v="-3237.7261531899999"/>
    <n v="244.1585693100001"/>
    <n v="-10.56224130397969"/>
    <n v="-278.02545842682213"/>
    <n v="151.95544060148089"/>
    <n v="-0.44959199999999999"/>
    <n v="-392.61463332919237"/>
  </r>
  <r>
    <x v="5"/>
    <x v="0"/>
    <n v="2629.4830000000002"/>
    <n v="2610.8180000000002"/>
    <n v="18.664999999999999"/>
    <n v="2.4632405230129999"/>
    <n v="-1.79668580616684"/>
    <n v="0.66655471684615941"/>
    <n v="0.32978310698693808"/>
    <n v="-0.1242021432427358"/>
    <n v="-3.8338677847190171E-3"/>
    <s v="NaN"/>
    <n v="6477.0490801737924"/>
    <n v="-4724.3547836570024"/>
    <n v="1752.69429651679"/>
    <n v="867.15907350933514"/>
    <n v="-326.58742422033868"/>
    <n v="-10.009531021964531"/>
    <s v="NaN"/>
    <n v="-8371.9401875414424"/>
  </r>
  <r>
    <x v="5"/>
    <x v="1"/>
    <n v="2629.2950000000001"/>
    <n v="2610.63"/>
    <n v="18.664999999999999"/>
    <n v="2.4940459283385228"/>
    <n v="-1.4623637286192011"/>
    <n v="1.0316821997193211"/>
    <n v="0.2159096859414579"/>
    <n v="-9.9244241880216952E-2"/>
    <n v="-9.9248158922065708E-3"/>
    <s v="NaN"/>
    <n v="6557.5824891508364"/>
    <n v="-3844.9856398398229"/>
    <n v="2712.5968493110131"/>
    <n v="567.69025769744565"/>
    <n v="-260.94238895444511"/>
    <n v="-25.910022112671239"/>
    <s v="NaN"/>
    <n v="-10975.927218452591"/>
  </r>
  <r>
    <x v="5"/>
    <x v="2"/>
    <n v="2629.0749999999998"/>
    <n v="2610.41"/>
    <n v="18.664999999999999"/>
    <n v="2.5267513324842819"/>
    <n v="-1.360874296931301"/>
    <n v="1.1658770355529819"/>
    <n v="0.1665526449779097"/>
    <n v="-6.5860154073821509E-2"/>
    <n v="2.4608066357279801E-3"/>
    <s v="NaN"/>
    <n v="6643.0187594511144"/>
    <n v="-3577.8405922046591"/>
    <n v="3065.1781672464558"/>
    <n v="437.87939509529792"/>
    <n v="-173.15128457163229"/>
    <n v="6.4237142499706774"/>
    <s v="NaN"/>
    <n v="-12233.209970741451"/>
  </r>
  <r>
    <x v="5"/>
    <x v="3"/>
    <n v="2628.62887"/>
    <n v="2609.96387"/>
    <n v="18.664999999999999"/>
    <n v="2.5408113170109008"/>
    <n v="-1.36364783130892"/>
    <n v="1.177163485701981"/>
    <n v="0.1353793481804714"/>
    <n v="-3.5643436436367457E-2"/>
    <n v="-2.4753280380642329E-3"/>
    <s v="NaN"/>
    <n v="6678.8499811175761"/>
    <n v="-3584.5240578915168"/>
    <n v="3094.3259232260589"/>
    <n v="355.86206302896909"/>
    <n v="-93.693366042645422"/>
    <n v="-6.4605167457456343"/>
    <s v="NaN"/>
    <n v="-12283.45837937879"/>
  </r>
  <r>
    <x v="5"/>
    <x v="4"/>
    <n v="2629.5014999999999"/>
    <n v="2610.8364999999999"/>
    <n v="18.664999999999999"/>
    <n v="2.511789851376292"/>
    <n v="-1.5849969391316461"/>
    <n v="0.92679291224464577"/>
    <n v="0.1699234052249437"/>
    <n v="1.2913675415509541E-4"/>
    <n v="7.4456930083177716E-3"/>
    <s v="NaN"/>
    <n v="6604.755181878736"/>
    <n v="-4167.7518289420714"/>
    <n v="2437.0033529366651"/>
    <n v="446.81384892409739"/>
    <n v="0.3395652887559546"/>
    <n v="19.439487073910851"/>
    <s v="NaN"/>
    <n v="-10646.51959882021"/>
  </r>
  <r>
    <x v="5"/>
    <x v="5"/>
    <n v="2630.12824"/>
    <n v="2611.46324"/>
    <n v="18.664999999999999"/>
    <n v="2.539593627970258"/>
    <n v="-1.6692405119073099"/>
    <n v="0.87035311606294741"/>
    <n v="0.17271615038876759"/>
    <n v="1.9088949937567452E-2"/>
    <n v="1.1418375272362001E-2"/>
    <s v="NaN"/>
    <n v="6679.4569190486282"/>
    <n v="-4390.3166097194726"/>
    <n v="2289.140309329156"/>
    <n v="454.26562464158462"/>
    <n v="50.206386302742388"/>
    <n v="29.81866728429835"/>
    <s v="NaN"/>
    <n v="-10352.580287712801"/>
  </r>
  <r>
    <x v="5"/>
    <x v="6"/>
    <n v="2630.9928300000001"/>
    <n v="2612.3278300000002"/>
    <n v="18.664999999999999"/>
    <n v="2.5630775184365082"/>
    <n v="-1.694219620630969"/>
    <n v="0.86885789780553901"/>
    <n v="0.15668926870621219"/>
    <n v="2.8041670610163341E-2"/>
    <n v="5.5626599443840026E-3"/>
    <s v="NaN"/>
    <n v="6743.4385737406446"/>
    <n v="-4457.4796743253992"/>
    <n v="2285.958899415245"/>
    <n v="412.24834250398749"/>
    <n v="73.777434316561468"/>
    <n v="14.53149138154058"/>
    <s v="NaN"/>
    <n v="-10217.22594793116"/>
  </r>
  <r>
    <x v="5"/>
    <x v="7"/>
    <n v="2631.8035399999999"/>
    <n v="2613.1385399999999"/>
    <n v="18.664999999999999"/>
    <n v="2.5905088158305238"/>
    <n v="-1.84313430250048"/>
    <n v="0.74737451333004357"/>
    <n v="0.1749658170286415"/>
    <n v="4.4687151748122413E-2"/>
    <n v="1.1850356472186499E-2"/>
    <s v="NaN"/>
    <n v="6817.7102719039804"/>
    <n v="-4850.7673820161936"/>
    <n v="1966.9428898877859"/>
    <n v="460.4756566349709"/>
    <n v="117.60780416322569"/>
    <n v="30.966623210208979"/>
    <s v="NaN"/>
    <n v="-9445.3075709535624"/>
  </r>
  <r>
    <x v="5"/>
    <x v="8"/>
    <n v="2633.8189699999998"/>
    <n v="2615.1539699999998"/>
    <n v="18.664999999999999"/>
    <n v="2.6519180734861441"/>
    <n v="-1.868218422438108"/>
    <n v="0.78369965104803596"/>
    <n v="0.15228420110040991"/>
    <n v="4.5053844752093987E-2"/>
    <n v="-4.6270087658678393E-4"/>
    <s v="NaN"/>
    <n v="6984.6721288336594"/>
    <n v="-4920.5491211209619"/>
    <n v="2064.123007712697"/>
    <n v="401.08901768955428"/>
    <n v="118.6636709795001"/>
    <n v="-1.2100340343284079"/>
    <s v="NaN"/>
    <n v="-9469.7740952747481"/>
  </r>
  <r>
    <x v="5"/>
    <x v="9"/>
    <n v="2634.4716899999999"/>
    <n v="2615.8066899999999"/>
    <n v="18.664999999999999"/>
    <n v="2.6577848453605641"/>
    <n v="-1.9028275517248721"/>
    <n v="0.75495729363569131"/>
    <n v="0.13947732403927601"/>
    <n v="4.7868176233030683E-2"/>
    <n v="1.1212633264906759E-2"/>
    <s v="NaN"/>
    <n v="7001.8589332134316"/>
    <n v="-5012.9453159711866"/>
    <n v="1988.9136172422459"/>
    <n v="367.44906157842922"/>
    <n v="126.10735513785021"/>
    <n v="29.330081106859641"/>
    <s v="NaN"/>
    <n v="-9209.9337552405814"/>
  </r>
  <r>
    <x v="5"/>
    <x v="10"/>
    <n v="2637.2896900000001"/>
    <n v="2618.6246900000001"/>
    <n v="18.664999999999999"/>
    <n v="2.686537496014572"/>
    <n v="-1.938195241984503"/>
    <n v="0.74834225403006926"/>
    <n v="0.1331470189827523"/>
    <n v="5.2888335490878582E-2"/>
    <n v="1.9221405714855321E-2"/>
    <s v="NaN"/>
    <n v="7085.1776400376484"/>
    <n v="-5111.582328892785"/>
    <n v="1973.595311144863"/>
    <n v="351.14726041744689"/>
    <n v="139.4818619113552"/>
    <n v="50.333647581427257"/>
    <s v="NaN"/>
    <n v="-9220.0462972028417"/>
  </r>
  <r>
    <x v="5"/>
    <x v="11"/>
    <n v="2639.1597099999999"/>
    <n v="2620.4947099999999"/>
    <n v="18.664999999999999"/>
    <n v="2.6883402299032051"/>
    <n v="-1.9196975718815359"/>
    <n v="0.76864265802166898"/>
    <n v="0.1087655331767314"/>
    <n v="4.8644052042616237E-2"/>
    <n v="2.3367673808866729E-2"/>
    <s v="NaN"/>
    <n v="7094.9592215326747"/>
    <n v="-5066.3884870945776"/>
    <n v="2028.5707344380969"/>
    <n v="287.04961299669787"/>
    <n v="128.37942228201601"/>
    <n v="61.234865601140832"/>
    <s v="NaN"/>
    <n v="-9185.8603294999921"/>
  </r>
  <r>
    <x v="5"/>
    <x v="12"/>
    <n v="2643.0565999999999"/>
    <n v="2624.3915999999999"/>
    <n v="18.664999999999999"/>
    <n v="2.6970718688056721"/>
    <n v="-1.9243570192609341"/>
    <n v="0.77271484954473779"/>
    <n v="9.7436715366482976E-2"/>
    <n v="4.8547961787495333E-2"/>
    <n v="2.5198508267161329E-2"/>
    <s v="NaN"/>
    <n v="7128.5136035211672"/>
    <n v="-5086.1845205139407"/>
    <n v="2042.329083007226"/>
    <n v="257.53075363170427"/>
    <n v="128.3150108189873"/>
    <n v="66.130753428868758"/>
    <s v="NaN"/>
    <n v="-9145.7872032523846"/>
  </r>
  <r>
    <x v="5"/>
    <x v="13"/>
    <n v="2644.17002"/>
    <n v="2625.5050200000001"/>
    <n v="18.664999999999999"/>
    <n v="2.693644153433274"/>
    <n v="-1.986840942462039"/>
    <n v="0.70680321097123511"/>
    <n v="0.1033100178140397"/>
    <n v="5.2849808609732873E-2"/>
    <n v="2.1726741922113959E-2"/>
    <s v="NaN"/>
    <n v="7122.4531150565444"/>
    <n v="-5253.5452545666694"/>
    <n v="1868.907860489875"/>
    <n v="273.16925186954973"/>
    <n v="139.74387948859351"/>
    <n v="57.043669984754636"/>
    <s v="NaN"/>
    <n v="-8575.8370933876122"/>
  </r>
  <r>
    <x v="5"/>
    <x v="14"/>
    <n v="2645.7401399999999"/>
    <n v="2627.0751399999999"/>
    <n v="18.664999999999999"/>
    <n v="2.7061854726535688"/>
    <n v="-2.0446288984110068"/>
    <n v="0.66155657424256209"/>
    <n v="0.1014900319094713"/>
    <n v="5.2381621184847543E-2"/>
    <n v="2.402519145381472E-2"/>
    <s v="NaN"/>
    <n v="7159.863531284419"/>
    <n v="-5409.5567479299834"/>
    <n v="1750.306783354436"/>
    <n v="268.51625123276898"/>
    <n v="138.58815776702551"/>
    <n v="63.115983202057087"/>
    <s v="NaN"/>
    <n v="-8141.9329770404629"/>
  </r>
  <r>
    <x v="5"/>
    <x v="15"/>
    <n v="2647.4182700000001"/>
    <n v="2628.7532700000002"/>
    <n v="18.664999999999999"/>
    <n v="2.7169928964658898"/>
    <n v="-2.0262071127571879"/>
    <n v="0.69078578370870203"/>
    <n v="8.5868704593298428E-2"/>
    <n v="4.8363230365176868E-2"/>
    <n v="2.5884432541681771E-2"/>
    <s v="NaN"/>
    <n v="7193.0166335640151"/>
    <n v="-5364.2177291173293"/>
    <n v="1828.798904446686"/>
    <n v="227.33037736153111"/>
    <n v="128.037699664988"/>
    <n v="68.043786686040349"/>
    <s v="NaN"/>
    <n v="-8258.1061499179832"/>
  </r>
  <r>
    <x v="5"/>
    <x v="16"/>
    <n v="2649.1493500000001"/>
    <n v="2630.4843500000002"/>
    <n v="18.664999999999999"/>
    <n v="2.7198233679613621"/>
    <n v="-2.3051707883121271"/>
    <n v="0.41465257964923469"/>
    <n v="0.13967172145000409"/>
    <n v="6.2395531317831737E-2"/>
    <n v="3.3475047380348663E-2"/>
    <s v="NaN"/>
    <n v="7205.2183073496526"/>
    <n v="-6106.741695496059"/>
    <n v="1098.476611853594"/>
    <n v="370.01125009265951"/>
    <n v="165.29508123353861"/>
    <n v="88.055588249515637"/>
    <s v="NaN"/>
    <n v="-6313.4079485747006"/>
  </r>
  <r>
    <x v="5"/>
    <x v="17"/>
    <n v="2651.2102199999999"/>
    <n v="2632.54522"/>
    <n v="18.664999999999999"/>
    <n v="2.7192874267185321"/>
    <n v="-2.3933839971512949"/>
    <n v="0.32590342956723722"/>
    <n v="0.14506120876663159"/>
    <n v="6.7376384686851531E-2"/>
    <n v="3.4740044197748329E-2"/>
    <s v="NaN"/>
    <n v="7209.4026168336732"/>
    <n v="-6345.3641136319638"/>
    <n v="864.03850320170932"/>
    <n v="384.58775920764742"/>
    <n v="178.62895966843229"/>
    <n v="91.454737295371089"/>
    <s v="NaN"/>
    <n v="-5568.6031843687606"/>
  </r>
  <r>
    <x v="5"/>
    <x v="18"/>
    <n v="2653.0348800000002"/>
    <n v="2634.3698800000002"/>
    <n v="18.664999999999999"/>
    <n v="2.7280867089435001"/>
    <n v="-2.097529413325748"/>
    <n v="0.63055729561775198"/>
    <n v="6.2311278623201627E-2"/>
    <n v="4.2565738931391477E-2"/>
    <n v="3.2020133459030091E-2"/>
    <s v="NaN"/>
    <n v="7237.7091944915128"/>
    <n v="-5564.8186953791464"/>
    <n v="1672.890499112367"/>
    <n v="165.31399560475231"/>
    <n v="112.9283900779555"/>
    <n v="84.3528751380491"/>
    <s v="NaN"/>
    <n v="-7463.4477864221344"/>
  </r>
  <r>
    <x v="5"/>
    <x v="19"/>
    <n v="2655.2113800000002"/>
    <n v="2636.5463800000002"/>
    <n v="18.664999999999999"/>
    <n v="2.7424926975776658"/>
    <n v="-2.0068069259796251"/>
    <n v="0.73568577159804083"/>
    <n v="3.4055201848681257E-2"/>
    <n v="3.494596782215232E-2"/>
    <n v="3.2567302127222579E-2"/>
    <s v="NaN"/>
    <n v="7281.897820175117"/>
    <n v="-5328.496587323918"/>
    <n v="1953.401232851199"/>
    <n v="90.423759496815535"/>
    <n v="92.788931446492654"/>
    <n v="85.865202529895001"/>
    <s v="NaN"/>
    <n v="-8149.0901298568833"/>
  </r>
  <r>
    <x v="5"/>
    <x v="20"/>
    <n v="2657.3759100000002"/>
    <n v="2638.7109099999998"/>
    <n v="18.664999999999999"/>
    <n v="2.7409221152344219"/>
    <n v="-2.164631693101291"/>
    <n v="0.5762904221331312"/>
    <n v="6.6970672929283395E-2"/>
    <n v="4.1335140783802793E-2"/>
    <n v="3.3966697035793213E-2"/>
    <s v="NaN"/>
    <n v="7283.6604002101967"/>
    <n v="-5752.2401152698831"/>
    <n v="1531.4202849403141"/>
    <n v="177.96625291876691"/>
    <n v="109.8430073553361"/>
    <n v="89.628294045012211"/>
    <s v="NaN"/>
    <n v="-6999.145410618542"/>
  </r>
  <r>
    <x v="5"/>
    <x v="21"/>
    <n v="2659.83842"/>
    <n v="2641.1734200000001"/>
    <n v="18.664999999999999"/>
    <n v="2.755601843804333"/>
    <n v="-1.9609466630685219"/>
    <n v="0.79465518073581087"/>
    <n v="1.6727839131311751E-2"/>
    <n v="2.4703437069871069E-2"/>
    <n v="2.8746955780781611E-2"/>
    <s v="NaN"/>
    <n v="7329.4556543736044"/>
    <n v="-5215.8012740004506"/>
    <n v="2113.6543803731538"/>
    <n v="44.493349205042414"/>
    <n v="65.707151024495303"/>
    <n v="75.925695514115745"/>
    <s v="NaN"/>
    <n v="-8432.5287790957263"/>
  </r>
  <r>
    <x v="5"/>
    <x v="22"/>
    <n v="2661.8892599999999"/>
    <n v="2643.22426"/>
    <n v="18.664999999999999"/>
    <n v="2.7632824368358122"/>
    <n v="-1.9400769532818101"/>
    <n v="0.82320548355400247"/>
    <n v="1.471303961072877E-2"/>
    <n v="2.469035771544463E-2"/>
    <n v="3.8064673971987838E-2"/>
    <s v="NaN"/>
    <n v="7355.5518409598762"/>
    <n v="-5164.2700055143696"/>
    <n v="2191.2818354455062"/>
    <n v="39.16448212175348"/>
    <n v="65.722998028300196"/>
    <n v="100.6134696917488"/>
    <s v="NaN"/>
    <n v="-8788.2035460542611"/>
  </r>
  <r>
    <x v="5"/>
    <x v="23"/>
    <n v="2663.73054"/>
    <n v="2645.0655400000001"/>
    <n v="18.664999999999999"/>
    <n v="2.7662019214114442"/>
    <n v="-1.968633797534646"/>
    <n v="0.79756812387679843"/>
    <n v="2.338040013605255E-2"/>
    <n v="2.6019186540930921E-2"/>
    <n v="3.7648028707720223E-2"/>
    <s v="NaN"/>
    <n v="7368.4165378703437"/>
    <n v="-5243.9099685692127"/>
    <n v="2124.5065693011311"/>
    <n v="62.279085879823327"/>
    <n v="69.308101815034661"/>
    <n v="99.581503383721468"/>
    <s v="NaN"/>
    <n v="-8637.4759547263911"/>
  </r>
  <r>
    <x v="5"/>
    <x v="24"/>
    <n v="2666.3763600000002"/>
    <n v="2647.7113599999998"/>
    <n v="18.664999999999999"/>
    <n v="2.7623324598124461"/>
    <n v="-1.979076940678802"/>
    <n v="0.78325551913364366"/>
    <n v="2.6755738461311459E-2"/>
    <n v="2.7505730940459841E-2"/>
    <n v="3.8623224239197833E-2"/>
    <s v="NaN"/>
    <n v="7365.4179693045553"/>
    <n v="-5276.9639692470801"/>
    <n v="2088.4540000574748"/>
    <n v="71.340868527583666"/>
    <n v="73.340630744162681"/>
    <n v="102.26314957795149"/>
    <s v="NaN"/>
    <n v="-8563.1283793270795"/>
  </r>
  <r>
    <x v="5"/>
    <x v="25"/>
    <n v="2668.3921599999999"/>
    <n v="2649.7271599999999"/>
    <n v="18.664999999999999"/>
    <n v="2.7569918330759631"/>
    <n v="-2.0566308097874582"/>
    <n v="0.70036102328850536"/>
    <n v="4.7900905795244357E-2"/>
    <n v="3.4574997731007452E-2"/>
    <n v="4.1440073607784421E-2"/>
    <s v="NaN"/>
    <n v="7356.7353925639291"/>
    <n v="-5487.8975288513038"/>
    <n v="1868.837863712625"/>
    <n v="127.8184014809286"/>
    <n v="92.259652877438072"/>
    <n v="109.80488855094561"/>
    <s v="NaN"/>
    <n v="-8061.9762909478368"/>
  </r>
  <r>
    <x v="5"/>
    <x v="26"/>
    <n v="2669.8497600000001"/>
    <n v="2651.1847600000001"/>
    <n v="18.664999999999999"/>
    <n v="2.757502453079538"/>
    <n v="-2.2204901657406668"/>
    <n v="0.53701228733887152"/>
    <n v="8.1266453512430809E-2"/>
    <n v="4.4746514167568259E-2"/>
    <n v="4.1062548463395243E-2"/>
    <s v="NaN"/>
    <n v="7362.1172625538175"/>
    <n v="-5928.3751360850792"/>
    <n v="1433.7421264687371"/>
    <n v="216.96922140621459"/>
    <n v="119.4664701111187"/>
    <n v="108.86440269291489"/>
    <s v="NaN"/>
    <n v="-6889.8214758235727"/>
  </r>
  <r>
    <x v="5"/>
    <x v="27"/>
    <n v="2671.6584999999991"/>
    <n v="2652.9934999999991"/>
    <n v="18.664999999999999"/>
    <n v="2.749585054139684"/>
    <n v="-2.4303312199360212"/>
    <n v="0.31925383420366349"/>
    <n v="0.1204526142315613"/>
    <n v="5.5063155136352841E-2"/>
    <n v="4.1939698159595022E-2"/>
    <s v="NaN"/>
    <n v="7345.9522813652447"/>
    <n v="-6493.0150615574366"/>
    <n v="852.93721980780811"/>
    <n v="321.80825065897147"/>
    <n v="147.10994645685571"/>
    <n v="111.2657466093675"/>
    <s v="NaN"/>
    <n v="-5254.7775996214868"/>
  </r>
  <r>
    <x v="5"/>
    <x v="28"/>
    <n v="2673.39167"/>
    <n v="2654.72667"/>
    <n v="18.664999999999999"/>
    <n v="2.7360832441762319"/>
    <n v="-3.198429019213533"/>
    <n v="-0.46234577503730118"/>
    <n v="0.2807727199032512"/>
    <n v="0.1001340288144705"/>
    <n v="5.3157568307620258E-2"/>
    <s v="NaN"/>
    <n v="7314.6221534073147"/>
    <n v="-8550.6534970517296"/>
    <n v="-1236.0313436444151"/>
    <n v="750.61545055259489"/>
    <n v="267.69747851614528"/>
    <n v="141.1188142985863"/>
    <s v="NaN"/>
    <n v="280.8652010160161"/>
  </r>
  <r>
    <x v="5"/>
    <x v="29"/>
    <n v="2675.6698799999999"/>
    <n v="2657.00488"/>
    <n v="18.664999999999999"/>
    <n v="2.714552041205804"/>
    <n v="-4.0147909531599302"/>
    <n v="-1.300238911954126"/>
    <n v="0.42354688399444601"/>
    <n v="0.13883090152670791"/>
    <n v="5.649214080255973E-2"/>
    <s v="NaN"/>
    <n v="7263.2451343468874"/>
    <n v="-10742.255227866521"/>
    <n v="-3479.0100935196278"/>
    <n v="1133.2716402717931"/>
    <n v="371.4656616282582"/>
    <n v="150.09989379404831"/>
    <s v="NaN"/>
    <n v="6688.6339586942113"/>
  </r>
  <r>
    <x v="5"/>
    <x v="30"/>
    <n v="2677.3289799999998"/>
    <n v="2658.6639799999998"/>
    <n v="18.664999999999999"/>
    <n v="2.6888262960282252"/>
    <n v="-4.364058263018074"/>
    <n v="-1.675231966989849"/>
    <n v="0.4294633783437567"/>
    <n v="0.1365193307329606"/>
    <n v="5.7827433707782407E-2"/>
    <s v="NaN"/>
    <n v="7198.8725645424256"/>
    <n v="-11684.01965798675"/>
    <n v="-4485.1470934443259"/>
    <n v="1149.8147486884441"/>
    <n v="365.50716050156018"/>
    <n v="153.74371505471899"/>
    <s v="NaN"/>
    <n v="10325.63205373281"/>
  </r>
  <r>
    <x v="5"/>
    <x v="31"/>
    <n v="2678.8041499999999"/>
    <n v="2657.98767"/>
    <n v="20.816479999999999"/>
    <n v="2.6623416960557469"/>
    <n v="-3.7079640896536019"/>
    <n v="-1.045622393597855"/>
    <n v="0.21802063150346579"/>
    <n v="7.1355294454184232E-2"/>
    <n v="5.0725686976583188E-2"/>
    <s v="NaN"/>
    <n v="7131.8919841121733"/>
    <n v="-9932.9095914150403"/>
    <n v="-2801.017607302867"/>
    <n v="584.03457245710479"/>
    <n v="191.1468589083407"/>
    <n v="134.8282505360377"/>
    <s v="NaN"/>
    <n v="6933.6957264723706"/>
  </r>
  <r>
    <x v="5"/>
    <x v="32"/>
    <n v="2680.3719799999999"/>
    <n v="2659.5554999999999"/>
    <n v="20.816479999999999"/>
    <n v="2.6457636819241261"/>
    <n v="-3.12300571151974"/>
    <n v="-0.47724202959561401"/>
    <n v="6.1131797452824023E-2"/>
    <n v="2.3521754099858891E-2"/>
    <n v="4.6012406955611533E-2"/>
    <s v="NaN"/>
    <n v="7091.6308387310601"/>
    <n v="-8370.8170025374748"/>
    <n v="-1279.1861638064149"/>
    <n v="163.8559569795849"/>
    <n v="63.04705060971191"/>
    <n v="122.3725499870349"/>
    <s v="NaN"/>
    <n v="3409.672222843948"/>
  </r>
  <r>
    <x v="5"/>
    <x v="33"/>
    <n v="2681.7636899999989"/>
    <n v="2660.92805"/>
    <n v="20.835640000000001"/>
    <n v="2.6427036409875031"/>
    <n v="-2.3331285703842299"/>
    <n v="0.30957507060327227"/>
    <n v="-0.11858157261340931"/>
    <n v="-2.5596388376276449E-2"/>
    <n v="4.3161241557850442E-2"/>
    <s v="NaN"/>
    <n v="7087.106667831079"/>
    <n v="-6256.899484158037"/>
    <n v="830.20718367304198"/>
    <n v="-318.0077557377395"/>
    <n v="-68.643464942636214"/>
    <n v="114.84895833410989"/>
    <s v="NaN"/>
    <n v="-2047.4847115316991"/>
  </r>
  <r>
    <x v="6"/>
    <x v="0"/>
    <n v="10673.066999999999"/>
    <n v="10405.878000000001"/>
    <n v="267.18900000000002"/>
    <n v="0.30822555824300552"/>
    <n v="-2.762762932154365E-2"/>
    <n v="0.28059792892146179"/>
    <n v="6.5382133023244401E-2"/>
    <s v="NaN"/>
    <n v="0.39651749298713668"/>
    <n v="-2.8908452443775752"/>
    <n v="3289.7120342399999"/>
    <n v="-294.8715388"/>
    <n v="2994.8404954399998"/>
    <n v="697.82788636000009"/>
    <s v="NaN"/>
    <n v="4126.1126568899999"/>
    <n v="-772.40204999999992"/>
    <n v="-25836.722958532351"/>
  </r>
  <r>
    <x v="6"/>
    <x v="1"/>
    <n v="10683.56"/>
    <n v="10416.073"/>
    <n v="267.48700000000002"/>
    <n v="1.734547741916552"/>
    <n v="-2.723298801897495E-2"/>
    <n v="1.707314753897577"/>
    <n v="2.87664053555182E-2"/>
    <s v="NaN"/>
    <n v="0.39673912858809651"/>
    <n v="-2.8943999521472068"/>
    <n v="18531.144873630001"/>
    <n v="-290.94526148"/>
    <n v="18240.199612150001"/>
    <n v="307.3276176"/>
    <s v="NaN"/>
    <n v="4132.4637253299998"/>
    <n v="-774.21435999999994"/>
    <n v="-80321.180848633972"/>
  </r>
  <r>
    <x v="6"/>
    <x v="2"/>
    <n v="10694.045"/>
    <n v="10426.263999999999"/>
    <n v="267.78100000000001"/>
    <n v="1.8467411018973641"/>
    <n v="-2.7353504840310659E-2"/>
    <n v="1.8193875970570541"/>
    <n v="2.5886501863420251E-2"/>
    <s v="NaN"/>
    <n v="0.39667693179263452"/>
    <n v="-2.893687080113974"/>
    <n v="19749.13244704"/>
    <n v="-292.51961167000002"/>
    <n v="19456.612835370001"/>
    <n v="276.83141582000002"/>
    <s v="NaN"/>
    <n v="4135.8584135800002"/>
    <n v="-774.87441999999999"/>
    <n v="-84679.570230831043"/>
  </r>
  <r>
    <x v="6"/>
    <x v="3"/>
    <n v="10704.522000000001"/>
    <n v="10436.448"/>
    <n v="268.07400000000001"/>
    <n v="1.8478324208133721"/>
    <n v="-2.7678425540159569E-2"/>
    <n v="1.820153995273212"/>
    <n v="2.5858781974571119E-2"/>
    <s v="NaN"/>
    <n v="0.39709660510740818"/>
    <n v="-2.8833500078336578"/>
    <n v="19780.162800909999"/>
    <n v="-296.28431511999997"/>
    <n v="19483.878485789999"/>
    <n v="276.80590053999998"/>
    <s v="NaN"/>
    <n v="4144.2780701800002"/>
    <n v="-772.95116999999993"/>
    <n v="-84817.374717211045"/>
  </r>
  <r>
    <x v="6"/>
    <x v="4"/>
    <n v="10714.992"/>
    <n v="10446.630999999999"/>
    <n v="268.36099999999999"/>
    <n v="1.638824591317473"/>
    <n v="-2.7471551746375542E-2"/>
    <n v="1.611353039571098"/>
    <n v="3.1224642423438111E-2"/>
    <s v="NaN"/>
    <n v="0.39728880363631108"/>
    <n v="-2.8886728324905628"/>
    <n v="17559.992385369998"/>
    <n v="-294.35745718999999"/>
    <n v="17265.634928179999"/>
    <n v="334.57179377"/>
    <s v="NaN"/>
    <n v="4150.3295320200004"/>
    <n v="-775.20713000000001"/>
    <n v="-76909.540121230326"/>
  </r>
  <r>
    <x v="6"/>
    <x v="5"/>
    <n v="10725.457"/>
    <n v="10456.811"/>
    <n v="268.64600000000002"/>
    <n v="1.419847010909651"/>
    <n v="-2.7717922001831711E-2"/>
    <n v="1.3921290889078199"/>
    <n v="3.6846448170926423E-2"/>
    <s v="NaN"/>
    <n v="0.3972958010879224"/>
    <n v="-2.8886202288513512"/>
    <n v="15228.508062090001"/>
    <n v="-297.28738055999997"/>
    <n v="14931.22068153"/>
    <n v="395.19499545999997"/>
    <s v="NaN"/>
    <n v="4154.4471030699997"/>
    <n v="-776.01626999999996"/>
    <n v="-68584.437203559573"/>
  </r>
  <r>
    <x v="6"/>
    <x v="6"/>
    <n v="10735.921"/>
    <n v="10466.991"/>
    <n v="268.93"/>
    <n v="1.5172799671197279"/>
    <n v="-2.7636599294089442E-2"/>
    <n v="1.4896433678256391"/>
    <n v="3.4345481655463E-2"/>
    <s v="NaN"/>
    <n v="0.39759175864295671"/>
    <n v="-2.895023240248392"/>
    <n v="16289.397861879999"/>
    <n v="-296.70434673"/>
    <n v="15992.69351515"/>
    <n v="368.73037776000001"/>
    <s v="NaN"/>
    <n v="4161.58935939"/>
    <n v="-778.55859999999996"/>
    <n v="-72396.333725106582"/>
  </r>
  <r>
    <x v="6"/>
    <x v="7"/>
    <n v="10746.379000000001"/>
    <n v="10477.168"/>
    <n v="269.21100000000001"/>
    <n v="1.495571892316472"/>
    <n v="-2.7627841899117839E-2"/>
    <n v="1.4679440504173551"/>
    <n v="3.4903071222408967E-2"/>
    <s v="NaN"/>
    <n v="0.39785488490783011"/>
    <n v="-2.89446460211507"/>
    <n v="16071.982376579999"/>
    <n v="-296.89926000000003"/>
    <n v="15775.083116579999"/>
    <n v="375.08163162"/>
    <s v="NaN"/>
    <n v="4168.3924687999997"/>
    <n v="-779.22170999999992"/>
    <n v="-71644.230192339834"/>
  </r>
  <r>
    <x v="6"/>
    <x v="8"/>
    <n v="10756.83"/>
    <n v="10487.341"/>
    <n v="269.48899999999998"/>
    <n v="1.407898700289026"/>
    <n v="-2.7577059445952009E-2"/>
    <n v="1.3803216408430741"/>
    <n v="3.7154092345979252E-2"/>
    <s v="NaN"/>
    <n v="0.39757983625782739"/>
    <n v="-2.8795467347090229"/>
    <n v="15144.526976229999"/>
    <n v="-296.64174035999997"/>
    <n v="14847.885235870001"/>
    <n v="399.66025517000003"/>
    <s v="NaN"/>
    <n v="4169.5553175599998"/>
    <n v="-776.00616998999999"/>
    <n v="-68350.680341576212"/>
  </r>
  <r>
    <x v="6"/>
    <x v="9"/>
    <n v="10767.272999999999"/>
    <n v="10497.51"/>
    <n v="269.76299999999998"/>
    <n v="1.459264068535274"/>
    <n v="-2.741278944445822E-2"/>
    <n v="1.4318512790908151"/>
    <n v="3.5835777011505143E-2"/>
    <s v="NaN"/>
    <n v="0.39816926133340191"/>
    <n v="-2.8908871490901271"/>
    <n v="15712.29460501"/>
    <n v="-295.16098763999997"/>
    <n v="15417.13361737"/>
    <n v="385.85359425000001"/>
    <s v="NaN"/>
    <n v="4179.7858025400001"/>
    <n v="-779.85439000000008"/>
    <n v="-70410.701621926419"/>
  </r>
  <r>
    <x v="6"/>
    <x v="10"/>
    <n v="10777.714"/>
    <n v="10507.678"/>
    <n v="270.036"/>
    <n v="0.98728322403062463"/>
    <n v="-2.756478327500618E-2"/>
    <n v="0.95971844075561852"/>
    <n v="4.795261134040113E-2"/>
    <s v="NaN"/>
    <n v="0.39782056304066421"/>
    <n v="-2.8899872609577981"/>
    <n v="10640.6562256"/>
    <n v="-297.08535060999998"/>
    <n v="10343.57087499"/>
    <n v="516.81953057999999"/>
    <s v="NaN"/>
    <n v="4180.1703782100003"/>
    <n v="-780.40059999999994"/>
    <n v="-52287.254007198091"/>
  </r>
  <r>
    <x v="6"/>
    <x v="11"/>
    <n v="10779.374"/>
    <n v="10508.869000000001"/>
    <n v="270.505"/>
    <n v="1.4036512305816651"/>
    <n v="-2.8800485708168219E-2"/>
    <n v="1.3748507448734959"/>
    <n v="3.7269534235476007E-2"/>
    <s v="NaN"/>
    <n v="0.39828668384200039"/>
    <n v="-2.8828340326426498"/>
    <n v="15130.48158"/>
    <n v="-310.45120682999999"/>
    <n v="14820.030373170001"/>
    <n v="401.74224833"/>
    <s v="NaN"/>
    <n v="4185.5425849399999"/>
    <n v="-779.82101999999998"/>
    <n v="-68300.81201695287"/>
  </r>
  <r>
    <x v="6"/>
    <x v="12"/>
    <n v="10781.008"/>
    <n v="10510.04"/>
    <n v="270.96800000000002"/>
    <n v="0.49554673558075463"/>
    <n v="-2.8951533488334302E-2"/>
    <n v="0.46659520209242028"/>
    <n v="8.6833218942978241E-2"/>
    <s v="NaN"/>
    <n v="0.39796197807429851"/>
    <n v="-2.8773181334696352"/>
    <n v="5342.4933206699998"/>
    <n v="-312.12671415"/>
    <n v="5030.3666065199996"/>
    <n v="936.14962808999996"/>
    <s v="NaN"/>
    <n v="4182.5963080399997"/>
    <n v="-779.66113999000004"/>
    <n v="-34354.655143089803"/>
  </r>
  <r>
    <x v="6"/>
    <x v="13"/>
    <n v="10782.621999999999"/>
    <n v="10511.197"/>
    <n v="271.42500000000001"/>
    <n v="0.51164280424278996"/>
    <n v="-2.854396796437823E-2"/>
    <n v="0.48309883627841171"/>
    <n v="8.3465798774175717E-2"/>
    <s v="NaN"/>
    <n v="0.39786861490370701"/>
    <n v="-2.8990237450492771"/>
    <n v="5516.8509571699997"/>
    <n v="-307.77881694000001"/>
    <n v="5209.0721402299996"/>
    <n v="899.98015811000005"/>
    <s v="NaN"/>
    <n v="4182.07539137"/>
    <n v="-786.86752000000001"/>
    <n v="-34848.953955606499"/>
  </r>
  <r>
    <x v="6"/>
    <x v="14"/>
    <n v="10784.227999999999"/>
    <n v="10512.352000000001"/>
    <n v="271.87599999999998"/>
    <n v="0.48780744468774212"/>
    <n v="-2.8957210930629439E-2"/>
    <n v="0.45885023375711259"/>
    <n v="8.8535538489171395E-2"/>
    <s v="NaN"/>
    <n v="0.39805349913321009"/>
    <n v="-2.8877838058526679"/>
    <n v="5260.6267036099998"/>
    <n v="-312.28116491999998"/>
    <n v="4948.3455386899996"/>
    <n v="954.78743316999999"/>
    <s v="NaN"/>
    <n v="4184.4784977199997"/>
    <n v="-785.11911000000009"/>
    <n v="-34109.138651796427"/>
  </r>
  <r>
    <x v="6"/>
    <x v="15"/>
    <n v="10785.817999999999"/>
    <n v="10513.499"/>
    <n v="272.31900000000002"/>
    <n v="0.46852900604478948"/>
    <n v="-2.904890870771229E-2"/>
    <n v="0.43948009733707721"/>
    <n v="9.2642608790543299E-2"/>
    <s v="NaN"/>
    <n v="0.39785454770861728"/>
    <n v="-2.890397144525354"/>
    <n v="5053.4685869199993"/>
    <n v="-313.31624241999992"/>
    <n v="4740.1523444999993"/>
    <n v="999.22631746000002"/>
    <s v="NaN"/>
    <n v="4182.84338948"/>
    <n v="-787.11005999999998"/>
    <n v="-33495.410635283049"/>
  </r>
  <r>
    <x v="6"/>
    <x v="16"/>
    <n v="10790.109"/>
    <n v="10516.984"/>
    <n v="273.125"/>
    <n v="0.43009662667170462"/>
    <n v="-2.4015435284296019E-2"/>
    <n v="0.4060811913874085"/>
    <n v="0.1007839662713324"/>
    <s v="NaN"/>
    <n v="0.39776851772523381"/>
    <n v="-2.893246864988559"/>
    <n v="4640.7894823199986"/>
    <n v="-259.12916439999998"/>
    <n v="4381.6603179199992"/>
    <n v="1087.4699815199999"/>
    <s v="NaN"/>
    <n v="4183.3251366200002"/>
    <n v="-790.21805000000006"/>
    <n v="-32494.870415556288"/>
  </r>
  <r>
    <x v="6"/>
    <x v="17"/>
    <n v="10794.353999999999"/>
    <n v="10520.445"/>
    <n v="273.90899999999999"/>
    <n v="0.33373912275621131"/>
    <n v="-2.4632554675342311E-2"/>
    <n v="0.309106568080869"/>
    <n v="0.1211646963523709"/>
    <s v="NaN"/>
    <n v="0.39795002241064897"/>
    <n v="-2.879615565717081"/>
    <n v="3602.4982346800002"/>
    <n v="-265.89251509000002"/>
    <n v="3336.6057195899998"/>
    <n v="1307.89462473"/>
    <s v="NaN"/>
    <n v="4186.61132352"/>
    <n v="-788.75261998999997"/>
    <n v="-29488.649842119339"/>
  </r>
  <r>
    <x v="6"/>
    <x v="18"/>
    <n v="10798.566999999999"/>
    <n v="10523.884"/>
    <n v="274.68299999999999"/>
    <n v="1.1803239487230111"/>
    <n v="-2.549832774848737E-2"/>
    <n v="1.154825620974524"/>
    <n v="-0.18291495969789329"/>
    <s v="NaN"/>
    <n v="0.39773815936302598"/>
    <n v="-2.8922732750115592"/>
    <n v="12745.80724199"/>
    <n v="-275.34540057999999"/>
    <n v="12470.46184141"/>
    <n v="-1975.2194476"/>
    <s v="NaN"/>
    <n v="4185.7502515100005"/>
    <n v="-794.45830000000001"/>
    <n v="-50917.292599511289"/>
  </r>
  <r>
    <x v="6"/>
    <x v="19"/>
    <n v="10802.754999999999"/>
    <n v="10527.302"/>
    <n v="275.45299999999997"/>
    <n v="1.27035956755013"/>
    <n v="-2.7017880600828222E-2"/>
    <n v="1.243341686949301"/>
    <n v="-0.19789486252442079"/>
    <s v="NaN"/>
    <n v="0.26067572645393849"/>
    <n v="-2.8926300675614338"/>
    <n v="13723.38317015"/>
    <n v="-291.86754474999998"/>
    <n v="13431.515625399999"/>
    <n v="-2137.8097156099998"/>
    <s v="NaN"/>
    <n v="2744.21209645"/>
    <n v="-796.7836299999999"/>
    <n v="-48550.82604621775"/>
  </r>
  <r>
    <x v="6"/>
    <x v="20"/>
    <n v="10806.924999999999"/>
    <n v="10530.709000000001"/>
    <n v="276.21600000000001"/>
    <n v="1.130007602033881"/>
    <n v="-2.8301681973364301E-2"/>
    <n v="1.101705920060517"/>
    <n v="-0.17495371263425999"/>
    <s v="NaN"/>
    <n v="0.17588074648345139"/>
    <n v="-2.886215353201842"/>
    <n v="12211.90740461"/>
    <n v="-305.85415446000002"/>
    <n v="11906.05325015"/>
    <n v="-1890.7116509099999"/>
    <s v="NaN"/>
    <n v="1852.1489599199999"/>
    <n v="-797.21885999999995"/>
    <n v="-40590.99623025702"/>
  </r>
  <r>
    <x v="6"/>
    <x v="21"/>
    <n v="10809.583000000001"/>
    <n v="10532.98"/>
    <n v="276.60300000000001"/>
    <n v="1.0838086330333001"/>
    <n v="-1.9862493540222601E-2"/>
    <n v="1.063946139493078"/>
    <n v="-0.1676624295969604"/>
    <s v="NaN"/>
    <n v="0.37848907658896153"/>
    <n v="-2.8894987400715109"/>
    <n v="11715.51937489"/>
    <n v="-214.70527250999999"/>
    <n v="11500.81410238"/>
    <n v="-1812.36094871"/>
    <s v="NaN"/>
    <n v="3986.6178739299999"/>
    <n v="-799.24402000000009"/>
    <n v="-47211.365694537621"/>
  </r>
  <r>
    <x v="6"/>
    <x v="22"/>
    <n v="10812.225"/>
    <n v="10535.239"/>
    <n v="276.98599999999999"/>
    <n v="0.89928014735264938"/>
    <n v="-2.1526880504244041E-2"/>
    <n v="0.87775326684840527"/>
    <n v="8.8250954785902072E-2"/>
    <s v="NaN"/>
    <n v="0.30586708954775488"/>
    <n v="-2.891196847494097"/>
    <n v="9723.2192912099999"/>
    <n v="-232.75347556"/>
    <n v="9490.4658156499991"/>
    <n v="954.18917961"/>
    <s v="NaN"/>
    <n v="3222.3828906200001"/>
    <n v="-800.82105000000001"/>
    <n v="-47176.128398230947"/>
  </r>
  <r>
    <x v="6"/>
    <x v="23"/>
    <n v="10814.853999999999"/>
    <n v="10537.49"/>
    <n v="277.36399999999998"/>
    <n v="1.072820775779312"/>
    <n v="-2.2827364153043581E-2"/>
    <n v="1.049993411626269"/>
    <n v="7.7834588205259167E-2"/>
    <s v="NaN"/>
    <n v="0.31250497854992038"/>
    <n v="-2.8897103445292101"/>
    <n v="11602.400058220001"/>
    <n v="-246.87461052"/>
    <n v="11355.5254477"/>
    <n v="841.76970758999994"/>
    <s v="NaN"/>
    <n v="3293.0180864200001"/>
    <n v="-801.50162"/>
    <n v="-53858.975946274892"/>
  </r>
  <r>
    <x v="6"/>
    <x v="24"/>
    <n v="10817.472"/>
    <n v="10539.728999999999"/>
    <n v="277.74299999999999"/>
    <n v="1.051495301685089"/>
    <n v="-2.348203289271282E-2"/>
    <n v="1.028013268792376"/>
    <n v="7.9011698075114045E-2"/>
    <s v="NaN"/>
    <n v="0.1099265362600879"/>
    <n v="-2.8949173516524271"/>
    <n v="11374.52098411"/>
    <n v="-254.01623332"/>
    <n v="11120.50475079"/>
    <n v="854.70683159999999"/>
    <s v="NaN"/>
    <n v="1158.59590209"/>
    <n v="-804.04303000000004"/>
    <n v="-45209.136333097442"/>
  </r>
  <r>
    <x v="6"/>
    <x v="25"/>
    <n v="10820.072"/>
    <n v="10541.958000000001"/>
    <n v="278.11399999999998"/>
    <n v="1.013301239728349"/>
    <n v="-2.45580020364005E-2"/>
    <n v="0.98874323769194894"/>
    <n v="8.1190866626395825E-2"/>
    <s v="NaN"/>
    <n v="0.2157344903555867"/>
    <n v="-2.8933155109055999"/>
    <n v="10963.992371550001"/>
    <n v="-265.71935021000002"/>
    <n v="10698.273021339999"/>
    <n v="878.49102263999998"/>
    <s v="NaN"/>
    <n v="2274.2639364800002"/>
    <n v="-804.67155000000002"/>
    <n v="-47836.640245024348"/>
  </r>
  <r>
    <x v="6"/>
    <x v="26"/>
    <n v="10828.324000000001"/>
    <n v="10549.108"/>
    <n v="279.21600000000001"/>
    <n v="1.057864790119875"/>
    <n v="-4.431676463412066E-2"/>
    <n v="1.0135480254857541"/>
    <n v="7.8546829054985792E-2"/>
    <s v="NaN"/>
    <n v="0.20135389129014511"/>
    <n v="-2.8912306601340889"/>
    <n v="11454.902695610001"/>
    <n v="-479.87628609000001"/>
    <n v="10975.02640952"/>
    <n v="850.53051417999995"/>
    <s v="NaN"/>
    <n v="2124.1039454400002"/>
    <n v="-807.27785999999992"/>
    <n v="-48188.737700184378"/>
  </r>
  <r>
    <x v="6"/>
    <x v="27"/>
    <n v="10836.562"/>
    <n v="10556.252"/>
    <n v="280.31"/>
    <n v="1.053660297795556"/>
    <n v="-4.5795535501019599E-2"/>
    <n v="1.007864762294536"/>
    <n v="7.8802192915982019E-2"/>
    <s v="NaN"/>
    <n v="0.1142953349578998"/>
    <n v="-2.8765550640005708"/>
    <n v="11418.055144"/>
    <n v="-496.26615978000001"/>
    <n v="10921.78898422"/>
    <n v="853.94484926999996"/>
    <s v="NaN"/>
    <n v="1206.5303582399999"/>
    <n v="-806.32714998999995"/>
    <n v="-44645.102486384058"/>
  </r>
  <r>
    <x v="6"/>
    <x v="28"/>
    <n v="10844.775"/>
    <n v="10563.383"/>
    <n v="281.392"/>
    <n v="5.1806434201723872E-2"/>
    <n v="-0.84437363962276779"/>
    <n v="-0.79256720542104386"/>
    <n v="0.20584190438713579"/>
    <s v="NaN"/>
    <n v="9.5916641822037504E-2"/>
    <n v="-2.8981652285779269"/>
    <n v="561.82912247000002"/>
    <n v="-9157.0421376400009"/>
    <n v="-8595.2130151700003"/>
    <n v="2232.30913865"/>
    <s v="NaN"/>
    <n v="1013.20422364"/>
    <n v="-815.52050999999994"/>
    <n v="22605.807263895389"/>
  </r>
  <r>
    <x v="6"/>
    <x v="29"/>
    <n v="10852.975"/>
    <n v="10570.504000000001"/>
    <n v="282.471"/>
    <n v="5.200232368451968E-2"/>
    <n v="-0.82091575486721391"/>
    <n v="-0.76891343118269428"/>
    <n v="0.19944986924046171"/>
    <s v="NaN"/>
    <n v="0.20070410179968709"/>
    <n v="-2.8943273468780868"/>
    <n v="564.37991888999989"/>
    <n v="-8909.3781646799998"/>
    <n v="-8344.9982457900005"/>
    <n v="2164.6244446199998"/>
    <s v="NaN"/>
    <n v="2121.5435108900001"/>
    <n v="-817.5635400000001"/>
    <n v="17880.11071102829"/>
  </r>
  <r>
    <x v="6"/>
    <x v="30"/>
    <n v="10861.162"/>
    <n v="10577.618"/>
    <n v="283.54399999999998"/>
    <n v="5.2202090085756929E-2"/>
    <n v="-0.91250767962764934"/>
    <n v="-0.8603055895418924"/>
    <n v="0.2234772136277868"/>
    <s v="NaN"/>
    <n v="0.1179596073246358"/>
    <n v="-2.8950082879553078"/>
    <n v="566.97535715999993"/>
    <n v="-9910.8937346799994"/>
    <n v="-9343.9183775199999"/>
    <n v="2427.2222205200001"/>
    <s v="NaN"/>
    <n v="1247.73166571"/>
    <n v="-820.86222999999995"/>
    <n v="23796.03131139883"/>
  </r>
  <r>
    <x v="6"/>
    <x v="31"/>
    <n v="10868.209000000001"/>
    <n v="10584.293"/>
    <n v="283.916"/>
    <n v="5.3410383478087332E-2"/>
    <n v="-0.83279994747064578"/>
    <n v="-0.77938956399255843"/>
    <n v="0.20394598692664079"/>
    <s v="NaN"/>
    <n v="0.26707906327612058"/>
    <n v="-2.8876814269009139"/>
    <n v="580.47521040999993"/>
    <n v="-9051.0438842999993"/>
    <n v="-8470.5686738899985"/>
    <n v="2216.5276106299998"/>
    <s v="NaN"/>
    <n v="2826.8430598800001"/>
    <n v="-819.85896000000002"/>
    <n v="15572.54219906141"/>
  </r>
  <r>
    <x v="6"/>
    <x v="32"/>
    <n v="10875.236000000001"/>
    <n v="10590.96"/>
    <n v="284.27600000000001"/>
    <n v="5.4607474107228583E-2"/>
    <n v="-0.80160076343630615"/>
    <n v="-0.7469932893290776"/>
    <n v="0.19550718758838889"/>
    <s v="NaN"/>
    <n v="0.17226306381291209"/>
    <n v="-2.895784730332494"/>
    <n v="593.86916828000005"/>
    <n v="-8717.5974801499997"/>
    <n v="-8123.7283118699997"/>
    <n v="2126.1868047200001"/>
    <s v="NaN"/>
    <n v="1824.43121832"/>
    <n v="-823.20209999999997"/>
    <n v="18319.812092378332"/>
  </r>
  <r>
    <x v="6"/>
    <x v="33"/>
    <n v="10882.244000000001"/>
    <n v="10597.62"/>
    <n v="284.62400000000002"/>
    <n v="5.5814402659047163E-2"/>
    <n v="-0.66469132543343079"/>
    <n v="-0.60887692277438366"/>
    <n v="0.1603595204959565"/>
    <s v="NaN"/>
    <n v="1.1035181553971551E-2"/>
    <n v="-2.8853111473382418"/>
    <n v="607.38594845"/>
    <n v="-7233.33318805"/>
    <n v="-6625.9472396000001"/>
    <n v="1745.07142976"/>
    <s v="NaN"/>
    <n v="116.94666074"/>
    <n v="-821.22879999999998"/>
    <n v="20478.9124800352"/>
  </r>
  <r>
    <x v="7"/>
    <x v="0"/>
    <n v="546.44059583225203"/>
    <n v="513.16454402283"/>
    <n v="33.276051809422"/>
    <n v="0.63679817814125506"/>
    <n v="-5.5075459410850201E-2"/>
    <n v="0.58172271873040482"/>
    <n v="9.1169148354972203E-3"/>
    <n v="0.12554603839137179"/>
    <n v="3.5459494704471357E-2"/>
    <n v="-2.0390791379188742"/>
    <n v="347.97237588839999"/>
    <n v="-30.095466856200002"/>
    <n v="317.87690903219999"/>
    <n v="4.9818523748609991"/>
    <n v="68.603452022959999"/>
    <n v="18.196555431299998"/>
    <n v="-67.852503036900004"/>
    <n v="-1253.289641356324"/>
  </r>
  <r>
    <x v="7"/>
    <x v="1"/>
    <n v="550.77050000357076"/>
    <n v="517.31660078098537"/>
    <n v="33.453899222585378"/>
    <n v="0.63179196396278126"/>
    <n v="-3.2397663145483133E-2"/>
    <n v="0.59939430081729816"/>
    <n v="9.0452418472484752E-3"/>
    <n v="0.1245590532236887"/>
    <n v="3.5251534054521097E-2"/>
    <n v="-2.007773949963283"/>
    <n v="347.97237589001901"/>
    <n v="-17.843677129585"/>
    <n v="330.12869876043402"/>
    <n v="4.9818523748622647"/>
    <n v="68.603452023982385"/>
    <n v="18.236203769399999"/>
    <n v="-67.167867383803838"/>
    <n v="-1300.868578331326"/>
  </r>
  <r>
    <x v="7"/>
    <x v="2"/>
    <n v="555.27362499711944"/>
    <n v="521.64187836141525"/>
    <n v="33.631746635704133"/>
    <n v="0.62666829510162425"/>
    <n v="-3.2122402949856528E-2"/>
    <n v="0.59454589215176767"/>
    <n v="8.9718872833042338E-3"/>
    <n v="0.12354891162783579"/>
    <n v="3.5035302511002973E-2"/>
    <n v="-1.9764568212227009"/>
    <n v="347.97237589184351"/>
    <n v="-17.836723129585"/>
    <n v="330.13565276225847"/>
    <n v="4.9818523748659"/>
    <n v="68.603452024037168"/>
    <n v="18.275881010799999"/>
    <n v="-66.47169504777105"/>
    <n v="-1303.592191455484"/>
  </r>
  <r>
    <x v="7"/>
    <x v="3"/>
    <n v="559.77675000186787"/>
    <n v="525.96715595192506"/>
    <n v="33.809594049942852"/>
    <n v="0.62162706095131359"/>
    <n v="-3.1851571415792999E-2"/>
    <n v="0.58977548953552061"/>
    <n v="8.8997129210025422E-3"/>
    <n v="0.1225550221999951"/>
    <n v="3.4822682511327953E-2"/>
    <n v="-1.945127940138025"/>
    <n v="347.97237589253928"/>
    <n v="-17.829769129584999"/>
    <n v="330.14260676295441"/>
    <n v="4.9818523748684331"/>
    <n v="68.603452023520006"/>
    <n v="18.315587283100001"/>
    <n v="-65.763986031268161"/>
    <n v="-1306.358212181759"/>
  </r>
  <r>
    <x v="7"/>
    <x v="4"/>
    <n v="564.27987499632673"/>
    <n v="530.29243353316156"/>
    <n v="33.98744146316519"/>
    <n v="0.61666628797315526"/>
    <n v="-3.073584031274889E-2"/>
    <n v="0.58593044766040647"/>
    <n v="8.8286905055764836E-3"/>
    <n v="0.1215769958555195"/>
    <n v="3.4613585920328163E-2"/>
    <n v="-1.9137874913142969"/>
    <n v="347.97237589194089"/>
    <n v="-17.343616129585001"/>
    <n v="330.62875976235591"/>
    <n v="4.9818523748679544"/>
    <n v="68.6034520237815"/>
    <n v="18.355322710999999"/>
    <n v="-65.044740333982418"/>
    <n v="-1310.92370397287"/>
  </r>
  <r>
    <x v="7"/>
    <x v="5"/>
    <n v="568.78299999609533"/>
    <n v="534.39770320656692"/>
    <n v="34.385296789528446"/>
    <n v="0.60992213970564146"/>
    <n v="-2.863057550014117E-2"/>
    <n v="0.58129156420550021"/>
    <n v="8.7587926764521491E-3"/>
    <n v="0.1206144558190308"/>
    <n v="3.4277955936347478E-2"/>
    <n v="-1.881253886256455"/>
    <n v="346.91334438581231"/>
    <n v="-16.284584624585001"/>
    <n v="330.62875976122729"/>
    <n v="4.9818523748562829"/>
    <n v="68.603452023644849"/>
    <n v="18.318060923000001"/>
    <n v="-64.687473215381999"/>
    <n v="-1312.0970568470559"/>
  </r>
  <r>
    <x v="7"/>
    <x v="6"/>
    <n v="573.28612500128406"/>
    <n v="538.50297288534034"/>
    <n v="34.783152115943658"/>
    <n v="0.60513124120190864"/>
    <n v="-2.8405684202715571E-2"/>
    <n v="0.57672555699919303"/>
    <n v="8.6899929330081106E-3"/>
    <n v="0.1196670371596622"/>
    <n v="3.5244205007093042E-2"/>
    <n v="-1.848722554973891"/>
    <n v="346.9133443858596"/>
    <n v="-16.284584624585001"/>
    <n v="330.62875976127458"/>
    <n v="4.981852374852763"/>
    <n v="68.603452023647435"/>
    <n v="18.979109173299999"/>
    <n v="-64.304397849832895"/>
    <n v="-1315.92551010534"/>
  </r>
  <r>
    <x v="7"/>
    <x v="7"/>
    <n v="577.78924999627259"/>
    <n v="542.60824255383966"/>
    <n v="35.181007442432922"/>
    <n v="0.60041502050801554"/>
    <n v="-2.8184298383346618E-2"/>
    <n v="0.57223072212466886"/>
    <n v="8.6222656009610349E-3"/>
    <n v="0.1187343863253635"/>
    <n v="3.6195908682406762E-2"/>
    <n v="-1.8161934203240639"/>
    <n v="346.91334438582288"/>
    <n v="-16.284584624585001"/>
    <n v="330.62875976123792"/>
    <n v="4.9818523748479366"/>
    <n v="68.603452023699475"/>
    <n v="19.640198397799999"/>
    <n v="-63.895514237318586"/>
    <n v="-1319.848743841098"/>
  </r>
  <r>
    <x v="7"/>
    <x v="8"/>
    <n v="582.29237500090233"/>
    <n v="546.71351223298939"/>
    <n v="35.578862767912888"/>
    <n v="0.59577174505522923"/>
    <n v="-2.7966336712823631E-2"/>
    <n v="0.56780540834240556"/>
    <n v="8.5555857997327411E-3"/>
    <n v="0.1178161606933605"/>
    <n v="3.7133387901428547E-2"/>
    <n v="-1.7836664086565439"/>
    <n v="346.91334438664148"/>
    <n v="-16.284584624585001"/>
    <n v="330.62875976205652"/>
    <n v="4.981852374850372"/>
    <n v="68.60345202362484"/>
    <n v="20.301324920700001"/>
    <n v="-63.460822377327197"/>
    <n v="-1323.8667445811041"/>
  </r>
  <r>
    <x v="7"/>
    <x v="9"/>
    <n v="586.79549999532105"/>
    <n v="550.81878190109819"/>
    <n v="35.976718094222797"/>
    <n v="0.59119973549233629"/>
    <n v="-2.775172036035527E-2"/>
    <n v="0.56344801513198095"/>
    <n v="8.4899294130448832E-3"/>
    <n v="0.1169120281669478"/>
    <n v="3.8056954813614013E-2"/>
    <n v="-1.7511414494883311"/>
    <n v="346.91334438532698"/>
    <n v="-16.284584624585001"/>
    <n v="330.62875976074201"/>
    <n v="4.9818523748526546"/>
    <n v="68.60345202369119"/>
    <n v="20.962485493300001"/>
    <n v="-63.000322271350399"/>
    <n v="-1327.9795003979841"/>
  </r>
  <r>
    <x v="7"/>
    <x v="10"/>
    <n v="591.29862500073955"/>
    <n v="554.92405158000406"/>
    <n v="36.374573420735501"/>
    <n v="0.59781873174416145"/>
    <n v="-2.7708094498383969E-2"/>
    <n v="0.57011063724577749"/>
    <n v="8.5751180968916419E-3"/>
    <n v="0.11823707469917411"/>
    <n v="3.8966912987159437E-2"/>
    <n v="-1.718618475464039"/>
    <n v="353.48939408000871"/>
    <n v="-16.383758178284999"/>
    <n v="337.10563590172359"/>
    <n v="5.0704555399109861"/>
    <n v="69.913419693731399"/>
    <n v="21.623677232399999"/>
    <n v="-62.514013917999193"/>
    <n v="-1361.0636396492689"/>
  </r>
  <r>
    <x v="7"/>
    <x v="11"/>
    <n v="595.80174999605845"/>
    <n v="559.02932124889514"/>
    <n v="36.772428747163303"/>
    <n v="0.57184925909897522"/>
    <n v="-2.7498674145205831E-2"/>
    <n v="0.54435058495376942"/>
    <n v="3.8464146381461911E-3"/>
    <n v="0.1101476452298273"/>
    <n v="3.9863557646340607E-2"/>
    <n v="-1.6860974221963421"/>
    <n v="340.7087893051189"/>
    <n v="-16.383758178284999"/>
    <n v="324.32503112683389"/>
    <n v="2.2917005726179558"/>
    <n v="65.626159785876112"/>
    <n v="22.284897573599999"/>
    <n v="-62.001897318490698"/>
    <n v="-1292.594936381721"/>
  </r>
  <r>
    <x v="7"/>
    <x v="12"/>
    <n v="600.30487500008712"/>
    <n v="563.13459092748803"/>
    <n v="37.170284072599102"/>
    <n v="0.54597243825747566"/>
    <n v="-2.729239568191516E-2"/>
    <n v="0.51868004257556044"/>
    <n v="-8.6811428956478699E-4"/>
    <n v="0.1020850651866709"/>
    <n v="4.0747175887397513E-2"/>
    <n v="-1.6535782280424789"/>
    <n v="327.74991630164669"/>
    <n v="-16.383758178284999"/>
    <n v="311.36615812336169"/>
    <n v="-0.5211332400829789"/>
    <n v="61.282162296260204"/>
    <n v="22.946144224800001"/>
    <n v="-61.463972472603999"/>
    <n v="-1223.234316083139"/>
  </r>
  <r>
    <x v="7"/>
    <x v="13"/>
    <n v="604.80799999510555"/>
    <n v="567.23986059610399"/>
    <n v="37.568139399001502"/>
    <n v="0.52018619970638091"/>
    <n v="-2.7089188930069681E-2"/>
    <n v="0.49309701077631118"/>
    <n v="-5.5687852978200964E-3"/>
    <n v="9.4048734845651877E-2"/>
    <n v="4.161804691703315E-2"/>
    <n v="-1.621060833795323"/>
    <n v="314.61277506947079"/>
    <n v="-16.383758178284999"/>
    <n v="298.22901689118578"/>
    <n v="-3.368045898376721"/>
    <n v="56.881427224068702"/>
    <n v="23.607415131500002"/>
    <n v="-60.900239378284297"/>
    <n v="-1152.9817712237809"/>
  </r>
  <r>
    <x v="7"/>
    <x v="14"/>
    <n v="609.31112500092411"/>
    <n v="571.34513027512605"/>
    <n v="37.965994725798097"/>
    <n v="0.49448853505961837"/>
    <n v="-2.6888985784167568E-2"/>
    <n v="0.46759954927545078"/>
    <n v="-1.025590563798018E-2"/>
    <n v="8.60380722080515E-2"/>
    <n v="4.2476442284742372E-2"/>
    <n v="-1.5885451829891231"/>
    <n v="301.297365597235"/>
    <n v="-16.383758178284999"/>
    <n v="284.91360741894999"/>
    <n v="-6.2490374021810231"/>
    <n v="52.4239545699986"/>
    <n v="24.268708450799998"/>
    <n v="-60.310698039057002"/>
    <n v="-1081.837294994637"/>
  </r>
  <r>
    <x v="7"/>
    <x v="15"/>
    <n v="613.81425000049467"/>
    <n v="575.505331094908"/>
    <n v="38.308918905586701"/>
    <n v="0.46092359563473229"/>
    <n v="-2.7776652825461871E-2"/>
    <n v="0.43314694280927052"/>
    <n v="-1.5054320948401921E-2"/>
    <n v="7.6216582064058944E-2"/>
    <n v="4.3317630442747043E-2"/>
    <n v="-1.554943154579068"/>
    <n v="282.92147116206451"/>
    <n v="-17.049705321585002"/>
    <n v="265.8717658404795"/>
    <n v="-9.2405567222100622"/>
    <n v="46.782824157251497"/>
    <n v="24.9295272502"/>
    <n v="-59.568191211566699"/>
    <n v="-985.50968748532205"/>
  </r>
  <r>
    <x v="7"/>
    <x v="16"/>
    <n v="618.4053541675554"/>
    <n v="580.10772550153183"/>
    <n v="38.297628666023613"/>
    <n v="0.46592713843256722"/>
    <n v="-3.7554889269378493E-2"/>
    <n v="0.42837224916318872"/>
    <n v="-1.5201312346017669E-2"/>
    <n v="7.5392383552067149E-2"/>
    <n v="4.4569054997582049E-2"/>
    <n v="-1.52256575432692"/>
    <n v="288.13183705866732"/>
    <n v="-23.22414459935333"/>
    <n v="264.90769245931398"/>
    <n v="-9.4005729451506905"/>
    <n v="46.623053652052263"/>
    <n v="25.854853122400002"/>
    <n v="-58.310657878816507"/>
    <n v="-988.80601750268647"/>
  </r>
  <r>
    <x v="7"/>
    <x v="17"/>
    <n v="622.99645833448562"/>
    <n v="584.7101199085339"/>
    <n v="38.286338425951698"/>
    <n v="0.56254348513711216"/>
    <n v="-4.6089398654232942E-2"/>
    <n v="0.51645408648287916"/>
    <n v="-6.6040842130485637E-3"/>
    <n v="7.4579334044464637E-2"/>
    <n v="4.3843879632201738E-2"/>
    <n v="-1.490188387650762"/>
    <n v="350.46259889955923"/>
    <n v="-28.713532128353329"/>
    <n v="321.74906677120589"/>
    <n v="-4.1143210752719437"/>
    <n v="46.462660974645999"/>
    <n v="25.635960117"/>
    <n v="-57.053856928020387"/>
    <n v="-1219.824869485162"/>
  </r>
  <r>
    <x v="7"/>
    <x v="18"/>
    <n v="627.58756249879525"/>
    <n v="589.31251431391127"/>
    <n v="38.275048184884028"/>
    <n v="0.89679819916535997"/>
    <n v="-5.4499039976463819E-2"/>
    <n v="0.84229915918889631"/>
    <n v="-1.2919082442840229E-3"/>
    <n v="7.3777188860033954E-2"/>
    <n v="4.3130275708960969E-2"/>
    <n v="-1.457811054528996"/>
    <n v="562.81939586749741"/>
    <n v="-34.202919657353327"/>
    <n v="528.61647621014413"/>
    <n v="-0.81078554600230823"/>
    <n v="46.30164612468198"/>
    <n v="25.417211221100001"/>
    <n v="-55.797788356553909"/>
    <n v="-1993.6647853958709"/>
  </r>
  <r>
    <x v="7"/>
    <x v="19"/>
    <n v="632.17866666372663"/>
    <n v="593.91490871869667"/>
    <n v="38.263757945029987"/>
    <n v="0.91759118113775795"/>
    <n v="-6.2786533743421566E-2"/>
    <n v="0.85480464739433637"/>
    <n v="8.2435398813329661E-3"/>
    <n v="7.2985710424631117E-2"/>
    <n v="4.2427983472856597E-2"/>
    <n v="-1.425433754918807"/>
    <n v="580.08156943406186"/>
    <n v="-39.692307186353332"/>
    <n v="540.38926224770853"/>
    <n v="5.2113900507703299"/>
    <n v="46.140009101748149"/>
    <n v="25.198611931399999"/>
    <n v="-54.542452164888452"/>
    <n v="-2062.121677611563"/>
  </r>
  <r>
    <x v="7"/>
    <x v="20"/>
    <n v="636.76977082915278"/>
    <n v="598.51730312431664"/>
    <n v="38.252467704836171"/>
    <n v="1.0050819878329369"/>
    <n v="-6.9908701090487274E-2"/>
    <n v="0.93517328674244971"/>
    <n v="2.4006315495727331E-2"/>
    <n v="7.3974413107667558E-2"/>
    <n v="4.1736751632577992E-2"/>
    <n v="-1.425490699412846"/>
    <n v="640.00582705688862"/>
    <n v="-44.515747572353327"/>
    <n v="595.49007948453527"/>
    <n v="15.28649601666663"/>
    <n v="47.104670081790537"/>
    <n v="24.9801680283"/>
    <n v="-54.528536942834222"/>
    <n v="-2303.8872144512229"/>
  </r>
  <r>
    <x v="7"/>
    <x v="21"/>
    <n v="641.36087499558982"/>
    <n v="603.1196975308842"/>
    <n v="38.241177464705672"/>
    <n v="1.335196045051855"/>
    <n v="-6.9408268118412164E-2"/>
    <n v="1.2657877769334429"/>
    <n v="3.10713967854832E-2"/>
    <n v="0.15421837347141179"/>
    <n v="4.1056337068699378E-2"/>
    <n v="-1.4255476775554921"/>
    <n v="856.34250374510862"/>
    <n v="-44.515747572353327"/>
    <n v="811.82675617275527"/>
    <n v="19.927978229672661"/>
    <n v="98.909630950021352"/>
    <n v="24.761885594599999"/>
    <n v="-54.514621721798591"/>
    <n v="-3303.3426404928859"/>
  </r>
  <r>
    <x v="7"/>
    <x v="22"/>
    <n v="643.56499999681978"/>
    <n v="605.60373885276579"/>
    <n v="37.961261144054014"/>
    <n v="1.4068652866177791"/>
    <n v="-7.6989719580251942E-2"/>
    <n v="1.3298755670375271"/>
    <n v="3.1632305480285408E-2"/>
    <n v="0.2239615707683501"/>
    <n v="3.9299983486043667E-2"/>
    <n v="-1.4269711601832871"/>
    <n v="905.40925817769676"/>
    <n v="-49.54788888142"/>
    <n v="855.86136929627673"/>
    <n v="20.357444676319279"/>
    <n v="144.13382829082099"/>
    <n v="23.800216936000002"/>
    <n v="-54.169624856751469"/>
    <n v="-3629.9385259234368"/>
  </r>
  <r>
    <x v="7"/>
    <x v="23"/>
    <n v="648.53049999926975"/>
    <n v="610.47927249947168"/>
    <n v="38.051227499798017"/>
    <n v="1.2528460503438359"/>
    <n v="-6.4697526710844347E-2"/>
    <n v="1.1881485236329909"/>
    <n v="3.619428892070773E-2"/>
    <n v="0.30647355614711602"/>
    <n v="3.870701233123431E-2"/>
    <n v="-1.426511362615567"/>
    <n v="812.50887545159799"/>
    <n v="-41.958319346499998"/>
    <n v="770.55055610509794"/>
    <n v="23.473100290864611"/>
    <n v="198.7574486046434"/>
    <n v="23.6298287286"/>
    <n v="-54.280508389931811"/>
    <n v="-3527.811559577659"/>
  </r>
  <r>
    <x v="7"/>
    <x v="24"/>
    <n v="649.40581249878028"/>
    <n v="611.67750196372867"/>
    <n v="37.728310535051577"/>
    <n v="1.36475449715594"/>
    <n v="-6.0321722114403731E-2"/>
    <n v="1.304432775041537"/>
    <n v="4.6782585179333668E-2"/>
    <n v="0.37762813267590728"/>
    <n v="3.7100909029421363E-2"/>
    <n v="-1.428171907721147"/>
    <n v="886.27950308691777"/>
    <n v="-39.173276961029998"/>
    <n v="847.10622612588782"/>
    <n v="30.380882739178581"/>
    <n v="245.23390432279481"/>
    <n v="22.6937913557"/>
    <n v="-53.882513231940457"/>
    <n v="-4002.2850681429741"/>
  </r>
  <r>
    <x v="7"/>
    <x v="25"/>
    <n v="652.12237499845003"/>
    <n v="614.60834580760343"/>
    <n v="37.514029190846557"/>
    <n v="1.337872491547454"/>
    <n v="-7.2409910629522928E-2"/>
    <n v="1.265462580917931"/>
    <n v="3.4855876466036252E-2"/>
    <n v="0.44746901482069068"/>
    <n v="3.5791245455664727E-2"/>
    <n v="-1.4292895919337489"/>
    <n v="872.4565866330197"/>
    <n v="-47.220122893150013"/>
    <n v="825.23646373986969"/>
    <n v="22.730296943684142"/>
    <n v="291.80455668308548"/>
    <n v="21.997598163900001"/>
    <n v="-53.618411473975833"/>
    <n v="-4063.2185148744361"/>
  </r>
  <r>
    <x v="7"/>
    <x v="26"/>
    <n v="653.33912499561995"/>
    <n v="616.11181712386133"/>
    <n v="37.227307871758669"/>
    <n v="0.94214671630965208"/>
    <n v="-6.7554891089181127E-2"/>
    <n v="0.87459182522047096"/>
    <n v="4.4089963819032657E-2"/>
    <n v="0.43710171960548022"/>
    <n v="3.4347187020348467E-2"/>
    <n v="-1.4308052473809241"/>
    <n v="615.54131125124468"/>
    <n v="-44.136253433379999"/>
    <n v="571.40505781786464"/>
    <n v="28.80569838261534"/>
    <n v="285.57565502112533"/>
    <n v="21.161707808199999"/>
    <n v="-53.265027448777481"/>
    <n v="-3130.1713357973872"/>
  </r>
  <r>
    <x v="7"/>
    <x v="27"/>
    <n v="654.90150000287974"/>
    <n v="617.99870139343932"/>
    <n v="36.902798609440381"/>
    <n v="0.7286780411740672"/>
    <n v="-6.4176942697245595E-2"/>
    <n v="0.66450109847682159"/>
    <n v="5.0836751174083282E-2"/>
    <n v="0.43537749556992827"/>
    <n v="3.2752527378554913E-2"/>
    <n v="-1.4325490687591931"/>
    <n v="477.21234218405681"/>
    <n v="-42.029576038024999"/>
    <n v="435.18276614603178"/>
    <n v="33.293064599180298"/>
    <n v="285.12937491624319"/>
    <n v="20.2410193873"/>
    <n v="-52.865069782561868"/>
    <n v="-2643.5975693096161"/>
  </r>
  <r>
    <x v="7"/>
    <x v="28"/>
    <n v="656.40387499984263"/>
    <n v="619.78764167822828"/>
    <n v="36.616233321614303"/>
    <n v="0.54097720123154547"/>
    <n v="-6.6366555834607835E-2"/>
    <n v="0.4746106453969377"/>
    <n v="5.6344305139047042E-2"/>
    <n v="0.42070288769053338"/>
    <n v="3.1307550707140239E-2"/>
    <n v="-1.4341146891037391"/>
    <n v="355.0995311749561"/>
    <n v="-43.563264420229999"/>
    <n v="311.53626675472611"/>
    <n v="36.984620227444033"/>
    <n v="276.15100570368969"/>
    <n v="19.404033019500002"/>
    <n v="-52.511878066176848"/>
    <n v="-2169.068174677202"/>
  </r>
  <r>
    <x v="7"/>
    <x v="29"/>
    <n v="657.78231249574935"/>
    <n v="621.45249076499113"/>
    <n v="36.329821730758212"/>
    <n v="0.669935928544373"/>
    <n v="-6.1557652381754577E-2"/>
    <n v="0.60837827616261853"/>
    <n v="5.7257572916772637E-2"/>
    <n v="0.41904982086947828"/>
    <n v="2.9866204416773061E-2"/>
    <n v="-1.435704148707285"/>
    <n v="440.67200430190479"/>
    <n v="-40.491534935479997"/>
    <n v="400.1804693664248"/>
    <n v="37.663018721088697"/>
    <n v="275.64356022245488"/>
    <n v="18.560427124499999"/>
    <n v="-52.158875780645658"/>
    <n v="-2492.9248653975769"/>
  </r>
  <r>
    <x v="7"/>
    <x v="30"/>
    <n v="659.59300000153598"/>
    <n v="623.35058195001807"/>
    <n v="36.242418051517888"/>
    <n v="0.64262231161288541"/>
    <n v="-7.069696945748577E-2"/>
    <n v="0.5719253421553997"/>
    <n v="5.7719882041067767E-2"/>
    <n v="0.33324067344539438"/>
    <n v="2.8514609578603418E-2"/>
    <n v="-1.440398775064788"/>
    <n v="423.86917838466502"/>
    <n v="-46.631226175480002"/>
    <n v="377.23795220918498"/>
    <n v="38.071630155202669"/>
    <n v="219.80321552037989"/>
    <n v="17.774598474899999"/>
    <n v="-52.203534566792342"/>
    <n v="-2202.5074932407429"/>
  </r>
  <r>
    <x v="7"/>
    <x v="31"/>
    <n v="664.62518750366439"/>
    <n v="628.28389139694139"/>
    <n v="36.341296106722979"/>
    <n v="1.027441513801596"/>
    <n v="-8.0329454429961158E-2"/>
    <n v="0.94711205937163501"/>
    <n v="4.6091670576777502E-2"/>
    <n v="0.29305234528741392"/>
    <n v="2.832393347159216E-2"/>
    <n v="-1.454648306346453"/>
    <n v="682.86350875943458"/>
    <n v="-53.388978712579998"/>
    <n v="629.47453004685462"/>
    <n v="30.633685199447878"/>
    <n v="194.76996993503599"/>
    <n v="17.7954711412"/>
    <n v="-52.863804832079509"/>
    <n v="-3005.9694554652901"/>
  </r>
  <r>
    <x v="7"/>
    <x v="32"/>
    <n v="666.02631249752869"/>
    <n v="629.7668284192016"/>
    <n v="36.259484078327112"/>
    <n v="1.187398650042494"/>
    <n v="-6.6514078346933736E-2"/>
    <n v="1.12088457169556"/>
    <n v="3.5689652382516722E-2"/>
    <n v="0.31198245179843243"/>
    <n v="2.7784049212025E-2"/>
    <n v="-1.458305322767228"/>
    <n v="790.838744352346"/>
    <n v="-44.300126330579999"/>
    <n v="746.53861802176596"/>
    <n v="23.770247570646251"/>
    <n v="207.7885219352479"/>
    <n v="17.4974725529"/>
    <n v="-52.877398632217968"/>
    <n v="-3456.6306919775689"/>
  </r>
  <r>
    <x v="7"/>
    <x v="33"/>
    <n v="666.63099999883775"/>
    <n v="630.42441363433818"/>
    <n v="36.206586364499543"/>
    <n v="1.5549290287279181"/>
    <n v="-7.2552398773960886E-2"/>
    <n v="1.4823766299539569"/>
    <n v="2.4112051987320811E-2"/>
    <n v="0.1930813515193581"/>
    <n v="2.7263559776524209E-2"/>
    <n v="-1.459295124334248"/>
    <n v="1036.563893348113"/>
    <n v="-48.365678146999997"/>
    <n v="988.19821520111316"/>
    <n v="16.073841328331639"/>
    <n v="128.71401444447679"/>
    <n v="17.187613685700001"/>
    <n v="-52.836094950501042"/>
    <n v="-4023.5711622671402"/>
  </r>
  <r>
    <x v="8"/>
    <x v="0"/>
    <n v="14200.430869318179"/>
    <n v="14200.430869318179"/>
    <s v="NaN"/>
    <n v="0.59276100047187497"/>
    <s v="NaN"/>
    <n v="0.59276100047187497"/>
    <n v="5.0444735968142279E-2"/>
    <n v="2.1206650355147089E-2"/>
    <n v="4.6696144298267801E-2"/>
    <s v="NaN"/>
    <n v="8417.4616092287415"/>
    <s v="NaN"/>
    <n v="8417.4616092287415"/>
    <n v="716.33698583661283"/>
    <n v="301.14357233806822"/>
    <n v="663.10536897125826"/>
    <s v="NaN"/>
    <n v="-37026.174300043873"/>
  </r>
  <r>
    <x v="8"/>
    <x v="1"/>
    <n v="14326.377988636361"/>
    <n v="14326.377988636361"/>
    <s v="NaN"/>
    <n v="0.59286700029911588"/>
    <s v="NaN"/>
    <n v="0.59286700029911588"/>
    <n v="5.0091827121312528E-2"/>
    <n v="2.1290144102656131E-2"/>
    <n v="4.708610038443823E-2"/>
    <s v="NaN"/>
    <n v="8493.6367432741208"/>
    <s v="NaN"/>
    <n v="8493.6367432741208"/>
    <n v="717.63444948134986"/>
    <n v="305.01065184718902"/>
    <n v="674.57327211833808"/>
    <s v="NaN"/>
    <n v="-37366.468761313721"/>
  </r>
  <r>
    <x v="8"/>
    <x v="2"/>
    <n v="14452.325107954541"/>
    <n v="14452.325107954541"/>
    <s v="NaN"/>
    <n v="0.59297115262115752"/>
    <s v="NaN"/>
    <n v="0.59297115262115752"/>
    <n v="4.9745069236671657E-2"/>
    <n v="2.1372182610693131E-2"/>
    <n v="4.7469259800128727E-2"/>
    <s v="NaN"/>
    <n v="8569.8118773195001"/>
    <s v="NaN"/>
    <n v="8569.8118773195001"/>
    <n v="718.93191312608701"/>
    <n v="308.87773135630982"/>
    <n v="686.04117526541779"/>
    <s v="NaN"/>
    <n v="-37706.763222583577"/>
  </r>
  <r>
    <x v="8"/>
    <x v="3"/>
    <n v="14578.27222727273"/>
    <n v="14578.27222727273"/>
    <s v="NaN"/>
    <n v="0.59307350532185465"/>
    <s v="NaN"/>
    <n v="0.59307350532185465"/>
    <n v="4.9404302892865001E-2"/>
    <n v="2.1452803596324271E-2"/>
    <n v="4.784579870223659E-2"/>
    <s v="NaN"/>
    <n v="8645.9870113648794"/>
    <s v="NaN"/>
    <n v="8645.9870113648794"/>
    <n v="720.22937677082359"/>
    <n v="312.74481086543062"/>
    <n v="697.50907841249727"/>
    <s v="NaN"/>
    <n v="-38047.057683853433"/>
  </r>
  <r>
    <x v="8"/>
    <x v="4"/>
    <n v="14704.219346590909"/>
    <n v="14704.219346590909"/>
    <s v="NaN"/>
    <n v="0.59317410464449061"/>
    <s v="NaN"/>
    <n v="0.59317410464449061"/>
    <n v="4.9069374130551312E-2"/>
    <n v="2.153204348437281E-2"/>
    <n v="4.8215887212261249E-2"/>
    <s v="NaN"/>
    <n v="8722.1621454102587"/>
    <s v="NaN"/>
    <n v="8722.1621454102587"/>
    <n v="721.52684041556006"/>
    <n v="316.61189037455142"/>
    <n v="708.9769815595771"/>
    <s v="NaN"/>
    <n v="-38387.352145123303"/>
  </r>
  <r>
    <x v="8"/>
    <x v="5"/>
    <n v="14830.166465909089"/>
    <n v="14830.166465909089"/>
    <s v="NaN"/>
    <n v="0.59327299526143917"/>
    <s v="NaN"/>
    <n v="0.59327299526143917"/>
    <n v="4.8740134220468342E-2"/>
    <n v="2.1609937462291791E-2"/>
    <n v="4.8579689672586121E-2"/>
    <s v="NaN"/>
    <n v="8798.3372794556381"/>
    <s v="NaN"/>
    <n v="8798.3372794556381"/>
    <n v="722.82430406029778"/>
    <n v="320.47896988367228"/>
    <n v="720.44488470665692"/>
    <s v="NaN"/>
    <n v="-38727.646606393151"/>
  </r>
  <r>
    <x v="8"/>
    <x v="6"/>
    <n v="14956.113585227269"/>
    <n v="14956.113585227269"/>
    <s v="NaN"/>
    <n v="0.59337022034031051"/>
    <s v="NaN"/>
    <n v="0.59337022034031051"/>
    <n v="4.8416439443217177E-2"/>
    <n v="2.1686519532264199E-2"/>
    <n v="4.893736488981168E-2"/>
    <s v="NaN"/>
    <n v="8874.5124135010174"/>
    <s v="NaN"/>
    <n v="8874.5124135010174"/>
    <n v="724.12176770503413"/>
    <n v="324.34604939279308"/>
    <n v="731.91278785373663"/>
    <s v="NaN"/>
    <n v="-39067.941067663007"/>
  </r>
  <r>
    <x v="8"/>
    <x v="7"/>
    <n v="15082.060704545451"/>
    <n v="15082.060704545451"/>
    <s v="NaN"/>
    <n v="0.59346582160677985"/>
    <s v="NaN"/>
    <n v="0.59346582160677985"/>
    <n v="4.8098150880081181E-2"/>
    <n v="2.176182256069268E-2"/>
    <n v="4.9289066365896222E-2"/>
    <s v="NaN"/>
    <n v="8950.6875475463967"/>
    <s v="NaN"/>
    <n v="8950.6875475463967"/>
    <n v="725.41923134977071"/>
    <n v="328.21312890191388"/>
    <n v="743.38069100081634"/>
    <s v="NaN"/>
    <n v="-39408.235528932877"/>
  </r>
  <r>
    <x v="8"/>
    <x v="8"/>
    <n v="15208.00782386364"/>
    <n v="15208.00782386364"/>
    <s v="NaN"/>
    <n v="0.61080009926762879"/>
    <s v="NaN"/>
    <n v="0.61080009926762879"/>
    <n v="4.4724915649485622E-2"/>
    <n v="2.1835878325230158E-2"/>
    <n v="4.9634942517811302E-2"/>
    <s v="NaN"/>
    <n v="9289.0526884787851"/>
    <s v="NaN"/>
    <n v="9289.0526884787851"/>
    <n v="680.17686711901854"/>
    <n v="332.08020841103468"/>
    <n v="754.84859414789605"/>
    <s v="NaN"/>
    <n v="-40539.24731324504"/>
  </r>
  <r>
    <x v="8"/>
    <x v="9"/>
    <n v="15333.95494318182"/>
    <n v="15333.95494318182"/>
    <s v="NaN"/>
    <n v="0.63316668617728933"/>
    <s v="NaN"/>
    <n v="0.63316668617728933"/>
    <n v="3.2837803426671627E-2"/>
    <n v="2.1908717559492571E-2"/>
    <n v="4.997513688637225E-2"/>
    <s v="NaN"/>
    <n v="9708.9494373662965"/>
    <s v="NaN"/>
    <n v="9708.9494373662965"/>
    <n v="503.53339817764419"/>
    <n v="335.94728792015547"/>
    <n v="766.31649729497576"/>
    <s v="NaN"/>
    <n v="-41487.404276120367"/>
  </r>
  <r>
    <x v="8"/>
    <x v="10"/>
    <n v="15459.902062499999"/>
    <n v="15459.902062499999"/>
    <s v="NaN"/>
    <n v="0.6624177908831157"/>
    <s v="NaN"/>
    <n v="0.6624177908831157"/>
    <n v="2.8731015040410649E-2"/>
    <n v="2.198036999558621E-2"/>
    <n v="5.030978833486096E-2"/>
    <s v="NaN"/>
    <n v="10240.914171510571"/>
    <s v="NaN"/>
    <n v="10240.914171510571"/>
    <n v="444.17867868096317"/>
    <n v="339.81436742927627"/>
    <n v="777.78440044205547"/>
    <s v="NaN"/>
    <n v="-43276.535932901119"/>
  </r>
  <r>
    <x v="8"/>
    <x v="11"/>
    <n v="15617.650374999999"/>
    <n v="15617.650374999999"/>
    <s v="NaN"/>
    <n v="0.67085823034463332"/>
    <s v="NaN"/>
    <n v="0.67085823034463332"/>
    <n v="2.6765003604231011E-2"/>
    <n v="2.2253738768047811E-2"/>
    <n v="5.1002792832168568E-2"/>
    <s v="NaN"/>
    <n v="10477.2292927137"/>
    <s v="NaN"/>
    <n v="10477.2292927137"/>
    <n v="418.00646857649491"/>
    <n v="347.55111161595403"/>
    <n v="796.54378660136479"/>
    <s v="NaN"/>
    <n v="-44144.212418198244"/>
  </r>
  <r>
    <x v="8"/>
    <x v="12"/>
    <n v="15775.398687499999"/>
    <n v="15775.398687499999"/>
    <s v="NaN"/>
    <n v="0.65878540121663709"/>
    <s v="NaN"/>
    <n v="0.65878540121663709"/>
    <n v="1.9555289347909701E-2"/>
    <n v="2.2521640361720441E-2"/>
    <n v="5.16819377380743E-2"/>
    <s v="NaN"/>
    <n v="10392.602353697101"/>
    <s v="NaN"/>
    <n v="10392.602353697101"/>
    <n v="308.49248591269742"/>
    <n v="355.28785580263161"/>
    <n v="815.30317276067399"/>
    <s v="NaN"/>
    <n v="-43529.514849971987"/>
  </r>
  <r>
    <x v="8"/>
    <x v="13"/>
    <n v="15933.147000000001"/>
    <n v="15933.147000000001"/>
    <s v="NaN"/>
    <n v="0.65287417684534854"/>
    <s v="NaN"/>
    <n v="0.65287417684534854"/>
    <n v="1.430811532302491E-2"/>
    <n v="2.2784237162269901E-2"/>
    <n v="5.2347634708948793E-2"/>
    <s v="NaN"/>
    <n v="10402.340232180941"/>
    <s v="NaN"/>
    <n v="10402.340232180941"/>
    <n v="227.97330473470839"/>
    <n v="363.02459998930919"/>
    <n v="834.0625589199833"/>
    <s v="NaN"/>
    <n v="-43367.135884695374"/>
  </r>
  <r>
    <x v="8"/>
    <x v="14"/>
    <n v="16090.895312500001"/>
    <n v="16090.895312500001"/>
    <s v="NaN"/>
    <n v="0.65468647149449932"/>
    <s v="NaN"/>
    <n v="0.65468647149449932"/>
    <n v="9.013299438337747E-3"/>
    <n v="2.3041685187521289E-2"/>
    <n v="5.3000279258344878E-2"/>
    <s v="NaN"/>
    <n v="10534.491475328001"/>
    <s v="NaN"/>
    <n v="10534.491475328001"/>
    <n v="145.03205768250771"/>
    <n v="370.76134417598689"/>
    <n v="852.82194507929262"/>
    <s v="NaN"/>
    <n v="-43644.725014978532"/>
  </r>
  <r>
    <x v="8"/>
    <x v="15"/>
    <n v="16248.643625000001"/>
    <n v="16248.643625000001"/>
    <s v="NaN"/>
    <n v="0.67480017694139272"/>
    <s v="NaN"/>
    <n v="0.67480017694139272"/>
    <n v="4.4844035934775376E-3"/>
    <n v="2.3294134396566558E-2"/>
    <n v="5.364025154060216E-2"/>
    <s v="NaN"/>
    <n v="10964.587593207631"/>
    <s v="NaN"/>
    <n v="10964.587593207631"/>
    <n v="72.865475861085883"/>
    <n v="378.49808836266448"/>
    <n v="871.58133123860171"/>
    <s v="NaN"/>
    <n v="-45054.285791794042"/>
  </r>
  <r>
    <x v="8"/>
    <x v="16"/>
    <n v="16406.3919375"/>
    <n v="16406.3919375"/>
    <s v="NaN"/>
    <n v="0.67644306876506766"/>
    <s v="NaN"/>
    <n v="0.67644306876506766"/>
    <n v="2.632671445377815E-3"/>
    <n v="2.3541728981039841E-2"/>
    <n v="5.4267917089245207E-2"/>
    <s v="NaN"/>
    <n v="11097.99010956496"/>
    <s v="NaN"/>
    <n v="11097.99010956496"/>
    <n v="43.192639575533057"/>
    <n v="386.23483254934217"/>
    <n v="890.34071739791113"/>
    <s v="NaN"/>
    <n v="-45531.780429992563"/>
  </r>
  <r>
    <x v="8"/>
    <x v="17"/>
    <n v="16516.326458333329"/>
    <n v="16516.326458333329"/>
    <s v="NaN"/>
    <n v="0.67489079295548249"/>
    <s v="NaN"/>
    <n v="0.67489079295548249"/>
    <n v="2.7008405583818641E-3"/>
    <n v="2.343831891754147E-2"/>
    <n v="5.462634456558111E-2"/>
    <s v="NaN"/>
    <n v="11146.7166601762"/>
    <s v="NaN"/>
    <n v="11146.7166601762"/>
    <n v="44.607964374142163"/>
    <n v="387.1149268766448"/>
    <n v="902.22654007054052"/>
    <s v="NaN"/>
    <n v="-45762.442335495078"/>
  </r>
  <r>
    <x v="8"/>
    <x v="18"/>
    <n v="16626.260979166669"/>
    <n v="16626.260979166669"/>
    <s v="NaN"/>
    <n v="0.67352554210687143"/>
    <s v="NaN"/>
    <n v="0.67352554210687143"/>
    <n v="2.70101396570664E-3"/>
    <n v="2.3336276369661211E-2"/>
    <n v="5.4980032124395693E-2"/>
    <s v="NaN"/>
    <n v="11198.211439203549"/>
    <s v="NaN"/>
    <n v="11198.211439203549"/>
    <n v="44.907763102212527"/>
    <n v="387.99502120394737"/>
    <n v="914.11236274317002"/>
    <s v="NaN"/>
    <n v="-45999.164149598088"/>
  </r>
  <r>
    <x v="8"/>
    <x v="19"/>
    <n v="16736.195500000002"/>
    <n v="16736.195500000002"/>
    <s v="NaN"/>
    <n v="0.67217822701885321"/>
    <s v="NaN"/>
    <n v="0.67217822701885321"/>
    <n v="2.701185094920918E-3"/>
    <n v="2.3235574389128641E-2"/>
    <n v="5.5329073170530263E-2"/>
    <s v="NaN"/>
    <n v="11249.706218230909"/>
    <s v="NaN"/>
    <n v="11249.706218230909"/>
    <n v="45.207561830282543"/>
    <n v="388.87511553125"/>
    <n v="925.9981854157993"/>
    <s v="NaN"/>
    <n v="-46235.88596370109"/>
  </r>
  <r>
    <x v="8"/>
    <x v="20"/>
    <n v="16900.45414583333"/>
    <n v="16900.45414583333"/>
    <s v="NaN"/>
    <n v="0.6687323193618836"/>
    <s v="NaN"/>
    <n v="0.6687323193618836"/>
    <n v="2.7413848131238108E-3"/>
    <n v="2.320364996290334E-2"/>
    <n v="5.6664086787395401E-2"/>
    <s v="NaN"/>
    <n v="11301.87989921229"/>
    <s v="NaN"/>
    <n v="11301.87989921229"/>
    <n v="46.330648330282862"/>
    <n v="392.15222221401518"/>
    <n v="957.64880046589644"/>
    <s v="NaN"/>
    <n v="-46559.375757486661"/>
  </r>
  <r>
    <x v="8"/>
    <x v="21"/>
    <n v="17064.712791666661"/>
    <n v="17064.712791666661"/>
    <s v="NaN"/>
    <n v="0.66535274978306502"/>
    <s v="NaN"/>
    <n v="0.66535274978306502"/>
    <n v="2.7808106359373348E-3"/>
    <n v="2.3172340122236519E-2"/>
    <n v="5.7973399704629378E-2"/>
    <s v="NaN"/>
    <n v="11354.05358019366"/>
    <s v="NaN"/>
    <n v="11354.05358019366"/>
    <n v="47.453734830282563"/>
    <n v="395.42932889678031"/>
    <n v="989.29941551599336"/>
    <s v="NaN"/>
    <n v="-46882.865551272233"/>
  </r>
  <r>
    <x v="8"/>
    <x v="22"/>
    <n v="17228.9714375"/>
    <n v="17228.9714375"/>
    <s v="NaN"/>
    <n v="0.66203762090803753"/>
    <s v="NaN"/>
    <n v="0.66203762090803753"/>
    <n v="2.8194846979983732E-3"/>
    <n v="2.3141627289005449E-2"/>
    <n v="5.9257747003046563E-2"/>
    <s v="NaN"/>
    <n v="11406.22726117503"/>
    <s v="NaN"/>
    <n v="11406.22726117503"/>
    <n v="48.576821330282293"/>
    <n v="398.70643557954548"/>
    <n v="1020.950030566091"/>
    <s v="NaN"/>
    <n v="-47206.355345057767"/>
  </r>
  <r>
    <x v="8"/>
    <x v="23"/>
    <n v="17388.940395833339"/>
    <n v="17388.940395833339"/>
    <s v="NaN"/>
    <n v="0.65838063876704811"/>
    <s v="NaN"/>
    <n v="0.65838063876704811"/>
    <n v="2.851369378176539E-3"/>
    <n v="2.309635542615996E-2"/>
    <n v="6.0597782259655737E-2"/>
    <s v="NaN"/>
    <n v="11448.54168529088"/>
    <s v="NaN"/>
    <n v="11448.54168529088"/>
    <n v="49.582292163616188"/>
    <n v="401.62114786647732"/>
    <n v="1053.73122383284"/>
    <s v="NaN"/>
    <n v="-47496.07994690162"/>
  </r>
  <r>
    <x v="8"/>
    <x v="24"/>
    <n v="17548.90935416667"/>
    <n v="17548.90935416667"/>
    <s v="NaN"/>
    <n v="0.65479032784897451"/>
    <s v="NaN"/>
    <n v="0.65479032784897451"/>
    <n v="2.882672761936505E-3"/>
    <n v="2.3051908924320672E-2"/>
    <n v="6.1913387047133978E-2"/>
    <s v="NaN"/>
    <n v="11490.85610940673"/>
    <s v="NaN"/>
    <n v="11490.85610940673"/>
    <n v="50.587762996949003"/>
    <n v="404.53586015340909"/>
    <n v="1086.5124170995909"/>
    <s v="NaN"/>
    <n v="-47785.804548745487"/>
  </r>
  <r>
    <x v="8"/>
    <x v="25"/>
    <n v="17708.878312500001"/>
    <n v="17708.878312500001"/>
    <s v="NaN"/>
    <n v="0.65126488137770777"/>
    <s v="NaN"/>
    <n v="0.65126488137770777"/>
    <n v="2.9134106022889639E-3"/>
    <n v="2.300826541637805E-2"/>
    <n v="6.3205223426052684E-2"/>
    <s v="NaN"/>
    <n v="11533.170533522571"/>
    <s v="NaN"/>
    <n v="11533.170533522571"/>
    <n v="51.593233830282593"/>
    <n v="407.45057244034098"/>
    <n v="1119.293610366341"/>
    <s v="NaN"/>
    <n v="-48075.52915058934"/>
  </r>
  <r>
    <x v="8"/>
    <x v="26"/>
    <n v="17797.577874999999"/>
    <n v="17797.577874999999"/>
    <s v="NaN"/>
    <n v="0.64779531392918632"/>
    <s v="NaN"/>
    <n v="0.64779531392918632"/>
    <n v="2.782896714643495E-3"/>
    <n v="2.2544736412165079E-2"/>
    <n v="6.2334639591478218E-2"/>
    <s v="NaN"/>
    <n v="11529.187546714769"/>
    <s v="NaN"/>
    <n v="11529.187546714769"/>
    <n v="49.52882099694925"/>
    <n v="401.24170196685611"/>
    <n v="1109.4056024393919"/>
    <s v="NaN"/>
    <n v="-47994.333464436902"/>
  </r>
  <r>
    <x v="8"/>
    <x v="27"/>
    <n v="17886.277437500001"/>
    <n v="17886.277437500001"/>
    <s v="NaN"/>
    <n v="0.64436015823747939"/>
    <s v="NaN"/>
    <n v="0.64436015823747939"/>
    <n v="2.6536772858114679E-3"/>
    <n v="2.2085804767019521E-2"/>
    <n v="6.1472690354630002E-2"/>
    <s v="NaN"/>
    <n v="11525.204559906961"/>
    <s v="NaN"/>
    <n v="11525.204559906961"/>
    <n v="47.4644081636159"/>
    <n v="395.03283149337119"/>
    <n v="1099.517594512442"/>
    <s v="NaN"/>
    <n v="-47913.137778284443"/>
  </r>
  <r>
    <x v="8"/>
    <x v="28"/>
    <n v="17974.976999999999"/>
    <n v="17974.976999999999"/>
    <s v="NaN"/>
    <n v="0.64095890487643759"/>
    <s v="NaN"/>
    <n v="0.64095890487643759"/>
    <n v="2.5257331528314212E-3"/>
    <n v="2.1631402422372301E-2"/>
    <n v="6.0619247890302902E-2"/>
    <s v="NaN"/>
    <n v="11521.22157309915"/>
    <s v="NaN"/>
    <n v="11521.22157309915"/>
    <n v="45.39999533028228"/>
    <n v="388.82396101988638"/>
    <n v="1089.6295865854929"/>
    <s v="NaN"/>
    <n v="-47831.942092132012"/>
  </r>
  <r>
    <x v="8"/>
    <x v="29"/>
    <n v="18003.983979166671"/>
    <n v="18003.983979166671"/>
    <s v="NaN"/>
    <n v="0.63692547882040751"/>
    <s v="NaN"/>
    <n v="0.63692547882040751"/>
    <n v="2.2638773429692299E-3"/>
    <n v="2.0825036847344811E-2"/>
    <n v="5.8818915737643293E-2"/>
    <s v="NaN"/>
    <n v="11467.196116605681"/>
    <s v="NaN"/>
    <n v="11467.196116605681"/>
    <n v="40.758811413616428"/>
    <n v="374.93362976515152"/>
    <n v="1058.9748166124839"/>
    <s v="NaN"/>
    <n v="-47453.499039459719"/>
  </r>
  <r>
    <x v="8"/>
    <x v="30"/>
    <n v="18032.990958333328"/>
    <n v="18032.990958333328"/>
    <s v="NaN"/>
    <n v="0.63290502870451393"/>
    <s v="NaN"/>
    <n v="0.63290502870451393"/>
    <n v="2.0028639497685959E-3"/>
    <n v="2.0021265432042652E-2"/>
    <n v="5.7024375435860343E-2"/>
    <s v="NaN"/>
    <n v="11413.1706601122"/>
    <s v="NaN"/>
    <n v="11413.1706601122"/>
    <n v="36.117627496948877"/>
    <n v="361.04329851041678"/>
    <n v="1028.3200466394751"/>
    <s v="NaN"/>
    <n v="-47075.055986787418"/>
  </r>
  <r>
    <x v="8"/>
    <x v="31"/>
    <n v="18061.9979375"/>
    <n v="18061.9979375"/>
    <s v="NaN"/>
    <n v="0.62827067068869524"/>
    <s v="NaN"/>
    <n v="0.62827067068869524"/>
    <n v="1.6702808027112071E-3"/>
    <n v="1.9005832232181039E-2"/>
    <n v="5.4831907139023611E-2"/>
    <s v="NaN"/>
    <n v="11347.82355817096"/>
    <s v="NaN"/>
    <n v="11347.82355817096"/>
    <n v="30.168608413615669"/>
    <n v="343.28330257812502"/>
    <n v="990.37379365423601"/>
    <s v="NaN"/>
    <n v="-46609.380630332998"/>
  </r>
  <r>
    <x v="8"/>
    <x v="32"/>
    <n v="18091.004916666661"/>
    <n v="18091.004916666661"/>
    <s v="NaN"/>
    <n v="0.62365117406139936"/>
    <s v="NaN"/>
    <n v="0.62365117406139936"/>
    <n v="1.3387641782115879E-3"/>
    <n v="1.7993655308000001E-2"/>
    <n v="5.2646469616044168E-2"/>
    <s v="NaN"/>
    <n v="11282.47645622971"/>
    <s v="NaN"/>
    <n v="11282.47645622971"/>
    <n v="24.219589330283039"/>
    <n v="325.52330664583332"/>
    <n v="952.42754066899727"/>
    <s v="NaN"/>
    <n v="-46143.705273878557"/>
  </r>
  <r>
    <x v="8"/>
    <x v="33"/>
    <n v="18120.01189583333"/>
    <n v="18120.01189583333"/>
    <s v="NaN"/>
    <n v="0.61904646745115188"/>
    <s v="NaN"/>
    <n v="0.61904646745115188"/>
    <n v="1.00830895431975E-3"/>
    <n v="1.698471902131098E-2"/>
    <n v="5.0468029101793363E-2"/>
    <s v="NaN"/>
    <n v="11217.12935428847"/>
    <s v="NaN"/>
    <n v="11217.12935428847"/>
    <n v="18.270570246949131"/>
    <n v="307.76331071354173"/>
    <n v="914.48128768375852"/>
    <s v="NaN"/>
    <n v="-45678.029917424137"/>
  </r>
  <r>
    <x v="9"/>
    <x v="0"/>
    <n v="2368.6860000000011"/>
    <n v="1775.239"/>
    <n v="593.44700000000103"/>
    <n v="0.64345218890677569"/>
    <n v="-8.1362895437298827E-2"/>
    <n v="0.56208929346947678"/>
    <n v="3.9057434392106939E-2"/>
    <n v="1.8681243524891009E-4"/>
    <n v="0.21910873504113729"/>
    <n v="-0.32803219158576868"/>
    <n v="1524.136191532835"/>
    <n v="-192.72315134179371"/>
    <n v="1331.413040191042"/>
    <n v="92.514798040502257"/>
    <n v="0.4425"/>
    <n v="388.97037168569352"/>
    <n v="-194.66972000000001"/>
    <n v="-5935.1269630304114"/>
  </r>
  <r>
    <x v="9"/>
    <x v="1"/>
    <n v="2371.5120000000011"/>
    <n v="1777.9"/>
    <n v="593.61200000000099"/>
    <n v="0.66389398746538175"/>
    <n v="-0.10247450479300391"/>
    <n v="0.56141948267237785"/>
    <n v="3.9023992508351542E-2"/>
    <n v="4.8892858227156323E-4"/>
    <n v="0.21887299629840221"/>
    <n v="-0.32810482267878632"/>
    <n v="1574.4325580020029"/>
    <n v="-243.0195178106664"/>
    <n v="1331.4130401913369"/>
    <n v="92.545866521465825"/>
    <n v="1.1595"/>
    <n v="389.13430011892927"/>
    <n v="-194.76696000000001"/>
    <n v="-5938.1144050502226"/>
  </r>
  <r>
    <x v="9"/>
    <x v="2"/>
    <n v="2375.4070000000011"/>
    <n v="1781.4970000000001"/>
    <n v="593.91000000000099"/>
    <n v="0.6895050549545555"/>
    <n v="-0.1290061424770996"/>
    <n v="0.56049891247745587"/>
    <n v="3.8977260672039188E-2"/>
    <n v="9.1110702292280816E-4"/>
    <n v="0.21855805441194759"/>
    <n v="-0.32817719856543881"/>
    <n v="1637.855134074437"/>
    <n v="-306.44209388309991"/>
    <n v="1331.4130401913369"/>
    <n v="92.586857841186657"/>
    <n v="2.16425"/>
    <n v="389.36051826072128"/>
    <n v="-194.90772000000001"/>
    <n v="-5942.2621364091046"/>
  </r>
  <r>
    <x v="9"/>
    <x v="3"/>
    <n v="2380.391000000001"/>
    <n v="1786.1410000000001"/>
    <n v="594.25000000000091"/>
    <n v="0.72165856886910573"/>
    <n v="-0.16233321425675801"/>
    <n v="0.55932535461234767"/>
    <n v="3.8917135924786912E-2"/>
    <n v="1.454277889640819E-3"/>
    <n v="0.21817725536866259"/>
    <n v="-0.32837849389987328"/>
    <n v="1717.8295624089001"/>
    <n v="-386.41652221785853"/>
    <n v="1331.413040191042"/>
    <n v="92.638000101139482"/>
    <n v="3.4617499999999999"/>
    <n v="389.69534108143853"/>
    <n v="-195.13892000000001"/>
    <n v="-5947.5871083704778"/>
  </r>
  <r>
    <x v="9"/>
    <x v="4"/>
    <n v="2385.3760000000011"/>
    <n v="1790.67"/>
    <n v="594.70600000000081"/>
    <n v="0.7624271815492738"/>
    <n v="-0.2042707147317423"/>
    <n v="0.5581564668175315"/>
    <n v="2.3636250011333852E-2"/>
    <n v="2.0048202044457559E-3"/>
    <n v="0.21783349114383879"/>
    <n v="-0.32865267880263482"/>
    <n v="1818.675500615281"/>
    <n v="-487.26246042394467"/>
    <n v="1331.413040191336"/>
    <n v="56.381343507035517"/>
    <n v="4.7822500000000003"/>
    <n v="390.06789758653781"/>
    <n v="-195.45171999999999"/>
    <n v="-5819.7069747118649"/>
  </r>
  <r>
    <x v="9"/>
    <x v="5"/>
    <n v="2390.755000000001"/>
    <n v="1795.6110000000001"/>
    <n v="595.1440000000008"/>
    <n v="0.81390185897516398"/>
    <n v="-0.25700119780689867"/>
    <n v="0.5569006611682652"/>
    <n v="2.360655962927637E-2"/>
    <n v="2.6068124922879999E-3"/>
    <n v="0.2174442355971665"/>
    <n v="-0.32893182154234901"/>
    <n v="1945.8399388541691"/>
    <n v="-614.42689866283229"/>
    <n v="1331.413040191336"/>
    <n v="56.437500466490647"/>
    <n v="6.2322499999999996"/>
    <n v="390.44526132486368"/>
    <n v="-195.76179999999999"/>
    <n v="-5825.4762572703949"/>
  </r>
  <r>
    <x v="9"/>
    <x v="6"/>
    <n v="2396.5279999999998"/>
    <n v="1800.973"/>
    <n v="595.55500000000075"/>
    <n v="0.87885115802462455"/>
    <n v="-0.32329201571903232"/>
    <n v="0.55555914230559234"/>
    <n v="2.3574574397709699E-2"/>
    <n v="3.255334383741813E-3"/>
    <n v="0.21704089971486379"/>
    <n v="-0.32924717280519811"/>
    <n v="2106.1914080384381"/>
    <n v="-774.77836784710109"/>
    <n v="1331.4130401913369"/>
    <n v="56.497127632194427"/>
    <n v="7.8014999999999999"/>
    <n v="390.88480028217731"/>
    <n v="-196.0848"/>
    <n v="-5831.8761163881272"/>
  </r>
  <r>
    <x v="9"/>
    <x v="7"/>
    <n v="2402.538"/>
    <n v="1806.5409999999999"/>
    <n v="595.99700000000064"/>
    <n v="0.96081351041672269"/>
    <n v="-0.40664411114352023"/>
    <n v="0.55416939927320241"/>
    <n v="2.3541555830257618E-2"/>
    <n v="3.9248078490329808E-3"/>
    <n v="0.21664767771598409"/>
    <n v="-0.32951984657640848"/>
    <n v="2308.390969689573"/>
    <n v="-976.9779294985309"/>
    <n v="1331.413040191042"/>
    <n v="56.55948246131549"/>
    <n v="9.4295000000000009"/>
    <n v="391.38291234871161"/>
    <n v="-196.39284000000001"/>
    <n v="-5838.7710150044486"/>
  </r>
  <r>
    <x v="9"/>
    <x v="8"/>
    <n v="2408.2440000000001"/>
    <n v="1811.6880000000001"/>
    <n v="596.55600000000061"/>
    <n v="0.97072537966033878"/>
    <n v="-0.51155405579141999"/>
    <n v="0.45917132386891879"/>
    <n v="2.3509656488811221E-2"/>
    <n v="4.5715882609901658E-3"/>
    <n v="0.2162699506961184"/>
    <n v="-0.32971489684120148"/>
    <n v="2337.743571214733"/>
    <n v="-1231.946985535352"/>
    <n v="1105.796585679381"/>
    <n v="56.616989181240697"/>
    <n v="11.009499999999999"/>
    <n v="391.8136744367493"/>
    <n v="-196.6934"/>
    <n v="-5017.9922807574812"/>
  </r>
  <r>
    <x v="9"/>
    <x v="9"/>
    <n v="2414.3290000000011"/>
    <n v="1817.2570000000001"/>
    <n v="597.07200000000068"/>
    <n v="1.00799738020769"/>
    <n v="-0.64343226453053071"/>
    <n v="0.36456511567715899"/>
    <n v="2.3476283438655581E-2"/>
    <n v="5.2482490994392216E-3"/>
    <n v="0.2158608473721049"/>
    <n v="-0.3299777581263228"/>
    <n v="2433.637306959452"/>
    <n v="-1553.457175791732"/>
    <n v="880.18013116771976"/>
    <n v="56.679471918165902"/>
    <n v="12.670999999999999"/>
    <n v="392.27463591288932"/>
    <n v="-197.02047999999999"/>
    <n v="-4197.5441163292226"/>
  </r>
  <r>
    <x v="9"/>
    <x v="10"/>
    <n v="2419.8890000000001"/>
    <n v="1822.2470000000001"/>
    <n v="597.64200000000062"/>
    <n v="1.07998255376652"/>
    <n v="-0.80948928872169401"/>
    <n v="0.27049326504482568"/>
    <n v="-6.0086930430305781E-3"/>
    <n v="5.8678311277913994E-3"/>
    <n v="0.21551608199237249"/>
    <n v="-0.33026266560917711"/>
    <n v="2613.4379020515098"/>
    <n v="-1958.874225395452"/>
    <n v="654.56367665605831"/>
    <n v="-14.540370199206221"/>
    <n v="14.1995"/>
    <n v="392.72353386235471"/>
    <n v="-197.37884"/>
    <n v="-3115.0808345040409"/>
  </r>
  <r>
    <x v="9"/>
    <x v="11"/>
    <n v="2424.201"/>
    <n v="1825.9"/>
    <n v="598.30100000000061"/>
    <n v="1.1958757304223231"/>
    <n v="-1.0189319777613861"/>
    <n v="0.17694375266093729"/>
    <n v="-5.9733418459676111E-3"/>
    <n v="6.3634368602273478E-3"/>
    <n v="0.21527485001471239"/>
    <n v="-0.33064788459320621"/>
    <n v="2899.0431415655271"/>
    <n v="-2470.09591942113"/>
    <n v="428.94722214439707"/>
    <n v="-14.48058127633653"/>
    <n v="15.42625"/>
    <n v="393.07034864186329"/>
    <n v="-197.82696000000001"/>
    <n v="-2292.166358203262"/>
  </r>
  <r>
    <x v="9"/>
    <x v="12"/>
    <n v="2427.764000000001"/>
    <n v="1828.9680000000001"/>
    <n v="598.79600000000073"/>
    <n v="1.366716713511994"/>
    <n v="-1.2829644346114351"/>
    <n v="8.3752278900558808E-2"/>
    <n v="-5.9428498163818207E-3"/>
    <n v="6.7909195457219046E-3"/>
    <n v="0.2150499585676556"/>
    <n v="-0.33116948009004687"/>
    <n v="3318.0656352627329"/>
    <n v="-3114.7348676299971"/>
    <n v="203.3307676327363"/>
    <n v="-14.427836841618401"/>
    <n v="16.486750000000001"/>
    <n v="393.31949262156797"/>
    <n v="-198.30296000000001"/>
    <n v="-1468.1561158466491"/>
  </r>
  <r>
    <x v="9"/>
    <x v="13"/>
    <n v="2431.552000000001"/>
    <n v="1832.25"/>
    <n v="599.3020000000007"/>
    <n v="1.0466440007837501"/>
    <n v="-1.05580921167742"/>
    <n v="-9.1652108936699402E-3"/>
    <n v="-5.9097813159353224E-3"/>
    <n v="7.2545230371384179E-3"/>
    <n v="0.21475353563243699"/>
    <n v="-0.33170795358600458"/>
    <n v="2544.9693133937299"/>
    <n v="-2567.2550002726548"/>
    <n v="-22.285686878924931"/>
    <n v="-14.369940578325171"/>
    <n v="17.639749999999999"/>
    <n v="393.48216566253268"/>
    <n v="-198.79324"/>
    <n v="-644.13451008609468"/>
  </r>
  <r>
    <x v="9"/>
    <x v="14"/>
    <n v="2434.8209999999999"/>
    <n v="1834.9829999999999"/>
    <n v="599.83800000000076"/>
    <n v="1.04934339913561"/>
    <n v="-0.9760582941805519"/>
    <n v="7.328510495505812E-2"/>
    <n v="2.2905698015723921E-2"/>
    <n v="7.6863966591383913E-3"/>
    <n v="0.21445421677141199"/>
    <n v="-0.33218582350567949"/>
    <n v="2554.9633444267661"/>
    <n v="-2376.527231894986"/>
    <n v="178.4361125317796"/>
    <n v="55.771274548342937"/>
    <n v="18.715"/>
    <n v="393.51984205385583"/>
    <n v="-199.25767999999999"/>
    <n v="-1639.67668015807"/>
  </r>
  <r>
    <x v="9"/>
    <x v="15"/>
    <n v="2437.8570000000009"/>
    <n v="1837.4580000000001"/>
    <n v="600.3990000000008"/>
    <n v="1.05211519442027"/>
    <n v="-0.76736553007360098"/>
    <n v="0.28474966434666898"/>
    <n v="-4.993078330399873E-3"/>
    <n v="8.109273841738868E-3"/>
    <n v="0.2141115980915867"/>
    <n v="-0.33262746939951549"/>
    <n v="2564.9063915238171"/>
    <n v="-1870.7274290486389"/>
    <n v="694.17896247517774"/>
    <n v="-12.17241095931365"/>
    <n v="19.76925"/>
    <n v="393.42106880617058"/>
    <n v="-199.70920000000001"/>
    <n v="-3283.4547911810919"/>
  </r>
  <r>
    <x v="9"/>
    <x v="16"/>
    <n v="2440.476000000001"/>
    <n v="1839.7449999999999"/>
    <n v="600.73100000000079"/>
    <n v="1.0526207003849199"/>
    <n v="-0.63133164078082604"/>
    <n v="0.42128905960409391"/>
    <n v="0.12671282130181"/>
    <n v="8.5628787171027274E-3"/>
    <n v="0.21370541512785771"/>
    <n v="-0.33309677709324098"/>
    <n v="2568.8955563925879"/>
    <n v="-1540.749717366228"/>
    <n v="1028.145839026361"/>
    <n v="309.23959927935613"/>
    <n v="20.897500000000001"/>
    <n v="393.16346895440063"/>
    <n v="-200.10156000000001"/>
    <n v="-5688.2644399542814"/>
  </r>
  <r>
    <x v="9"/>
    <x v="17"/>
    <n v="2442.6840000000002"/>
    <n v="1841.5029999999999"/>
    <n v="601.18100000000072"/>
    <n v="1.04685864369816"/>
    <n v="-0.52428182905023113"/>
    <n v="0.52257681464792904"/>
    <n v="6.2355373703865923E-2"/>
    <n v="8.9912366888226201E-3"/>
    <n v="0.213303880218398"/>
    <n v="-0.33357022261182528"/>
    <n v="2557.1448592231968"/>
    <n v="-1280.654835311735"/>
    <n v="1276.490023911462"/>
    <n v="152.31447366045401"/>
    <n v="21.96275"/>
    <n v="392.79973533382048"/>
    <n v="-200.53608"/>
    <n v="-6024.4466439882481"/>
  </r>
  <r>
    <x v="9"/>
    <x v="18"/>
    <n v="2444.1640000000011"/>
    <n v="1842.7059999999999"/>
    <n v="601.45800000000077"/>
    <n v="1.0522911759042499"/>
    <n v="-0.524604066358208"/>
    <n v="0.52768710954604192"/>
    <n v="1.609961721381873E-2"/>
    <n v="9.3501295330427874E-3"/>
    <n v="0.21295467555187769"/>
    <n v="-0.33416956794988129"/>
    <n v="2571.9722096628361"/>
    <n v="-1282.2183732463429"/>
    <n v="1289.753836416492"/>
    <n v="39.350104807796058"/>
    <n v="22.853249999999999"/>
    <n v="392.41285836749842"/>
    <n v="-200.98895999999999"/>
    <n v="-5659.0639951703988"/>
  </r>
  <r>
    <x v="9"/>
    <x v="19"/>
    <n v="2445.1240000000012"/>
    <n v="1843.5989999999999"/>
    <n v="601.52500000000089"/>
    <n v="1.06879200636169"/>
    <n v="-0.52300724688118105"/>
    <n v="0.54578475948050886"/>
    <n v="3.4986124193362257E-2"/>
    <n v="9.6619844228758908E-3"/>
    <n v="0.21262802329959779"/>
    <n v="-0.33487279830430938"/>
    <n v="2613.3289857631221"/>
    <n v="-1278.8175715231009"/>
    <n v="1334.51141424002"/>
    <n v="85.545411932170737"/>
    <n v="23.624749999999999"/>
    <n v="392.00081112711513"/>
    <n v="-201.43436"/>
    <n v="-5992.2427667646671"/>
  </r>
  <r>
    <x v="9"/>
    <x v="20"/>
    <n v="2445.877"/>
    <n v="1844.269"/>
    <n v="601.60800000000086"/>
    <n v="1.0922952405947901"/>
    <n v="-0.71749348456296713"/>
    <n v="0.37480175603182309"/>
    <n v="0.14535506299615761"/>
    <n v="9.7683775594602645E-3"/>
    <n v="0.21248858370424231"/>
    <n v="-0.33532619247084428"/>
    <n v="2671.6198061802638"/>
    <n v="-1754.9008115424169"/>
    <n v="916.71899463784757"/>
    <n v="355.52060541585303"/>
    <n v="23.892250000000001"/>
    <n v="391.88610777963919"/>
    <n v="-201.73491999999999"/>
    <n v="-5449.7044720560752"/>
  </r>
  <r>
    <x v="9"/>
    <x v="21"/>
    <n v="2447.023000000001"/>
    <n v="1845.0889999999999"/>
    <n v="601.93400000000088"/>
    <n v="1.1095613039241901"/>
    <n v="-1.01994677533998"/>
    <n v="8.9614528584210193E-2"/>
    <n v="0.2713656458905585"/>
    <n v="9.751849492219725E-3"/>
    <n v="0.21243684914233191"/>
    <n v="-0.33570604086162231"/>
    <n v="2715.1220306124851"/>
    <n v="-2495.8332180327652"/>
    <n v="219.28881257971989"/>
    <n v="664.03797690405247"/>
    <n v="23.863"/>
    <n v="391.96489354717608"/>
    <n v="-202.07288"/>
    <n v="-4022.633277780511"/>
  </r>
  <r>
    <x v="9"/>
    <x v="22"/>
    <n v="2448.2180000000012"/>
    <n v="1846.0139999999999"/>
    <n v="602.20400000000086"/>
    <n v="1.1310150943738899"/>
    <n v="-1.1108066867256501"/>
    <n v="2.020840764823988E-2"/>
    <n v="0.15589991162386219"/>
    <n v="9.6277169761843084E-3"/>
    <n v="0.21244928907014221"/>
    <n v="-0.33611673120736452"/>
    <n v="2768.9715123178571"/>
    <n v="-2719.496924962099"/>
    <n v="49.474587355758558"/>
    <n v="381.67696983594891"/>
    <n v="23.57075"/>
    <n v="392.18436191352941"/>
    <n v="-202.41084000000001"/>
    <n v="-2363.1513733860829"/>
  </r>
  <r>
    <x v="9"/>
    <x v="23"/>
    <n v="2449.2290000000012"/>
    <n v="1846.7829999999999"/>
    <n v="602.44600000000082"/>
    <n v="1.1496637235380101"/>
    <n v="-1.2000705403782099"/>
    <n v="-5.0406816840199757E-2"/>
    <n v="0.1489849717565129"/>
    <n v="9.3553930645113182E-3"/>
    <n v="0.21255223889719829"/>
    <n v="-0.33650318866753148"/>
    <n v="2815.7897319372778"/>
    <n v="-2939.247569539983"/>
    <n v="-123.45783760270569"/>
    <n v="364.89831339023237"/>
    <n v="22.913499999999999"/>
    <n v="392.53786140728471"/>
    <n v="-202.72499999999999"/>
    <n v="-1665.2784030477931"/>
  </r>
  <r>
    <x v="9"/>
    <x v="24"/>
    <n v="2449.911000000001"/>
    <n v="1847.153"/>
    <n v="602.75800000000072"/>
    <n v="1.1609587256020799"/>
    <n v="-1.1854590283247901"/>
    <n v="-2.4500302722710272E-2"/>
    <n v="3.8759602647911423E-2"/>
    <n v="9.0497164999055035E-3"/>
    <n v="0.21263500677449121"/>
    <n v="-0.33664714528882189"/>
    <n v="2844.2455523985182"/>
    <n v="-2904.269113542216"/>
    <n v="-60.023561143697862"/>
    <n v="94.957576882747361"/>
    <n v="22.170999999999999"/>
    <n v="392.76939066852179"/>
    <n v="-202.91676000000001"/>
    <n v="-905.51137016117718"/>
  </r>
  <r>
    <x v="9"/>
    <x v="25"/>
    <n v="2450.2380000000012"/>
    <n v="1847.3430000000001"/>
    <n v="602.89500000000078"/>
    <n v="1.1768068309295201"/>
    <n v="-1.2080666089838099"/>
    <n v="-3.1259778054289832E-2"/>
    <n v="-1.7769085918546729E-2"/>
    <n v="8.6626278753329251E-3"/>
    <n v="0.2127631634642603"/>
    <n v="-0.33687743305218942"/>
    <n v="2883.456815803087"/>
    <n v="-2960.050711863274"/>
    <n v="-76.593896060187035"/>
    <n v="-43.538489542888122"/>
    <n v="21.2255"/>
    <n v="393.04654068355711"/>
    <n v="-203.10172"/>
    <n v="-333.80576196179737"/>
  </r>
  <r>
    <x v="9"/>
    <x v="26"/>
    <n v="2450.2420000000011"/>
    <n v="1847.2149999999999"/>
    <n v="603.02700000000073"/>
    <n v="1.1832761123286299"/>
    <n v="-1.24918000382201"/>
    <n v="-6.5903891493379996E-2"/>
    <n v="-0.1051894875409798"/>
    <n v="8.2240856209305005E-3"/>
    <n v="0.21292662103952201"/>
    <n v="-0.33718821876964022"/>
    <n v="2899.3128280243282"/>
    <n v="-3060.7933109248502"/>
    <n v="-161.4804829005225"/>
    <n v="-257.73970033138562"/>
    <n v="20.151"/>
    <n v="393.32124828352062"/>
    <n v="-203.33359999999999"/>
    <n v="766.63229481082374"/>
  </r>
  <r>
    <x v="9"/>
    <x v="27"/>
    <n v="2449.9770000000012"/>
    <n v="1846.9010000000001"/>
    <n v="603.0760000000007"/>
    <n v="1.18429256624318"/>
    <n v="-1.29829328971967"/>
    <n v="-0.1140007234764899"/>
    <n v="-3.0038882015133651E-2"/>
    <n v="7.7509911317534784E-3"/>
    <n v="0.21310229962832161"/>
    <n v="-0.33724538864090059"/>
    <n v="2901.489548566768"/>
    <n v="-3180.7886990675288"/>
    <n v="-279.29915050076028"/>
    <n v="-73.594570042791119"/>
    <n v="18.989750000000001"/>
    <n v="393.5788502858469"/>
    <n v="-203.38460000000001"/>
    <n v="526.93564094496458"/>
  </r>
  <r>
    <x v="9"/>
    <x v="28"/>
    <n v="2450.315000000001"/>
    <n v="1847.0940000000001"/>
    <n v="603.2210000000008"/>
    <n v="1.1815145568534799"/>
    <n v="-1.4585327894443501"/>
    <n v="-0.27701823259086999"/>
    <n v="-3.6869630408112621E-2"/>
    <n v="7.3647673870502316E-3"/>
    <n v="0.21317462993596259"/>
    <n v="-0.33720941412848648"/>
    <n v="2895.082841376437"/>
    <n v="-3573.864771967334"/>
    <n v="-678.7819305908979"/>
    <n v="-90.342208433454516"/>
    <n v="18.045999999999999"/>
    <n v="393.75357990693698"/>
    <n v="-203.4118"/>
    <n v="2056.0333167640429"/>
  </r>
  <r>
    <x v="9"/>
    <x v="29"/>
    <n v="2451.0010000000011"/>
    <n v="1847.5039999999999"/>
    <n v="603.49700000000075"/>
    <n v="1.1771415892618999"/>
    <n v="-1.4277630204123399"/>
    <n v="-0.25062143115044011"/>
    <n v="-3.638435305392651E-2"/>
    <n v="6.9686834073099078E-3"/>
    <n v="0.21326110055823461"/>
    <n v="-0.33737294468737999"/>
    <n v="2885.1752124225068"/>
    <n v="-3499.4485907936669"/>
    <n v="-614.27337837116011"/>
    <n v="-89.178085719526976"/>
    <n v="17.080249999999999"/>
    <n v="394.00073632574072"/>
    <n v="-203.60355999999999"/>
    <n v="1818.571471804969"/>
  </r>
  <r>
    <x v="9"/>
    <x v="30"/>
    <n v="2452.0200000000009"/>
    <n v="1848.22"/>
    <n v="603.80000000000086"/>
    <n v="1.16676523818494"/>
    <n v="-1.2015152544034899"/>
    <n v="-3.4750016218549937E-2"/>
    <n v="-3.3373609727854872E-2"/>
    <n v="6.6606308268284892E-3"/>
    <n v="0.2132606249579948"/>
    <n v="-0.33746942696256987"/>
    <n v="2860.9316993342381"/>
    <n v="-2946.139434102447"/>
    <n v="-85.207734768208866"/>
    <n v="-81.832758524894743"/>
    <n v="16.332000000000001"/>
    <n v="394.15255225986527"/>
    <n v="-203.76403999999999"/>
    <n v="-145.49340287813939"/>
  </r>
  <r>
    <x v="9"/>
    <x v="31"/>
    <n v="2453.0090000000009"/>
    <n v="1849.05"/>
    <n v="603.95900000000086"/>
    <n v="1.15817995519983"/>
    <n v="-1.16842799104213"/>
    <n v="-1.0248035842299989E-2"/>
    <n v="7.8572807208536384E-3"/>
    <n v="6.4212972720442494E-3"/>
    <n v="0.213204497676623"/>
    <n v="-0.33740422777042772"/>
    <n v="2841.025853724781"/>
    <n v="-2866.164377878265"/>
    <n v="-25.138524153484472"/>
    <n v="19.273980323780471"/>
    <n v="15.7515"/>
    <n v="394.22577642895988"/>
    <n v="-203.77832000000001"/>
    <n v="-734.559512864005"/>
  </r>
  <r>
    <x v="9"/>
    <x v="32"/>
    <n v="2453.9310000000009"/>
    <n v="1849.8230000000001"/>
    <n v="604.10800000000086"/>
    <n v="1.1550030222318699"/>
    <n v="-1.0830495634850199"/>
    <n v="7.1953458746850107E-2"/>
    <n v="5.7168222196967287E-2"/>
    <n v="6.203617787134191E-3"/>
    <n v="0.21317346535362069"/>
    <n v="-0.33757427479854551"/>
    <n v="2834.297721348476"/>
    <n v="-2657.7288983723602"/>
    <n v="176.56882297611671"/>
    <n v="140.28687266402619"/>
    <n v="15.22325"/>
    <n v="394.33317920083078"/>
    <n v="-203.93132"/>
    <n v="-1915.7629510837451"/>
  </r>
  <r>
    <x v="9"/>
    <x v="33"/>
    <n v="2454.152000000001"/>
    <n v="1849.96"/>
    <n v="604.19200000000069"/>
    <n v="1.14739753721037"/>
    <n v="-1.2729626680822499"/>
    <n v="-0.1255651308718799"/>
    <n v="2.2426121440541191E-2"/>
    <n v="5.8442794089363648E-3"/>
    <n v="0.21334902979288739"/>
    <n v="-0.3374609395688784"/>
    <n v="2815.8879607399049"/>
    <n v="-3124.0438777993909"/>
    <n v="-308.155917059486"/>
    <n v="55.037110785547057"/>
    <n v="14.342750000000001"/>
    <n v="394.68717115564999"/>
    <n v="-203.8912"/>
    <n v="175.92697876707561"/>
  </r>
  <r>
    <x v="10"/>
    <x v="0"/>
    <n v="156864.8392615887"/>
    <n v="144214.62172185909"/>
    <n v="12650.21753972964"/>
    <s v="NaN"/>
    <s v="NaN"/>
    <s v="NaN"/>
    <s v="NaN"/>
    <s v="NaN"/>
    <s v="NaN"/>
    <s v="NaN"/>
    <n v="179058.65438584171"/>
    <n v="-95126.304726853457"/>
    <n v="83932.349658988198"/>
    <n v="5903.0284568155939"/>
    <n v="3099.4708454051979"/>
    <n v="17494.945289427091"/>
    <n v="-4417.3397346804741"/>
    <n v="-388712.33322520589"/>
  </r>
  <r>
    <x v="10"/>
    <x v="1"/>
    <n v="157253.92961869459"/>
    <n v="144573.03948477501"/>
    <n v="12680.89013391966"/>
    <s v="NaN"/>
    <s v="NaN"/>
    <s v="NaN"/>
    <s v="NaN"/>
    <s v="NaN"/>
    <s v="NaN"/>
    <s v="NaN"/>
    <n v="193046.52840279811"/>
    <n v="-85668.976762309292"/>
    <n v="107377.55164048891"/>
    <n v="5015.0189975166768"/>
    <n v="2992.420704912819"/>
    <n v="17668.264199133399"/>
    <n v="-4596.6559261534521"/>
    <n v="-471007.53192500328"/>
  </r>
  <r>
    <x v="10"/>
    <x v="2"/>
    <n v="157640.60069992871"/>
    <n v="144942.9225305084"/>
    <n v="12697.678169420309"/>
    <s v="NaN"/>
    <s v="NaN"/>
    <s v="NaN"/>
    <s v="NaN"/>
    <s v="NaN"/>
    <s v="NaN"/>
    <s v="NaN"/>
    <n v="188582.95647862839"/>
    <n v="-88293.579889381013"/>
    <n v="100289.3765892474"/>
    <n v="5651.9516612878651"/>
    <n v="3157.6468965550162"/>
    <n v="17258.170789564319"/>
    <n v="-4476.1064524508711"/>
    <n v="-446897.1447754543"/>
  </r>
  <r>
    <x v="10"/>
    <x v="3"/>
    <n v="158008.17304084171"/>
    <n v="145298.47314138131"/>
    <n v="12709.69989946046"/>
    <s v="NaN"/>
    <s v="NaN"/>
    <s v="NaN"/>
    <s v="NaN"/>
    <s v="NaN"/>
    <s v="NaN"/>
    <s v="NaN"/>
    <n v="191602.65844356819"/>
    <n v="-91242.266619742863"/>
    <n v="100360.3918238253"/>
    <n v="5666.7754925670051"/>
    <n v="3170.9295056046731"/>
    <n v="17903.997227639771"/>
    <n v="-4186.0887677765586"/>
    <n v="-450692.01936686173"/>
  </r>
  <r>
    <x v="10"/>
    <x v="4"/>
    <n v="158388.38573811471"/>
    <n v="145662.9206545949"/>
    <n v="12725.46508351981"/>
    <s v="NaN"/>
    <s v="NaN"/>
    <s v="NaN"/>
    <s v="NaN"/>
    <s v="NaN"/>
    <s v="NaN"/>
    <s v="NaN"/>
    <n v="191954.3680932422"/>
    <n v="-94290.658268298386"/>
    <n v="97663.709824943842"/>
    <n v="6015.1398411904966"/>
    <n v="3295.5099727996148"/>
    <n v="17439.63805511692"/>
    <n v="-4034.854571169566"/>
    <n v="-441390.19145060499"/>
  </r>
  <r>
    <x v="10"/>
    <x v="5"/>
    <n v="158776.52146343241"/>
    <n v="146031.52068398919"/>
    <n v="12745.00077944314"/>
    <s v="NaN"/>
    <s v="NaN"/>
    <s v="NaN"/>
    <s v="NaN"/>
    <s v="NaN"/>
    <s v="NaN"/>
    <s v="NaN"/>
    <n v="193507.7473817883"/>
    <n v="-94873.985009862299"/>
    <n v="98633.762371926015"/>
    <n v="6289.2705151122491"/>
    <n v="3366.9599052005392"/>
    <n v="18303.86859985608"/>
    <n v="-4160.6724172844733"/>
    <n v="-448921.69290767901"/>
  </r>
  <r>
    <x v="10"/>
    <x v="6"/>
    <n v="159202.3692880976"/>
    <n v="146439.3175169047"/>
    <n v="12763.05177119295"/>
    <s v="NaN"/>
    <s v="NaN"/>
    <s v="NaN"/>
    <s v="NaN"/>
    <s v="NaN"/>
    <s v="NaN"/>
    <s v="NaN"/>
    <n v="198568.37296858299"/>
    <n v="-94010.866775544157"/>
    <n v="104557.50619303891"/>
    <n v="5924.7863753171723"/>
    <n v="3394.2608600356439"/>
    <n v="18770.689701900741"/>
    <n v="-4369.5525088089626"/>
    <n v="-470351.53227881552"/>
  </r>
  <r>
    <x v="10"/>
    <x v="7"/>
    <n v="159603.22953256039"/>
    <n v="146829.16700919779"/>
    <n v="12774.062523362591"/>
    <s v="NaN"/>
    <s v="NaN"/>
    <s v="NaN"/>
    <s v="NaN"/>
    <s v="NaN"/>
    <s v="NaN"/>
    <s v="NaN"/>
    <n v="202419.2883009589"/>
    <n v="-100501.90743916899"/>
    <n v="101917.3808617899"/>
    <n v="6407.187356986462"/>
    <n v="3313.4480093633019"/>
    <n v="18466.748041728599"/>
    <n v="-4180.1190250611262"/>
    <n v="-461723.69923100137"/>
  </r>
  <r>
    <x v="10"/>
    <x v="8"/>
    <n v="160026.66572591421"/>
    <n v="147239.6739908884"/>
    <n v="12786.99173502578"/>
    <s v="NaN"/>
    <s v="NaN"/>
    <s v="NaN"/>
    <s v="NaN"/>
    <s v="NaN"/>
    <s v="NaN"/>
    <s v="NaN"/>
    <n v="206906.7106493809"/>
    <n v="-102482.15502041241"/>
    <n v="104424.5556289685"/>
    <n v="6582.2716516473711"/>
    <n v="3387.6135036059841"/>
    <n v="18305.98471803069"/>
    <n v="-4260.8219557945131"/>
    <n v="-470945.21300372231"/>
  </r>
  <r>
    <x v="10"/>
    <x v="9"/>
    <n v="160417.11804836811"/>
    <n v="147619.36780717329"/>
    <n v="12797.75024119473"/>
    <s v="NaN"/>
    <s v="NaN"/>
    <s v="NaN"/>
    <s v="NaN"/>
    <s v="NaN"/>
    <s v="NaN"/>
    <s v="NaN"/>
    <n v="208375.1077521937"/>
    <n v="-121712.66704340219"/>
    <n v="86662.44070879143"/>
    <n v="25087.122240168781"/>
    <n v="3340.226025121769"/>
    <n v="18334.508353369849"/>
    <n v="-4342.2421009429627"/>
    <n v="-473300.86916390888"/>
  </r>
  <r>
    <x v="10"/>
    <x v="10"/>
    <n v="160816.44536115491"/>
    <n v="148006.66739743599"/>
    <n v="12809.777963718871"/>
    <s v="NaN"/>
    <s v="NaN"/>
    <s v="NaN"/>
    <s v="NaN"/>
    <s v="NaN"/>
    <s v="NaN"/>
    <s v="NaN"/>
    <n v="204028.13951369951"/>
    <n v="-109123.6078627455"/>
    <n v="94904.531650954013"/>
    <n v="5117.31158767541"/>
    <n v="3281.8242016191571"/>
    <n v="17840.50578228926"/>
    <n v="-4389.1389827529347"/>
    <n v="-428101.79221258359"/>
  </r>
  <r>
    <x v="10"/>
    <x v="11"/>
    <n v="161216.34811874089"/>
    <n v="148396.0261480927"/>
    <n v="12820.32197064823"/>
    <s v="NaN"/>
    <s v="NaN"/>
    <s v="NaN"/>
    <s v="NaN"/>
    <s v="NaN"/>
    <s v="NaN"/>
    <s v="NaN"/>
    <n v="206708.60068018411"/>
    <n v="-103544.4081016625"/>
    <n v="103164.1925785216"/>
    <n v="6235.870626820828"/>
    <n v="3316.5519777290701"/>
    <n v="18711.837479714159"/>
    <n v="-4608.4702671768182"/>
    <n v="-465006.60211727448"/>
  </r>
  <r>
    <x v="10"/>
    <x v="12"/>
    <n v="161653.01816194729"/>
    <n v="148823.20143453361"/>
    <n v="12829.81672741367"/>
    <s v="NaN"/>
    <s v="NaN"/>
    <s v="NaN"/>
    <s v="NaN"/>
    <s v="NaN"/>
    <s v="NaN"/>
    <s v="NaN"/>
    <n v="200249.5333907443"/>
    <n v="-103879.53495572299"/>
    <n v="96369.998435021276"/>
    <n v="6729.4824190157606"/>
    <n v="3312.9645958808701"/>
    <n v="17889.26673447316"/>
    <n v="-4606.4656968936297"/>
    <n v="-438882.57045419718"/>
  </r>
  <r>
    <x v="10"/>
    <x v="13"/>
    <n v="162073.4031593297"/>
    <n v="149265.8700699491"/>
    <n v="12807.53308938054"/>
    <s v="NaN"/>
    <s v="NaN"/>
    <s v="NaN"/>
    <s v="NaN"/>
    <s v="NaN"/>
    <s v="NaN"/>
    <s v="NaN"/>
    <n v="199774.34632952209"/>
    <n v="-106667.4164088832"/>
    <n v="93106.929920638853"/>
    <n v="6952.5040616281631"/>
    <n v="3248.5518325470821"/>
    <n v="18635.663513845691"/>
    <n v="-4717.5968277611009"/>
    <n v="-429828.85917000088"/>
  </r>
  <r>
    <x v="10"/>
    <x v="14"/>
    <n v="162498.6977231779"/>
    <n v="149706.47865606839"/>
    <n v="12792.21906710951"/>
    <s v="NaN"/>
    <s v="NaN"/>
    <s v="NaN"/>
    <s v="NaN"/>
    <s v="NaN"/>
    <s v="NaN"/>
    <s v="NaN"/>
    <n v="202174.59204363049"/>
    <n v="-106226.48514407749"/>
    <n v="95948.106899553066"/>
    <n v="7215.2197517315099"/>
    <n v="3072.3090928136271"/>
    <n v="18752.18565857501"/>
    <n v="-4578.6079456388416"/>
    <n v="-441500.44934249949"/>
  </r>
  <r>
    <x v="10"/>
    <x v="15"/>
    <n v="162903.24131429149"/>
    <n v="150167.3806390898"/>
    <n v="12735.86067520166"/>
    <s v="NaN"/>
    <s v="NaN"/>
    <s v="NaN"/>
    <s v="NaN"/>
    <s v="NaN"/>
    <s v="NaN"/>
    <s v="NaN"/>
    <n v="203266.5160806007"/>
    <n v="-106163.2154539523"/>
    <n v="97103.300626648415"/>
    <n v="7474.383136599572"/>
    <n v="3135.7161912400652"/>
    <n v="18533.72729997609"/>
    <n v="-4708.56839349436"/>
    <n v="-445641.38249026297"/>
  </r>
  <r>
    <x v="10"/>
    <x v="16"/>
    <n v="163253.22842478441"/>
    <n v="150533.44444772281"/>
    <n v="12719.783977061619"/>
    <s v="NaN"/>
    <s v="NaN"/>
    <s v="NaN"/>
    <s v="NaN"/>
    <s v="NaN"/>
    <s v="NaN"/>
    <s v="NaN"/>
    <n v="202198.94425399159"/>
    <n v="-106087.75396818441"/>
    <n v="96111.190285807184"/>
    <n v="7085.5791490804431"/>
    <n v="3275.3527165632299"/>
    <n v="18041.20364613265"/>
    <n v="-5118.0643066463426"/>
    <n v="-437782.62546680938"/>
  </r>
  <r>
    <x v="10"/>
    <x v="17"/>
    <n v="163598.21880240791"/>
    <n v="150909.13275697819"/>
    <n v="12689.08604542968"/>
    <s v="NaN"/>
    <s v="NaN"/>
    <s v="NaN"/>
    <s v="NaN"/>
    <s v="NaN"/>
    <s v="NaN"/>
    <s v="NaN"/>
    <n v="201716.7328874988"/>
    <n v="-115361.9868465038"/>
    <n v="86354.746040994971"/>
    <n v="7472.5552621579473"/>
    <n v="3435.3772456766792"/>
    <n v="16972.129431803369"/>
    <n v="-5114.6923279955536"/>
    <n v="-400107.09072637348"/>
  </r>
  <r>
    <x v="10"/>
    <x v="18"/>
    <n v="163888.95551696041"/>
    <n v="151273.39822562161"/>
    <n v="12615.55729133878"/>
    <s v="NaN"/>
    <s v="NaN"/>
    <s v="NaN"/>
    <s v="NaN"/>
    <s v="NaN"/>
    <s v="NaN"/>
    <s v="NaN"/>
    <n v="213465.10638473311"/>
    <n v="-107969.82494604379"/>
    <n v="105495.2814386893"/>
    <n v="3359.7504530905858"/>
    <n v="3268.2882094702991"/>
    <n v="16983.983374444251"/>
    <n v="-5154.0577101946656"/>
    <n v="-454495.23447354051"/>
  </r>
  <r>
    <x v="10"/>
    <x v="19"/>
    <n v="164169.41388476131"/>
    <n v="151650.37607879521"/>
    <n v="12519.037805966111"/>
    <s v="NaN"/>
    <s v="NaN"/>
    <s v="NaN"/>
    <s v="NaN"/>
    <s v="NaN"/>
    <s v="NaN"/>
    <s v="NaN"/>
    <n v="214588.94922564749"/>
    <n v="-109434.99080816181"/>
    <n v="105153.9584174856"/>
    <n v="9113.1204685399334"/>
    <n v="3389.0200124359339"/>
    <n v="14847.294250773641"/>
    <n v="-5423.0740299280278"/>
    <n v="-465961.17010416841"/>
  </r>
  <r>
    <x v="10"/>
    <x v="20"/>
    <n v="164514.23594989241"/>
    <n v="152077.94243290069"/>
    <n v="12436.293516991749"/>
    <s v="NaN"/>
    <s v="NaN"/>
    <s v="NaN"/>
    <s v="NaN"/>
    <s v="NaN"/>
    <s v="NaN"/>
    <s v="NaN"/>
    <n v="213408.4794164224"/>
    <n v="-111471.5985696413"/>
    <n v="101936.880846781"/>
    <n v="4941.2501430038674"/>
    <n v="3484.0853968490442"/>
    <n v="14994.14354981535"/>
    <n v="-5209.7557740729762"/>
    <n v="-440537.54859541991"/>
  </r>
  <r>
    <x v="10"/>
    <x v="21"/>
    <n v="164863.30075188959"/>
    <n v="152528.33898612671"/>
    <n v="12334.96176576287"/>
    <s v="NaN"/>
    <s v="NaN"/>
    <s v="NaN"/>
    <s v="NaN"/>
    <s v="NaN"/>
    <s v="NaN"/>
    <s v="NaN"/>
    <n v="213754.21055820599"/>
    <n v="-113256.79366732189"/>
    <n v="100497.4168908842"/>
    <n v="4973.739304116325"/>
    <n v="3493.11810584248"/>
    <n v="16827.511193785482"/>
    <n v="-5322.2795805060514"/>
    <n v="-441721.52168515557"/>
  </r>
  <r>
    <x v="10"/>
    <x v="22"/>
    <n v="165208.2666162152"/>
    <n v="152932.95239504779"/>
    <n v="12275.31422116738"/>
    <s v="NaN"/>
    <s v="NaN"/>
    <s v="NaN"/>
    <s v="NaN"/>
    <s v="NaN"/>
    <s v="NaN"/>
    <s v="NaN"/>
    <n v="211694.69051748191"/>
    <n v="-112351.6076973645"/>
    <n v="99343.082820117488"/>
    <n v="7188.4009215055021"/>
    <n v="3603.518141543962"/>
    <n v="15771.05009341358"/>
    <n v="-5474.763481534239"/>
    <n v="-441581.39114854322"/>
  </r>
  <r>
    <x v="10"/>
    <x v="23"/>
    <n v="165535.9863707787"/>
    <n v="153248.29291486659"/>
    <n v="12287.693455912011"/>
    <s v="NaN"/>
    <s v="NaN"/>
    <s v="NaN"/>
    <s v="NaN"/>
    <s v="NaN"/>
    <s v="NaN"/>
    <s v="NaN"/>
    <n v="212007.00540812031"/>
    <n v="-111624.56153083321"/>
    <n v="100382.44387728719"/>
    <n v="7301.9582401063717"/>
    <n v="3809.8468977522462"/>
    <n v="16503.57116197241"/>
    <n v="-5470.7150468875434"/>
    <n v="-449266.05214421992"/>
  </r>
  <r>
    <x v="10"/>
    <x v="24"/>
    <n v="165846.25369318161"/>
    <n v="153484.95953716879"/>
    <n v="12361.29415601276"/>
    <s v="NaN"/>
    <s v="NaN"/>
    <s v="NaN"/>
    <s v="NaN"/>
    <s v="NaN"/>
    <s v="NaN"/>
    <s v="NaN"/>
    <n v="208848.90729096381"/>
    <n v="-114615.5006459725"/>
    <n v="94233.406644991293"/>
    <n v="6989.4700718914883"/>
    <n v="3787.773457745634"/>
    <n v="13842.596619407361"/>
    <n v="-5590.5342914705971"/>
    <n v="-415296.61250944342"/>
  </r>
  <r>
    <x v="10"/>
    <x v="25"/>
    <n v="166163.4865532156"/>
    <n v="153702.42129881389"/>
    <n v="12461.06525440169"/>
    <s v="NaN"/>
    <s v="NaN"/>
    <s v="NaN"/>
    <s v="NaN"/>
    <s v="NaN"/>
    <s v="NaN"/>
    <s v="NaN"/>
    <n v="205910.55731556151"/>
    <n v="-116561.3026385086"/>
    <n v="89349.254677052857"/>
    <n v="6214.6992457637007"/>
    <n v="3674.9110226689031"/>
    <n v="15350.099953351621"/>
    <n v="-5639.808948838644"/>
    <n v="-399480.23848336388"/>
  </r>
  <r>
    <x v="10"/>
    <x v="26"/>
    <n v="166508.6542630597"/>
    <n v="154015.2316402494"/>
    <n v="12493.42262281026"/>
    <s v="NaN"/>
    <s v="NaN"/>
    <s v="NaN"/>
    <s v="NaN"/>
    <s v="NaN"/>
    <s v="NaN"/>
    <s v="NaN"/>
    <n v="206709.06888974289"/>
    <n v="-119972.6224802238"/>
    <n v="86736.446409519122"/>
    <n v="8919.5775232292581"/>
    <n v="4456.8553767508802"/>
    <n v="14539.44314666531"/>
    <n v="-5768.8037896478436"/>
    <n v="-399239.56844393088"/>
  </r>
  <r>
    <x v="10"/>
    <x v="27"/>
    <n v="166930.27350294881"/>
    <n v="154356.38334785029"/>
    <n v="12573.890155098499"/>
    <s v="NaN"/>
    <s v="NaN"/>
    <s v="NaN"/>
    <s v="NaN"/>
    <s v="NaN"/>
    <s v="NaN"/>
    <s v="NaN"/>
    <n v="203708.0218801882"/>
    <n v="-129272.56202155301"/>
    <n v="74435.459858635149"/>
    <n v="10334.168543726681"/>
    <n v="4728.6698823617462"/>
    <n v="13524.158119400199"/>
    <n v="-5825.8609735158452"/>
    <n v="-356387.5165789281"/>
  </r>
  <r>
    <x v="10"/>
    <x v="28"/>
    <n v="167308.1413859649"/>
    <n v="154593.8038713249"/>
    <n v="12714.33751463999"/>
    <s v="NaN"/>
    <s v="NaN"/>
    <s v="NaN"/>
    <s v="NaN"/>
    <s v="NaN"/>
    <s v="NaN"/>
    <s v="NaN"/>
    <n v="191719.61155679391"/>
    <n v="-140804.80516561031"/>
    <n v="50914.8063911836"/>
    <n v="13401.16993044194"/>
    <n v="4683.4400658482427"/>
    <n v="12472.58054076008"/>
    <n v="-5858.4879488105162"/>
    <n v="-277249.53292457748"/>
  </r>
  <r>
    <x v="10"/>
    <x v="29"/>
    <n v="167636.73137543659"/>
    <n v="154828.17335033731"/>
    <n v="12808.558025099281"/>
    <s v="NaN"/>
    <s v="NaN"/>
    <s v="NaN"/>
    <s v="NaN"/>
    <s v="NaN"/>
    <s v="NaN"/>
    <s v="NaN"/>
    <n v="187526.18841025041"/>
    <n v="-143257.38429533379"/>
    <n v="44268.804114916617"/>
    <n v="14916.002324793601"/>
    <n v="4927.7290143512573"/>
    <n v="13606.98263133915"/>
    <n v="-6114.911237787288"/>
    <n v="-262550.22510793939"/>
  </r>
  <r>
    <x v="10"/>
    <x v="30"/>
    <n v="167954.306030548"/>
    <n v="155060.74007000061"/>
    <n v="12893.565960547359"/>
    <s v="NaN"/>
    <s v="NaN"/>
    <s v="NaN"/>
    <s v="NaN"/>
    <s v="NaN"/>
    <s v="NaN"/>
    <s v="NaN"/>
    <n v="188368.72317372469"/>
    <n v="-142774.13611092241"/>
    <n v="45594.587062802333"/>
    <n v="16246.625881706501"/>
    <n v="4837.4530169917589"/>
    <n v="12832.6583582932"/>
    <n v="-6522.3734241435404"/>
    <n v="-267626.15328407532"/>
  </r>
  <r>
    <x v="10"/>
    <x v="31"/>
    <n v="168351.8897481731"/>
    <n v="155369.0992652445"/>
    <n v="12982.79048292854"/>
    <s v="NaN"/>
    <s v="NaN"/>
    <s v="NaN"/>
    <s v="NaN"/>
    <s v="NaN"/>
    <s v="NaN"/>
    <s v="NaN"/>
    <n v="188099.03424229601"/>
    <n v="-146408.26879797311"/>
    <n v="41690.765444322817"/>
    <n v="15598.692724409761"/>
    <n v="4651.4305563463304"/>
    <n v="14373.75260298039"/>
    <n v="-6614.4932083829854"/>
    <n v="-255567.20977216971"/>
  </r>
  <r>
    <x v="10"/>
    <x v="32"/>
    <n v="168752.20968230581"/>
    <n v="155684.89487950841"/>
    <n v="13067.314802797309"/>
    <s v="NaN"/>
    <s v="NaN"/>
    <s v="NaN"/>
    <s v="NaN"/>
    <s v="NaN"/>
    <s v="NaN"/>
    <s v="NaN"/>
    <n v="192220.61966371111"/>
    <n v="-144463.95447399339"/>
    <n v="47756.665189717729"/>
    <n v="15818.468369341939"/>
    <n v="4466.9973285517581"/>
    <n v="12099.528429077491"/>
    <n v="-7016.1375282020499"/>
    <n v="-268126.91322447621"/>
  </r>
  <r>
    <x v="10"/>
    <x v="33"/>
    <n v="169103.16288881711"/>
    <n v="156082.0831201777"/>
    <n v="13021.07976863938"/>
    <s v="NaN"/>
    <s v="NaN"/>
    <s v="NaN"/>
    <s v="NaN"/>
    <s v="NaN"/>
    <s v="NaN"/>
    <s v="NaN"/>
    <n v="194306.4716849465"/>
    <n v="-136639.1366378245"/>
    <n v="57667.335047121989"/>
    <n v="13711.18480380525"/>
    <n v="4295.6758808182913"/>
    <n v="9315.0131597487598"/>
    <n v="-7549.5046070828012"/>
    <n v="-283945.58237620129"/>
  </r>
  <r>
    <x v="11"/>
    <x v="0"/>
    <n v="22108.644"/>
    <n v="16105.02"/>
    <n v="6003.6239999999998"/>
    <n v="1.2184131690754081"/>
    <n v="-0.91960325563159817"/>
    <n v="0.29880991344380953"/>
    <s v="NaN"/>
    <s v="NaN"/>
    <n v="0.16319526458209929"/>
    <n v="-9.5923229036328717E-2"/>
    <n v="26937.463"/>
    <n v="-20331.181"/>
    <n v="6606.2819999999992"/>
    <s v="NaN"/>
    <s v="NaN"/>
    <n v="2628.2629999999999"/>
    <n v="-575.88699999999994"/>
    <n v="-31748.412666669548"/>
  </r>
  <r>
    <x v="11"/>
    <x v="1"/>
    <n v="22115.153999999999"/>
    <n v="16107.072"/>
    <n v="6008.0820000000003"/>
    <n v="1.231721063303471"/>
    <n v="-0.74923149981230053"/>
    <n v="0.48248956349116989"/>
    <s v="NaN"/>
    <s v="NaN"/>
    <n v="0.15742389429934869"/>
    <n v="-0.1213205811771544"/>
    <n v="27239.701000000001"/>
    <n v="-16569.37"/>
    <n v="10670.331"/>
    <s v="NaN"/>
    <s v="NaN"/>
    <n v="2535.6379999999999"/>
    <n v="-728.904"/>
    <n v="-45749.238333337496"/>
  </r>
  <r>
    <x v="11"/>
    <x v="2"/>
    <n v="22120.335999999999"/>
    <n v="16108.275"/>
    <n v="6012.0610000000006"/>
    <n v="1.245133392187171"/>
    <n v="-0.84767659044600396"/>
    <n v="0.39745680174116699"/>
    <s v="NaN"/>
    <s v="NaN"/>
    <n v="0.15968637237693051"/>
    <n v="-9.8289089215827963E-2"/>
    <n v="27542.769"/>
    <n v="-18750.891"/>
    <n v="8791.8780000000006"/>
    <s v="NaN"/>
    <s v="NaN"/>
    <n v="2572.2719999999999"/>
    <n v="-590.91999999999996"/>
    <n v="-39501.843333336932"/>
  </r>
  <r>
    <x v="11"/>
    <x v="3"/>
    <n v="22122.665000000001"/>
    <n v="16107.641"/>
    <n v="6015.0240000000003"/>
    <n v="1.2586642251283919"/>
    <n v="-0.89209826212167476"/>
    <n v="0.36656596300671729"/>
    <s v="NaN"/>
    <s v="NaN"/>
    <n v="0.1599158436669901"/>
    <n v="-4.8042867326880151E-2"/>
    <n v="27845.007000000001"/>
    <n v="-19735.591"/>
    <n v="8109.4160000000011"/>
    <s v="NaN"/>
    <s v="NaN"/>
    <n v="2575.8670000000002"/>
    <n v="-288.97899999999998"/>
    <n v="-38119.781333336803"/>
  </r>
  <r>
    <x v="11"/>
    <x v="4"/>
    <n v="22124.977999999999"/>
    <n v="16107.228999999999"/>
    <n v="6017.7489999999998"/>
    <n v="1.2721930842145921"/>
    <n v="-1.0166741408737221"/>
    <n v="0.25551894334087027"/>
    <s v="NaN"/>
    <s v="NaN"/>
    <n v="0.16821024895095241"/>
    <n v="-1.9578915637724341E-2"/>
    <n v="28147.243999999999"/>
    <n v="-22493.893"/>
    <n v="5653.3510000000024"/>
    <s v="NaN"/>
    <s v="NaN"/>
    <n v="2709.4009999999998"/>
    <n v="-117.821"/>
    <n v="-30231.413666669421"/>
  </r>
  <r>
    <x v="11"/>
    <x v="5"/>
    <n v="22126.138999999999"/>
    <n v="16106.477000000001"/>
    <n v="6019.6620000000003"/>
    <n v="1.285786236812487"/>
    <n v="-1.047882235576663"/>
    <n v="0.23790400123582339"/>
    <s v="NaN"/>
    <s v="NaN"/>
    <n v="0.18149990218220899"/>
    <n v="-3.3915525489637131E-2"/>
    <n v="28449.485000000001"/>
    <n v="-23185.588"/>
    <n v="5263.8970000000008"/>
    <s v="NaN"/>
    <s v="NaN"/>
    <n v="2923.3240000000001"/>
    <n v="-204.16"/>
    <n v="-29271.223666669339"/>
  </r>
  <r>
    <x v="11"/>
    <x v="6"/>
    <n v="22126.403999999999"/>
    <n v="16104.861000000001"/>
    <n v="6021.5429999999997"/>
    <n v="1.307754572320021"/>
    <n v="-0.96905055154918085"/>
    <n v="0.33870402077084011"/>
    <s v="NaN"/>
    <s v="NaN"/>
    <n v="0.19212410464144961"/>
    <n v="-6.4332015896922098E-2"/>
    <n v="28935.905999999999"/>
    <n v="-21441.603999999999"/>
    <n v="7494.3019999999997"/>
    <s v="NaN"/>
    <s v="NaN"/>
    <n v="3094.1320000000001"/>
    <n v="-387.37799999999987"/>
    <n v="-37403.872000003394"/>
  </r>
  <r>
    <x v="11"/>
    <x v="7"/>
    <n v="22123.704000000002"/>
    <n v="16101.548000000001"/>
    <n v="6022.1559999999999"/>
    <n v="1.337651190777096"/>
    <n v="-1.084343381198736"/>
    <n v="0.25330780957836008"/>
    <s v="NaN"/>
    <s v="NaN"/>
    <n v="0.18897052631212849"/>
    <n v="-3.1175711821480542E-2"/>
    <n v="29593.798999999999"/>
    <n v="-23989.691999999999"/>
    <n v="5604.1070000000036"/>
    <s v="NaN"/>
    <s v="NaN"/>
    <n v="3042.7179999999998"/>
    <n v="-187.745"/>
    <n v="-31016.626666669501"/>
  </r>
  <r>
    <x v="11"/>
    <x v="8"/>
    <n v="22120.612000000001"/>
    <n v="16098.083000000001"/>
    <n v="6022.5290000000005"/>
    <n v="1.367579477457495"/>
    <n v="-1.136482435476921"/>
    <n v="0.2310970419805746"/>
    <s v="NaN"/>
    <s v="NaN"/>
    <n v="0.18502401807718341"/>
    <n v="-4.2706311584385891E-2"/>
    <n v="30251.695"/>
    <n v="-25139.687000000002"/>
    <n v="5112.0080000000016"/>
    <s v="NaN"/>
    <s v="NaN"/>
    <n v="2978.5320000000002"/>
    <n v="-257.2"/>
    <n v="-28722.246666669282"/>
  </r>
  <r>
    <x v="11"/>
    <x v="9"/>
    <n v="22114.672999999999"/>
    <n v="16092.793"/>
    <n v="6021.88"/>
    <n v="1.3976959550792361"/>
    <n v="-1.153126704609198"/>
    <n v="0.24456925047003869"/>
    <s v="NaN"/>
    <s v="NaN"/>
    <n v="0.18612648531550741"/>
    <n v="-5.2873521225929448E-2"/>
    <n v="30909.589"/>
    <n v="-25501.02"/>
    <n v="5408.5690000000031"/>
    <s v="NaN"/>
    <s v="NaN"/>
    <n v="2995.2950000000001"/>
    <n v="-318.39800000000002"/>
    <n v="-29646.708666669369"/>
  </r>
  <r>
    <x v="11"/>
    <x v="10"/>
    <n v="22105.77"/>
    <n v="16085.555"/>
    <n v="6020.2149999999992"/>
    <n v="1.425982989961444"/>
    <n v="-1.1809575056648109"/>
    <n v="0.24502548429663379"/>
    <s v="NaN"/>
    <s v="NaN"/>
    <n v="0.17539028028563519"/>
    <n v="-5.6992648933634441E-2"/>
    <n v="31522.452000000001"/>
    <n v="-26105.974999999999"/>
    <n v="5416.476999999999"/>
    <s v="NaN"/>
    <s v="NaN"/>
    <n v="2821.25"/>
    <n v="-343.108"/>
    <n v="-28946.936333335962"/>
  </r>
  <r>
    <x v="11"/>
    <x v="11"/>
    <n v="22093.177"/>
    <n v="16075.588"/>
    <n v="6017.5889999999999"/>
    <n v="1.451165850886905"/>
    <n v="-1.149557485553119"/>
    <n v="0.30160836533378588"/>
    <s v="NaN"/>
    <s v="NaN"/>
    <n v="0.1636451494029332"/>
    <n v="-9.0462642098022975E-2"/>
    <n v="32060.864000000001"/>
    <n v="-25397.377"/>
    <n v="6663.4869999999974"/>
    <s v="NaN"/>
    <s v="NaN"/>
    <n v="2630.692"/>
    <n v="-544.36699999999996"/>
    <n v="-32082.6440000029"/>
  </r>
  <r>
    <x v="11"/>
    <x v="12"/>
    <n v="22078.83"/>
    <n v="16065.093000000001"/>
    <n v="6013.7370000000001"/>
    <n v="1.476494678386491"/>
    <n v="-1.164316360966591"/>
    <n v="0.31217831741989971"/>
    <s v="NaN"/>
    <s v="NaN"/>
    <n v="0.15751349836568021"/>
    <n v="-8.7322076106753591E-2"/>
    <n v="32599.275000000001"/>
    <n v="-25706.742999999999"/>
    <n v="6892.5320000000029"/>
    <s v="NaN"/>
    <s v="NaN"/>
    <n v="2530.4690000000001"/>
    <n v="-525.13200000000006"/>
    <n v="-32625.51966666965"/>
  </r>
  <r>
    <x v="11"/>
    <x v="13"/>
    <n v="22062.079000000002"/>
    <n v="16053.058000000001"/>
    <n v="6009.0209999999997"/>
    <n v="1.50202009520499"/>
    <n v="-1.178367686925607"/>
    <n v="0.32365240827938307"/>
    <s v="NaN"/>
    <s v="NaN"/>
    <n v="0.14804699515818109"/>
    <n v="-0.1006210495852819"/>
    <n v="33137.686000000002"/>
    <n v="-25997.241000000002"/>
    <n v="7140.4450000000033"/>
    <s v="NaN"/>
    <s v="NaN"/>
    <n v="2376.607"/>
    <n v="-604.63400000000001"/>
    <n v="-32678.866000002981"/>
  </r>
  <r>
    <x v="11"/>
    <x v="14"/>
    <n v="22044.087"/>
    <n v="16039.901"/>
    <n v="6004.1860000000006"/>
    <n v="1.5238127122252789"/>
    <n v="-1.178831357361273"/>
    <n v="0.34498135486400527"/>
    <s v="NaN"/>
    <s v="NaN"/>
    <n v="0.13557876697618021"/>
    <n v="-8.0189554420865714E-2"/>
    <n v="33591.06"/>
    <n v="-25986.260999999999"/>
    <n v="7604.7990000000063"/>
    <s v="NaN"/>
    <s v="NaN"/>
    <n v="2174.67"/>
    <n v="-481.47300000000013"/>
    <n v="-34092.652000003123"/>
  </r>
  <r>
    <x v="11"/>
    <x v="15"/>
    <n v="22025.68"/>
    <n v="16027.143"/>
    <n v="5998.5370000000003"/>
    <n v="1.540433212504676"/>
    <n v="-1.1416489751962251"/>
    <n v="0.39878423730845097"/>
    <s v="NaN"/>
    <s v="NaN"/>
    <n v="0.13195414803499289"/>
    <n v="-0.1041077182653037"/>
    <n v="33929.089"/>
    <n v="-25145.595000000001"/>
    <n v="8783.4940000000024"/>
    <s v="NaN"/>
    <s v="NaN"/>
    <n v="2114.848"/>
    <n v="-624.49400000000003"/>
    <n v="-37670.776000003432"/>
  </r>
  <r>
    <x v="11"/>
    <x v="16"/>
    <n v="22008.424999999999"/>
    <n v="16015.724"/>
    <n v="5992.701"/>
    <n v="1.556994378289223"/>
    <n v="-1.1117060852832501"/>
    <n v="0.44528829300597372"/>
    <s v="NaN"/>
    <s v="NaN"/>
    <n v="0.11739575432243959"/>
    <n v="-0.17260330525417511"/>
    <n v="34266.993999999999"/>
    <n v="-24466.9"/>
    <n v="9800.0939999999973"/>
    <s v="NaN"/>
    <s v="NaN"/>
    <n v="1880.1780000000001"/>
    <n v="-1034.3599999999999"/>
    <n v="-39035.010666670198"/>
  </r>
  <r>
    <x v="11"/>
    <x v="17"/>
    <n v="21991.575000000001"/>
    <n v="16003.781999999999"/>
    <n v="5987.7929999999997"/>
    <n v="1.573552417232509"/>
    <n v="-1.2370159936248319"/>
    <n v="0.3365364236076771"/>
    <s v="NaN"/>
    <s v="NaN"/>
    <n v="8.2521868893240355E-2"/>
    <n v="-0.17821674864177839"/>
    <n v="34604.896000000001"/>
    <n v="-27203.93"/>
    <n v="7400.9660000000003"/>
    <s v="NaN"/>
    <s v="NaN"/>
    <n v="1320.662"/>
    <n v="-1067.125"/>
    <n v="-28066.511000002549"/>
  </r>
  <r>
    <x v="11"/>
    <x v="18"/>
    <n v="21975.691999999999"/>
    <n v="15992.445"/>
    <n v="5983.2470000000003"/>
    <n v="1.590108106720826"/>
    <n v="-1.158208760843572"/>
    <n v="0.43189934587725393"/>
    <s v="NaN"/>
    <s v="NaN"/>
    <n v="7.2746224858050171E-2"/>
    <n v="-0.18841859612347611"/>
    <n v="34943.726000000002"/>
    <n v="-25452.438999999998"/>
    <n v="9491.2870000000003"/>
    <s v="NaN"/>
    <s v="NaN"/>
    <n v="1163.3900000000001"/>
    <n v="-1127.355"/>
    <n v="-34933.514000003182"/>
  </r>
  <r>
    <x v="11"/>
    <x v="19"/>
    <n v="21959.252"/>
    <n v="15981.473"/>
    <n v="5977.7790000000005"/>
    <n v="1.6057246849756079"/>
    <n v="-0.97752969909904031"/>
    <n v="0.62819498587656808"/>
    <s v="NaN"/>
    <s v="NaN"/>
    <n v="6.9968394027258948E-2"/>
    <n v="-0.23899812957287311"/>
    <n v="35260.512999999999"/>
    <n v="-21465.821"/>
    <n v="13794.691999999999"/>
    <s v="NaN"/>
    <s v="NaN"/>
    <n v="1118.1980000000001"/>
    <n v="-1428.6780000000001"/>
    <n v="-49442.110666671157"/>
  </r>
  <r>
    <x v="11"/>
    <x v="20"/>
    <n v="21943.277999999998"/>
    <n v="15969.883"/>
    <n v="5973.3950000000004"/>
    <n v="1.616425540432018"/>
    <n v="-1.175372066106076"/>
    <n v="0.44105347432594177"/>
    <s v="NaN"/>
    <s v="NaN"/>
    <n v="5.4509854580650337E-2"/>
    <n v="-0.20080657649460651"/>
    <n v="35469.675000000003"/>
    <n v="-25791.516"/>
    <n v="9678.1590000000033"/>
    <s v="NaN"/>
    <s v="NaN"/>
    <n v="870.51600000000008"/>
    <n v="-1199.4970000000001"/>
    <n v="-34280.319333336462"/>
  </r>
  <r>
    <x v="11"/>
    <x v="21"/>
    <n v="21928.207999999999"/>
    <n v="15957.846"/>
    <n v="5970.3620000000001"/>
    <n v="1.6233540378675719"/>
    <n v="-1.1862962992689601"/>
    <n v="0.43705773859861219"/>
    <s v="NaN"/>
    <s v="NaN"/>
    <n v="6.0791224580059249E-2"/>
    <n v="-0.23252794386672029"/>
    <n v="35597.245000000003"/>
    <n v="-26013.351999999999"/>
    <n v="9583.8929999999964"/>
    <s v="NaN"/>
    <s v="NaN"/>
    <n v="970.09700000000009"/>
    <n v="-1388.2760000000001"/>
    <n v="-33607.618000003044"/>
  </r>
  <r>
    <x v="11"/>
    <x v="22"/>
    <n v="21915.603999999999"/>
    <n v="15947.861999999999"/>
    <n v="5967.7420000000002"/>
    <n v="1.630124590679773"/>
    <n v="-1.171814520831824"/>
    <n v="0.45831006984794931"/>
    <s v="NaN"/>
    <s v="NaN"/>
    <n v="8.0739035740339374E-2"/>
    <n v="-0.264290078223891"/>
    <n v="35725.164999999994"/>
    <n v="-25681.023000000001"/>
    <n v="10044.142"/>
    <s v="NaN"/>
    <s v="NaN"/>
    <n v="1287.615"/>
    <n v="-1577.2149999999999"/>
    <n v="-35766.65400000324"/>
  </r>
  <r>
    <x v="11"/>
    <x v="23"/>
    <n v="21904.489000000001"/>
    <n v="15939.049000000001"/>
    <n v="5965.44"/>
    <n v="1.6367756855683779"/>
    <n v="-1.273108083005269"/>
    <n v="0.36366760256310943"/>
    <s v="NaN"/>
    <s v="NaN"/>
    <n v="7.857344563028823E-2"/>
    <n v="-0.26144877829632007"/>
    <n v="35852.735000000001"/>
    <n v="-27886.781999999999"/>
    <n v="7965.9530000000013"/>
    <s v="NaN"/>
    <s v="NaN"/>
    <n v="1252.386"/>
    <n v="-1559.6569999999999"/>
    <n v="-28081.83400000256"/>
  </r>
  <r>
    <x v="11"/>
    <x v="24"/>
    <n v="21894.477999999999"/>
    <n v="15930.832"/>
    <n v="5963.6459999999997"/>
    <n v="1.637168376428066"/>
    <n v="-1.269975881589869"/>
    <n v="0.36719249483819633"/>
    <s v="NaN"/>
    <s v="NaN"/>
    <n v="7.9111624552942378E-2"/>
    <n v="-0.27487043999593541"/>
    <n v="35844.947"/>
    <n v="-27805.458999999999"/>
    <n v="8039.4880000000012"/>
    <s v="NaN"/>
    <s v="NaN"/>
    <n v="1260.3140000000001"/>
    <n v="-1639.23"/>
    <n v="-28088.76400000256"/>
  </r>
  <r>
    <x v="11"/>
    <x v="25"/>
    <n v="21886.746999999999"/>
    <n v="15924.182000000001"/>
    <n v="5962.5649999999996"/>
    <n v="1.617431224475707"/>
    <n v="-1.3172221984381689"/>
    <n v="0.30020902603753802"/>
    <s v="NaN"/>
    <s v="NaN"/>
    <n v="8.0279665228644076E-2"/>
    <n v="-0.27381051611177398"/>
    <n v="35400.307999999997"/>
    <n v="-28829.708999999999"/>
    <n v="6570.5990000000056"/>
    <s v="NaN"/>
    <s v="NaN"/>
    <n v="1278.3879999999999"/>
    <n v="-1632.6130000000001"/>
    <n v="-22793.371333335421"/>
  </r>
  <r>
    <x v="11"/>
    <x v="26"/>
    <n v="21879.946"/>
    <n v="15918.938"/>
    <n v="5961.0079999999998"/>
    <n v="1.5976123524253669"/>
    <n v="-1.3541553987381869"/>
    <n v="0.2434569536871799"/>
    <s v="NaN"/>
    <s v="NaN"/>
    <n v="7.7090632553503249E-2"/>
    <n v="-0.29223262240211728"/>
    <n v="34955.671999999999"/>
    <n v="-29628.847000000002"/>
    <n v="5326.8249999999971"/>
    <s v="NaN"/>
    <s v="NaN"/>
    <n v="1227.201"/>
    <n v="-1742.001"/>
    <n v="-17644.091666668261"/>
  </r>
  <r>
    <x v="11"/>
    <x v="27"/>
    <n v="21873.307000000001"/>
    <n v="15913.616"/>
    <n v="5959.6909999999998"/>
    <n v="1.5777694246233549"/>
    <n v="-1.382677251318239"/>
    <n v="0.19509217330511591"/>
    <s v="NaN"/>
    <s v="NaN"/>
    <n v="6.627777118663665E-2"/>
    <n v="-0.2895175269993025"/>
    <n v="34511.035000000003"/>
    <n v="-30243.723999999998"/>
    <n v="4267.3110000000052"/>
    <s v="NaN"/>
    <s v="NaN"/>
    <n v="1054.7190000000001"/>
    <n v="-1725.4349999999999"/>
    <n v="-13187.51500000122"/>
  </r>
  <r>
    <x v="11"/>
    <x v="28"/>
    <n v="21866.080999999998"/>
    <n v="15907.684999999999"/>
    <n v="5958.3959999999997"/>
    <n v="1.55795627026169"/>
    <n v="-1.4752013403773641"/>
    <n v="8.2754929884326076E-2"/>
    <s v="NaN"/>
    <s v="NaN"/>
    <n v="4.6946302997576329E-2"/>
    <n v="-0.27801072637669599"/>
    <n v="34066.397999999986"/>
    <n v="-32256.871999999999"/>
    <n v="1809.5259999999939"/>
    <s v="NaN"/>
    <s v="NaN"/>
    <n v="746.80700000000002"/>
    <n v="-1656.498"/>
    <n v="-3299.3950000002792"/>
  </r>
  <r>
    <x v="11"/>
    <x v="29"/>
    <n v="21860.084999999999"/>
    <n v="15902.21"/>
    <n v="5957.875"/>
    <n v="1.545081137607653"/>
    <n v="-1.382050161287113"/>
    <n v="0.1630309763205402"/>
    <s v="NaN"/>
    <s v="NaN"/>
    <n v="3.7994467435658312E-2"/>
    <n v="-0.3097335878983698"/>
    <n v="33775.605000000003"/>
    <n v="-30211.734"/>
    <n v="3563.870999999996"/>
    <s v="NaN"/>
    <s v="NaN"/>
    <n v="604.19599999999991"/>
    <n v="-1845.354"/>
    <n v="-8516.6143333340897"/>
  </r>
  <r>
    <x v="11"/>
    <x v="30"/>
    <n v="21853.597000000002"/>
    <n v="15896.499"/>
    <n v="5957.098"/>
    <n v="1.545539894416466"/>
    <n v="-1.311797687126746"/>
    <n v="0.23374220728971981"/>
    <s v="NaN"/>
    <s v="NaN"/>
    <n v="2.5650805249633899E-2"/>
    <n v="-0.37478819384874978"/>
    <n v="33775.606"/>
    <n v="-28667.498"/>
    <n v="5108.1080000000002"/>
    <s v="NaN"/>
    <s v="NaN"/>
    <n v="407.75799999999998"/>
    <n v="-2232.65"/>
    <n v="-12038.458666667761"/>
  </r>
  <r>
    <x v="11"/>
    <x v="31"/>
    <n v="21847.304"/>
    <n v="15891.15"/>
    <n v="5956.1540000000005"/>
    <n v="1.545985078982743"/>
    <n v="-1.4443195370925399"/>
    <n v="0.10166554189020301"/>
    <s v="NaN"/>
    <s v="NaN"/>
    <n v="-2.0877658319253169E-3"/>
    <n v="-0.37934059461860797"/>
    <n v="33775.606"/>
    <n v="-31554.488000000001"/>
    <n v="2221.117999999999"/>
    <s v="NaN"/>
    <s v="NaN"/>
    <n v="-33.177"/>
    <n v="-2259.4110000000001"/>
    <n v="262.0566666666964"/>
  </r>
  <r>
    <x v="11"/>
    <x v="32"/>
    <n v="21840.690999999999"/>
    <n v="15885.45"/>
    <n v="5955.241"/>
    <n v="1.5464531776947901"/>
    <n v="-1.423919279843298"/>
    <n v="0.12253389785149189"/>
    <s v="NaN"/>
    <s v="NaN"/>
    <n v="-1.0431306635946731E-2"/>
    <n v="-0.43740144185600549"/>
    <n v="33775.606"/>
    <n v="-31099.381000000001"/>
    <n v="2676.224999999999"/>
    <s v="NaN"/>
    <s v="NaN"/>
    <n v="-165.70599999999999"/>
    <n v="-2604.8310000000001"/>
    <n v="345.81066666670438"/>
  </r>
  <r>
    <x v="11"/>
    <x v="33"/>
    <n v="21834.684000000001"/>
    <n v="15880.232"/>
    <n v="5954.4520000000002"/>
    <n v="1.5468786266840411"/>
    <n v="-1.3818443628494921"/>
    <n v="0.16503426383454861"/>
    <s v="NaN"/>
    <s v="NaN"/>
    <n v="-6.3672243579312943E-3"/>
    <n v="-0.53110109880808509"/>
    <n v="33775.606"/>
    <n v="-30172.134999999998"/>
    <n v="3603.4709999999982"/>
    <s v="NaN"/>
    <s v="NaN"/>
    <n v="-101.113"/>
    <n v="-3162.4160000000002"/>
    <n v="-1246.454000000105"/>
  </r>
  <r>
    <x v="12"/>
    <x v="0"/>
    <n v="23624.148786324098"/>
    <n v="23624.148786324098"/>
    <s v="NaN"/>
    <n v="1.4926911437999959"/>
    <n v="-1.0470264732772541"/>
    <n v="0.44566467052274161"/>
    <n v="1.2671275653100731E-2"/>
    <n v="4.1783902728369737E-2"/>
    <n v="5.589179680347979E-2"/>
    <s v="NaN"/>
    <n v="35263.557673159397"/>
    <n v="-24735.10918792204"/>
    <n v="10528.44848523735"/>
    <n v="299.34810134137763"/>
    <n v="987.10913492830014"/>
    <n v="1320.3961236204"/>
    <s v="NaN"/>
    <n v="-48162.773432138303"/>
  </r>
  <r>
    <x v="12"/>
    <x v="1"/>
    <n v="23691.975380590698"/>
    <n v="23691.975380590698"/>
    <s v="NaN"/>
    <n v="1.5042914228161799"/>
    <n v="-1.1108512346855699"/>
    <n v="0.39344018813061032"/>
    <n v="1.334556389238096E-2"/>
    <n v="4.2869473712990033E-2"/>
    <n v="5.5667711923716202E-2"/>
    <s v="NaN"/>
    <n v="35639.635354594699"/>
    <n v="-26318.260103669301"/>
    <n v="9321.3752509253936"/>
    <n v="316.18277117839"/>
    <n v="1015.66251578704"/>
    <n v="1318.8780603905"/>
    <s v="NaN"/>
    <n v="-43897.694860368843"/>
  </r>
  <r>
    <x v="12"/>
    <x v="2"/>
    <n v="23759.9767247583"/>
    <n v="23759.9767247583"/>
    <s v="NaN"/>
    <n v="1.515812613580229"/>
    <n v="-1.1203524561869951"/>
    <n v="0.39546015739323492"/>
    <n v="1.3993204567731E-2"/>
    <n v="4.3940801355869197E-2"/>
    <n v="5.5510197359594282E-2"/>
    <s v="NaN"/>
    <n v="36015.6724177613"/>
    <n v="-26619.54828252878"/>
    <n v="9396.124135232516"/>
    <n v="332.47821483407"/>
    <n v="1044.0324174826801"/>
    <n v="1318.9209972507001"/>
    <s v="NaN"/>
    <n v="-44335.704470937228"/>
  </r>
  <r>
    <x v="12"/>
    <x v="3"/>
    <n v="23828.218317924999"/>
    <n v="23828.218317924999"/>
    <s v="NaN"/>
    <n v="1.527168295019083"/>
    <n v="-1.0804003211258799"/>
    <n v="0.44676797389320227"/>
    <n v="1.462392112968036E-2"/>
    <n v="4.4670851587279403E-2"/>
    <n v="5.536057779941362E-2"/>
    <s v="NaN"/>
    <n v="36389.699541927999"/>
    <n v="-25744.014722543761"/>
    <n v="10645.68481938424"/>
    <n v="348.46198534214"/>
    <n v="1064.42680406932"/>
    <n v="1319.1439340109"/>
    <s v="NaN"/>
    <n v="-49051.630990295329"/>
  </r>
  <r>
    <x v="12"/>
    <x v="4"/>
    <n v="23896.9061620916"/>
    <n v="23896.9061620916"/>
    <s v="NaN"/>
    <n v="1.538507659557075"/>
    <n v="-1.0893941708316579"/>
    <n v="0.4491134887254169"/>
    <n v="1.524934047193055E-2"/>
    <n v="4.5567944877457307E-2"/>
    <n v="5.5200487541088583E-2"/>
    <s v="NaN"/>
    <n v="36765.573170094598"/>
    <n v="-26033.150273893731"/>
    <n v="10732.422896200869"/>
    <n v="364.41205829150999"/>
    <n v="1088.9329027359599"/>
    <n v="1319.1208708710999"/>
    <s v="NaN"/>
    <n v="-49517.925336369117"/>
  </r>
  <r>
    <x v="12"/>
    <x v="5"/>
    <n v="23965.222756159299"/>
    <n v="23965.222756159299"/>
    <s v="NaN"/>
    <n v="1.549749966276275"/>
    <n v="-1.0805531595107341"/>
    <n v="0.46919680676554087"/>
    <n v="1.5868037364182401E-2"/>
    <n v="4.6531597367522833E-2"/>
    <n v="5.5027896926281093E-2"/>
    <s v="NaN"/>
    <n v="37140.103158161299"/>
    <n v="-25895.697167546481"/>
    <n v="11244.40599061482"/>
    <n v="380.28105013569001"/>
    <n v="1115.1400961126001"/>
    <n v="1318.7558076413"/>
    <s v="NaN"/>
    <n v="-51548.137463187522"/>
  </r>
  <r>
    <x v="12"/>
    <x v="6"/>
    <n v="24033.733350425999"/>
    <n v="24033.733350425999"/>
    <s v="NaN"/>
    <n v="1.560842668322401"/>
    <n v="-1.016795135824077"/>
    <n v="0.54404753249832405"/>
    <n v="1.648279300117883E-2"/>
    <n v="4.6682989780250823E-2"/>
    <n v="5.4879353331013861E-2"/>
    <s v="NaN"/>
    <n v="37512.876492427997"/>
    <n v="-24437.38316640606"/>
    <n v="13075.49332602194"/>
    <n v="396.14305186059988"/>
    <n v="1121.9665283792101"/>
    <n v="1318.9557444013999"/>
    <s v="NaN"/>
    <n v="-58346.048385770191"/>
  </r>
  <r>
    <x v="12"/>
    <x v="7"/>
    <n v="24101.528694593599"/>
    <n v="24101.528694593599"/>
    <s v="NaN"/>
    <n v="1.571928808444963"/>
    <n v="-1.03471266864816"/>
    <n v="0.53721613979680338"/>
    <n v="1.7089358103064719E-2"/>
    <n v="4.681318343674154E-2"/>
    <n v="5.4721287515569303E-2"/>
    <s v="NaN"/>
    <n v="37885.887282594602"/>
    <n v="-24938.157074083141"/>
    <n v="12947.730208511461"/>
    <n v="411.8796546932"/>
    <n v="1128.2692838859"/>
    <n v="1318.8666812616"/>
    <s v="NaN"/>
    <n v="-57958.068037296543"/>
  </r>
  <r>
    <x v="12"/>
    <x v="8"/>
    <n v="24170.332395760201"/>
    <n v="24170.332395760201"/>
    <s v="NaN"/>
    <n v="1.5829248794059809"/>
    <n v="-1.034779993568874"/>
    <n v="0.54814488583710763"/>
    <n v="1.768980011037834E-2"/>
    <n v="4.6736787371226003E-2"/>
    <n v="5.4595840736276977E-2"/>
    <s v="NaN"/>
    <n v="38259.820492761202"/>
    <n v="-25010.97640104228"/>
    <n v="13248.84409171892"/>
    <n v="427.56834868240003"/>
    <n v="1129.6436858725001"/>
    <n v="1319.5996180218001"/>
    <s v="NaN"/>
    <n v="-59127.404395755977"/>
  </r>
  <r>
    <x v="12"/>
    <x v="9"/>
    <n v="24239.149096927998"/>
    <n v="24239.149096927998"/>
    <s v="NaN"/>
    <n v="1.593851791514592"/>
    <n v="-1.7571710369105491"/>
    <n v="-0.16331924539595641"/>
    <n v="0.76185109487555436"/>
    <n v="4.6533945619079191E-2"/>
    <n v="5.4465466159838008E-2"/>
    <s v="NaN"/>
    <n v="38633.611212928001"/>
    <n v="-42592.330752478359"/>
    <n v="-3958.7195395503591"/>
    <n v="18466.6222783464"/>
    <n v="1127.9432459292"/>
    <n v="1320.1965548820001"/>
    <s v="NaN"/>
    <n v="-62172.155978565541"/>
  </r>
  <r>
    <x v="12"/>
    <x v="10"/>
    <n v="24308.102047994598"/>
    <n v="24308.102047994598"/>
    <s v="NaN"/>
    <n v="1.604754003293835"/>
    <n v="-1.1653973210681301"/>
    <n v="0.43935668222570479"/>
    <n v="-5.1692937067534847E-2"/>
    <n v="4.6568365794242991E-2"/>
    <n v="5.4292329736248479E-2"/>
    <s v="NaN"/>
    <n v="39008.524073994398"/>
    <n v="-28328.597006983629"/>
    <n v="10679.927067010771"/>
    <n v="-1256.5571893982001"/>
    <n v="1131.9885879348001"/>
    <n v="1319.7434916520999"/>
    <s v="NaN"/>
    <n v="-43542.040509735343"/>
  </r>
  <r>
    <x v="12"/>
    <x v="11"/>
    <n v="24377.777698232199"/>
    <n v="24377.777698232199"/>
    <s v="NaN"/>
    <n v="1.612854667023738"/>
    <n v="-1.049214681604401"/>
    <n v="0.5636399854193368"/>
    <n v="-4.4264179144584227E-2"/>
    <n v="4.5520960929997807E-2"/>
    <n v="5.3928805356512677E-2"/>
    <s v="NaN"/>
    <n v="39317.812532260999"/>
    <n v="-25577.522265873569"/>
    <n v="13740.29026638743"/>
    <n v="-1079.0623191814"/>
    <n v="1109.6998661614"/>
    <n v="1314.6644285123"/>
    <s v="NaN"/>
    <n v="-55313.838220230697"/>
  </r>
  <r>
    <x v="12"/>
    <x v="12"/>
    <n v="24447.806849418801"/>
    <n v="24447.806849418801"/>
    <s v="NaN"/>
    <n v="1.6210933670056451"/>
    <n v="-0.95145978802723186"/>
    <n v="0.66963357897841336"/>
    <n v="-3.7521231836094418E-2"/>
    <n v="4.438146315132125E-2"/>
    <n v="5.359717431274006E-2"/>
    <s v="NaN"/>
    <n v="39632.177521427999"/>
    <n v="-23261.10512267872"/>
    <n v="16371.07239874928"/>
    <n v="-917.31182868109988"/>
    <n v="1085.0294388181001"/>
    <n v="1310.3333652725"/>
    <s v="NaN"/>
    <n v="-65446.785705254813"/>
  </r>
  <r>
    <x v="12"/>
    <x v="13"/>
    <n v="24517.774000605001"/>
    <n v="24517.774000605001"/>
    <s v="NaN"/>
    <n v="1.629542290935879"/>
    <n v="-0.91387320980261677"/>
    <n v="0.71566908113326178"/>
    <n v="-3.138847824854777E-2"/>
    <n v="4.3328797500478057E-2"/>
    <n v="5.3276137629805542E-2"/>
    <s v="NaN"/>
    <n v="39952.749613593987"/>
    <n v="-22406.136823148041"/>
    <n v="17546.612790445961"/>
    <n v="-769.57561592080003"/>
    <n v="1062.3256648347001"/>
    <n v="1306.2123020327001"/>
    <s v="NaN"/>
    <n v="-70200.442185112435"/>
  </r>
  <r>
    <x v="12"/>
    <x v="14"/>
    <n v="24588.002901792999"/>
    <n v="24588.002901792999"/>
    <s v="NaN"/>
    <n v="1.6380872815345211"/>
    <n v="-0.92366947042524106"/>
    <n v="0.7144178111092796"/>
    <n v="-2.5805046015755579E-2"/>
    <n v="4.209643072825249E-2"/>
    <n v="5.2885394722646487E-2"/>
    <s v="NaN"/>
    <n v="40277.294831760999"/>
    <n v="-22711.187619113429"/>
    <n v="17566.10721264757"/>
    <n v="-634.49454631629999"/>
    <n v="1035.0671609014"/>
    <n v="1300.3462389029"/>
    <s v="NaN"/>
    <n v="-70645.762242503522"/>
  </r>
  <r>
    <x v="12"/>
    <x v="15"/>
    <n v="24658.53855288"/>
    <n v="24658.53855288"/>
    <s v="NaN"/>
    <n v="1.6463736906332771"/>
    <n v="-0.92852041469466651"/>
    <n v="0.7178532759386107"/>
    <n v="-2.0718841587971149E-2"/>
    <n v="4.077891028179189E-2"/>
    <n v="5.2448492553178842E-2"/>
    <s v="NaN"/>
    <n v="40597.169122927997"/>
    <n v="-22895.956442884559"/>
    <n v="17701.212680043442"/>
    <n v="-510.89635406800011"/>
    <n v="1005.548331328"/>
    <n v="1293.303175663"/>
    <s v="NaN"/>
    <n v="-71460.282054216761"/>
  </r>
  <r>
    <x v="12"/>
    <x v="16"/>
    <n v="24728.847754077"/>
    <n v="24728.847754077"/>
    <s v="NaN"/>
    <n v="1.6548024922983871"/>
    <n v="-0.9270220619464048"/>
    <n v="0.72778043035198248"/>
    <n v="-1.608636874669649E-2"/>
    <n v="3.9686428408816518E-2"/>
    <n v="5.1885559945333989E-2"/>
    <s v="NaN"/>
    <n v="40921.358895113997"/>
    <n v="-22924.187434543179"/>
    <n v="17997.171460570811"/>
    <n v="-397.79736365299999"/>
    <n v="981.39964602470002"/>
    <n v="1283.0701125231999"/>
    <s v="NaN"/>
    <n v="-72834.094136714237"/>
  </r>
  <r>
    <x v="12"/>
    <x v="17"/>
    <n v="24792.548455264001"/>
    <n v="24792.548455264001"/>
    <s v="NaN"/>
    <n v="1.6627975209022141"/>
    <n v="-0.93258314210359772"/>
    <n v="0.73021437879861639"/>
    <n v="-1.182458076604688E-2"/>
    <n v="3.9624324785482778E-2"/>
    <n v="5.1233379721950592E-2"/>
    <s v="NaN"/>
    <n v="41224.988108261001"/>
    <n v="-23121.112739165801"/>
    <n v="18103.8753690952"/>
    <n v="-293.16149160539999"/>
    <n v="982.3879922512001"/>
    <n v="1270.2060492834"/>
    <s v="NaN"/>
    <n v="-73565.462369762812"/>
  </r>
  <r>
    <x v="12"/>
    <x v="18"/>
    <n v="24856.309656451998"/>
    <n v="24856.309656451998"/>
    <s v="NaN"/>
    <n v="1.6550465202596809"/>
    <n v="-0.90547734303297911"/>
    <n v="0.74956917722670224"/>
    <n v="-8.2477355581336495E-3"/>
    <n v="3.9633150651999009E-2"/>
    <n v="5.0545394851784893E-2"/>
    <s v="NaN"/>
    <n v="41138.348803408"/>
    <n v="-22506.825225329139"/>
    <n v="18631.523578078861"/>
    <n v="-205.00826899750001"/>
    <n v="985.13386526689999"/>
    <n v="1256.3719861436"/>
    <s v="NaN"/>
    <n v="-75782.744255143713"/>
  </r>
  <r>
    <x v="12"/>
    <x v="19"/>
    <n v="24921.011373730002"/>
    <n v="24921.011373730002"/>
    <s v="NaN"/>
    <n v="1.639206725045115"/>
    <n v="-1.1830586376751591"/>
    <n v="0.45614808736995549"/>
    <n v="0.19137259723824279"/>
    <n v="3.9294180453818113E-2"/>
    <n v="4.9267691970899002E-2"/>
    <s v="NaN"/>
    <n v="40850.689438743997"/>
    <n v="-29483.017765292159"/>
    <n v="11367.67167345184"/>
    <n v="4769.1986723945001"/>
    <n v="979.250718011"/>
    <n v="1227.8007119642"/>
    <s v="NaN"/>
    <n v="-67261.046511351786"/>
  </r>
  <r>
    <x v="12"/>
    <x v="20"/>
    <n v="24984.638590099999"/>
    <n v="24984.638590099999"/>
    <s v="NaN"/>
    <n v="1.642703990616609"/>
    <n v="-0.98797887982771382"/>
    <n v="0.65472511078889528"/>
    <n v="-2.0679157033411069E-2"/>
    <n v="3.8998716885185893E-2"/>
    <n v="4.7783498387203693E-2"/>
    <s v="NaN"/>
    <n v="41042.365516070997"/>
    <n v="-24684.295247147271"/>
    <n v="16358.07026892373"/>
    <n v="-516.66126482769994"/>
    <n v="974.36884685399991"/>
    <n v="1193.8534377749099"/>
    <s v="NaN"/>
    <n v="-66035.314725330769"/>
  </r>
  <r>
    <x v="12"/>
    <x v="21"/>
    <n v="25048.223307379001"/>
    <n v="25048.223307379001"/>
    <s v="NaN"/>
    <n v="1.6102172075619909"/>
    <n v="-0.96290561135564556"/>
    <n v="0.64731159620634593"/>
    <n v="-1.5710337081914851E-2"/>
    <n v="3.9173707409780129E-2"/>
    <n v="4.8734401179503561E-2"/>
    <s v="NaN"/>
    <n v="40333.080188397013"/>
    <n v="-24119.074777164511"/>
    <n v="16214.0054112325"/>
    <n v="-393.51603146200011"/>
    <n v="981.23177097810003"/>
    <n v="1220.7101634956"/>
    <s v="NaN"/>
    <n v="-66082.248152234737"/>
  </r>
  <r>
    <x v="12"/>
    <x v="22"/>
    <n v="25111.388024757998"/>
    <n v="25111.388024757998"/>
    <s v="NaN"/>
    <n v="1.596674437358562"/>
    <n v="-0.92200574754545406"/>
    <n v="0.67466868981310768"/>
    <n v="-2.5462555082988569E-2"/>
    <n v="3.9384823962184429E-2"/>
    <n v="4.9644961404649968E-2"/>
    <s v="NaN"/>
    <n v="40094.711345723001"/>
    <n v="-23152.844087670961"/>
    <n v="16941.86725805204"/>
    <n v="-639.40010079069998"/>
    <n v="989.00759680119995"/>
    <n v="1246.6538893063"/>
    <s v="NaN"/>
    <n v="-67973.138359025266"/>
  </r>
  <r>
    <x v="12"/>
    <x v="23"/>
    <n v="25176.021991037"/>
    <n v="25176.021991037"/>
    <s v="NaN"/>
    <n v="1.608800932946423"/>
    <n v="-0.91157725090620667"/>
    <n v="0.69722368204021679"/>
    <n v="-1.8795509184686289E-2"/>
    <n v="3.9161673185911031E-2"/>
    <n v="5.038697597136349E-2"/>
    <s v="NaN"/>
    <n v="40503.20766706"/>
    <n v="-22949.888915343709"/>
    <n v="17553.318751716291"/>
    <n v="-473.19615256639997"/>
    <n v="985.93514533430005"/>
    <n v="1268.5436151168999"/>
    <s v="NaN"/>
    <n v="-70893.538318543768"/>
  </r>
  <r>
    <x v="12"/>
    <x v="24"/>
    <n v="25241.213458417002"/>
    <n v="25241.213458417002"/>
    <s v="NaN"/>
    <n v="1.578314566889506"/>
    <n v="-0.96039596202982425"/>
    <n v="0.6179186048596822"/>
    <n v="-3.0633067148471881E-2"/>
    <n v="3.8977073086014023E-2"/>
    <n v="5.0530389239756848E-2"/>
    <s v="NaN"/>
    <n v="39838.574887387003"/>
    <n v="-24241.559482196539"/>
    <n v="15597.015405190459"/>
    <n v="-773.21578678060007"/>
    <n v="983.82862174839988"/>
    <n v="1275.4483409376001"/>
    <s v="NaN"/>
    <n v="-62637.94746402387"/>
  </r>
  <r>
    <x v="12"/>
    <x v="25"/>
    <n v="25306.276675687001"/>
    <n v="25306.276675687001"/>
    <s v="NaN"/>
    <n v="1.561161470690412"/>
    <n v="-0.98462822828008489"/>
    <n v="0.57653324241032755"/>
    <n v="-2.4194436052544201E-2"/>
    <n v="3.8793484608290317E-2"/>
    <n v="5.0663797095844169E-2"/>
    <s v="NaN"/>
    <n v="39507.184112714"/>
    <n v="-24917.274367547328"/>
    <n v="14589.909745166669"/>
    <n v="-612.27109275789996"/>
    <n v="981.71865471139995"/>
    <n v="1282.1120667483001"/>
    <s v="NaN"/>
    <n v="-59552.05437085648"/>
  </r>
  <r>
    <x v="12"/>
    <x v="26"/>
    <n v="25372.093096065"/>
    <n v="25372.093096065"/>
    <s v="NaN"/>
    <n v="1.5197266147517849"/>
    <n v="-1.0467750498047581"/>
    <n v="0.47295156494702711"/>
    <n v="6.4409945037189427E-3"/>
    <n v="3.8725197096879778E-2"/>
    <n v="5.0723477471336278E-2"/>
    <s v="NaN"/>
    <n v="38558.645150049997"/>
    <n v="-26558.8740142844"/>
    <n v="11999.771135765601"/>
    <n v="163.4215121796"/>
    <n v="982.53930590549987"/>
    <n v="1286.9607925589"/>
    <s v="NaN"/>
    <n v="-52919.873403506703"/>
  </r>
  <r>
    <x v="12"/>
    <x v="27"/>
    <n v="25438.468767343998"/>
    <n v="25438.468767343998"/>
    <s v="NaN"/>
    <n v="1.4823665577616909"/>
    <n v="-1.1285726028937131"/>
    <n v="0.35379395486797788"/>
    <n v="4.6507468785843269E-2"/>
    <n v="3.8661100380032183E-2"/>
    <n v="5.0714118454948831E-2"/>
    <s v="NaN"/>
    <n v="37709.135381376"/>
    <n v="-28709.15891039183"/>
    <n v="8999.9764709841693"/>
    <n v="1183.0787921568999"/>
    <n v="983.47919452859992"/>
    <n v="1290.0895183795999"/>
    <s v="NaN"/>
    <n v="-45674.287912184802"/>
  </r>
  <r>
    <x v="12"/>
    <x v="28"/>
    <n v="25505.586437724"/>
    <n v="25505.586437724"/>
    <s v="NaN"/>
    <n v="1.5214534400317761"/>
    <n v="-1.194954783456122"/>
    <n v="0.32649865657565402"/>
    <n v="0.10371073938133479"/>
    <n v="3.8581707131275497E-2"/>
    <n v="5.0708508402589489E-2"/>
    <s v="NaN"/>
    <n v="38805.562225702997"/>
    <n v="-30478.022518611891"/>
    <n v="8327.5397070911058"/>
    <n v="2645.2032278109"/>
    <n v="984.04906615169989"/>
    <n v="1293.3502441902999"/>
    <s v="NaN"/>
    <n v="-48583.854899232443"/>
  </r>
  <r>
    <x v="12"/>
    <x v="29"/>
    <n v="25576.532359002998"/>
    <n v="25576.532359002998"/>
    <s v="NaN"/>
    <n v="1.552824727627665"/>
    <n v="-1.244597412301683"/>
    <n v="0.30822731532598191"/>
    <n v="0.13210273762010899"/>
    <n v="3.8293937377755577E-2"/>
    <n v="5.060298838928888E-2"/>
    <s v="NaN"/>
    <n v="39715.871894028998"/>
    <n v="-31832.485989665402"/>
    <n v="7883.3859043635966"/>
    <n v="3378.7299434535998"/>
    <n v="979.42612849579996"/>
    <n v="1294.2489700009"/>
    <s v="NaN"/>
    <n v="-49631.233469822131"/>
  </r>
  <r>
    <x v="12"/>
    <x v="30"/>
    <n v="25647.365530372001"/>
    <n v="25647.365530372001"/>
    <s v="NaN"/>
    <n v="1.547807091584358"/>
    <n v="-1.2475032948515521"/>
    <n v="0.30030379673280588"/>
    <n v="0.16303203507738409"/>
    <n v="3.7998270187041883E-2"/>
    <n v="5.0480143634573968E-2"/>
    <s v="NaN"/>
    <n v="39697.174248366013"/>
    <n v="-31995.1730034012"/>
    <n v="7702.0012449648057"/>
    <n v="4181.3421967901004"/>
    <n v="974.55552500889996"/>
    <n v="1294.6826958216"/>
    <s v="NaN"/>
    <n v="-51892.799429484548"/>
  </r>
  <r>
    <x v="12"/>
    <x v="31"/>
    <n v="25718.224700651001"/>
    <n v="25718.224700651001"/>
    <s v="NaN"/>
    <n v="1.5435973988005129"/>
    <n v="-1.298340795654527"/>
    <n v="0.24525660314598591"/>
    <n v="0.16695234171451631"/>
    <n v="3.7762954835226882E-2"/>
    <n v="5.030061120818944E-2"/>
    <s v="NaN"/>
    <n v="39698.584749692003"/>
    <n v="-33391.020320665142"/>
    <n v="6307.5644290268538"/>
    <n v="4293.7178385138004"/>
    <n v="971.19615781289997"/>
    <n v="1293.6424216323001"/>
    <s v="NaN"/>
    <n v="-47175.776438952424"/>
  </r>
  <r>
    <x v="12"/>
    <x v="32"/>
    <n v="25789.34387203"/>
    <n v="25789.34387203"/>
    <s v="NaN"/>
    <n v="1.539396521602665"/>
    <n v="-1.2719802445942909"/>
    <n v="0.26741627700837439"/>
    <n v="0.16972511833230131"/>
    <n v="3.801452845643221E-2"/>
    <n v="5.0101978315324737E-2"/>
    <s v="NaN"/>
    <n v="39700.026251017996"/>
    <n v="-32803.535926270997"/>
    <n v="6896.4903247469992"/>
    <n v="4377.0994403926998"/>
    <n v="980.36974649600006"/>
    <n v="1292.0971474429"/>
    <s v="NaN"/>
    <n v="-49668.874416626051"/>
  </r>
  <r>
    <x v="12"/>
    <x v="33"/>
    <n v="25860.262252308999"/>
    <n v="25860.262252308999"/>
    <s v="NaN"/>
    <n v="1.5345577960951149"/>
    <n v="-1.2484896700954851"/>
    <n v="0.28606812599963011"/>
    <n v="0.16794724278901349"/>
    <n v="3.7440295793893207E-2"/>
    <n v="5.0099487028516902E-2"/>
    <s v="NaN"/>
    <n v="39684.067048345001"/>
    <n v="-32286.270287967989"/>
    <n v="7397.7967603770076"/>
    <n v="4343.1597430760994"/>
    <n v="968.21586803410003"/>
    <n v="1295.5858732636"/>
    <s v="NaN"/>
    <n v="-51350.780230757628"/>
  </r>
  <r>
    <x v="13"/>
    <x v="0"/>
    <n v="3153.410547640337"/>
    <n v="2713.9187549615958"/>
    <n v="439.49179267874138"/>
    <n v="3.7527640252120911"/>
    <n v="-2.6186078877003349"/>
    <n v="1.134156137511755"/>
    <n v="0.21374390130842211"/>
    <n v="5.9496867899939652E-2"/>
    <n v="1.7329606922021391E-2"/>
    <n v="-1.303703335070324"/>
    <n v="11834.00565990902"/>
    <n v="-8257.5457332084225"/>
    <n v="3576.4599267005942"/>
    <n v="674.02227287977371"/>
    <n v="187.6180507872335"/>
    <n v="47.031145241786128"/>
    <n v="-572.96691585131043"/>
    <n v="-14344.603092447591"/>
  </r>
  <r>
    <x v="13"/>
    <x v="1"/>
    <n v="3179.3392948932769"/>
    <n v="2734.3782947857339"/>
    <n v="444.96100010754247"/>
    <n v="3.795906799111628"/>
    <n v="-2.6368858256250718"/>
    <n v="1.1590209734865551"/>
    <n v="0.2126173912619074"/>
    <n v="5.6207975023592552E-2"/>
    <n v="3.2607128337118513E-2"/>
    <n v="-1.2569435148550721"/>
    <n v="12068.475646168161"/>
    <n v="-8383.5547215568931"/>
    <n v="3684.9209246112641"/>
    <n v="675.98282681668059"/>
    <n v="178.7042236788877"/>
    <n v="89.160223980309695"/>
    <n v="-559.29084344860257"/>
    <n v="-14921.416970676"/>
  </r>
  <r>
    <x v="13"/>
    <x v="2"/>
    <n v="3205.318266218987"/>
    <n v="2755.5768512479549"/>
    <n v="449.74141497103187"/>
    <n v="3.8361605531066929"/>
    <n v="-2.676190015508769"/>
    <n v="1.159970537597923"/>
    <n v="0.21731448004106579"/>
    <n v="5.7523821627388137E-2"/>
    <n v="4.7820134048481497E-2"/>
    <n v="-1.2068973622377639"/>
    <n v="12296.115493021611"/>
    <n v="-8578.040740583132"/>
    <n v="3718.0747524384819"/>
    <n v="696.56207238950958"/>
    <n v="184.38215620499"/>
    <n v="131.77205440756981"/>
    <n v="-542.79172741761795"/>
    <n v="-15355.997462752161"/>
  </r>
  <r>
    <x v="13"/>
    <x v="3"/>
    <n v="3232.4451740278678"/>
    <n v="2778.6804679808129"/>
    <n v="453.76470604705548"/>
    <n v="3.874562768258305"/>
    <n v="-2.7180412034552779"/>
    <n v="1.1565215648030269"/>
    <n v="0.22327241357701"/>
    <n v="5.8470463031881907E-2"/>
    <n v="6.1477426050673738E-2"/>
    <n v="-1.155211907159222"/>
    <n v="12524.31172172462"/>
    <n v="-8785.919170917914"/>
    <n v="3738.3925508067018"/>
    <n v="721.71583576056037"/>
    <n v="189.00256605058161"/>
    <n v="170.8261229887419"/>
    <n v="-524.19439147416279"/>
    <n v="-15751.05650848698"/>
  </r>
  <r>
    <x v="13"/>
    <x v="4"/>
    <n v="3264.9770105432972"/>
    <n v="2805.9084405668091"/>
    <n v="459.06856997648782"/>
    <n v="3.9046411998017891"/>
    <n v="-2.8035514182657879"/>
    <n v="1.1010897815359999"/>
    <n v="0.24125236267830991"/>
    <n v="6.4824604194423624E-2"/>
    <n v="7.4034287091588435E-2"/>
    <n v="-1.109416776264242"/>
    <n v="12748.563751773039"/>
    <n v="-9153.5309285138537"/>
    <n v="3595.0328232591819"/>
    <n v="787.68341788393536"/>
    <n v="211.6508424123617"/>
    <n v="207.7334310416343"/>
    <n v="-509.29837298755052"/>
    <n v="-15740.274519236489"/>
  </r>
  <r>
    <x v="13"/>
    <x v="5"/>
    <n v="3293.1114212649518"/>
    <n v="2829.4906256497652"/>
    <n v="463.62079561518698"/>
    <n v="3.9359697753781449"/>
    <n v="-2.8429737992690809"/>
    <n v="1.092995976109064"/>
    <n v="0.2452904678417131"/>
    <n v="6.2750452979133703E-2"/>
    <n v="8.4918242925489981E-2"/>
    <n v="-1.0644393008731019"/>
    <n v="12961.58702105142"/>
    <n v="-9362.2294887300231"/>
    <n v="3599.357532321394"/>
    <n v="807.76884117696875"/>
    <n v="206.64423339513451"/>
    <n v="240.27537230432341"/>
    <n v="-493.49619555486078"/>
    <n v="-15988.68254002564"/>
  </r>
  <r>
    <x v="13"/>
    <x v="6"/>
    <n v="3320.5216200354221"/>
    <n v="2852.5760626350939"/>
    <n v="467.94555740032769"/>
    <n v="3.9672962133640088"/>
    <n v="-2.8641315325057768"/>
    <n v="1.103164680858232"/>
    <n v="0.24411725160946229"/>
    <n v="5.8799446832613081E-2"/>
    <n v="9.3746417949207586E-2"/>
    <n v="-1.0198354087714441"/>
    <n v="13173.492849559851"/>
    <n v="-9510.4106763106174"/>
    <n v="3663.0821732492368"/>
    <n v="810.59661179284637"/>
    <n v="195.244834453815"/>
    <n v="267.41878779969448"/>
    <n v="-477.22744881414451"/>
    <n v="-16350.088181100131"/>
  </r>
  <r>
    <x v="13"/>
    <x v="7"/>
    <n v="3347.632546331261"/>
    <n v="2875.6796893802161"/>
    <n v="471.95285695104519"/>
    <n v="3.9983675048207572"/>
    <n v="-2.9157865638625662"/>
    <n v="1.082580940958191"/>
    <n v="0.25177364297647797"/>
    <n v="5.9921449842820752E-2"/>
    <n v="0.10278544118190849"/>
    <n v="-0.97592308811021777"/>
    <n v="13385.065191331279"/>
    <n v="-9760.9819993417186"/>
    <n v="3624.0831919895631"/>
    <n v="842.84564153644499"/>
    <n v="200.594995717183"/>
    <n v="295.57800557079912"/>
    <n v="-460.58968959810392"/>
    <n v="-16509.211199126421"/>
  </r>
  <r>
    <x v="13"/>
    <x v="8"/>
    <n v="3375.013105110615"/>
    <n v="2899.370482069377"/>
    <n v="475.64262304123798"/>
    <n v="4.0277911898306167"/>
    <n v="-2.932860945525483"/>
    <n v="1.094930244305133"/>
    <n v="0.24978040795110851"/>
    <n v="5.6634497614323348E-2"/>
    <n v="0.109629181293546"/>
    <n v="-0.93046991845565341"/>
    <n v="13593.84805032741"/>
    <n v="-9898.4441266156173"/>
    <n v="3695.4039237117918"/>
    <n v="843.01215023486691"/>
    <n v="191.14217164969719"/>
    <n v="317.85561221593969"/>
    <n v="-442.57115267521391"/>
    <n v="-16884.42325217084"/>
  </r>
  <r>
    <x v="13"/>
    <x v="9"/>
    <n v="3403.01188551931"/>
    <n v="2923.8294568619981"/>
    <n v="479.18242865731179"/>
    <n v="4.0568181089167634"/>
    <n v="-2.994455676854614"/>
    <n v="1.0623624320621481"/>
    <n v="0.26048425552674392"/>
    <n v="5.9624261055145858E-2"/>
    <n v="0.1173212495365603"/>
    <n v="-0.88630538545681992"/>
    <n v="13805.400242033709"/>
    <n v="-10190.168258997021"/>
    <n v="3615.231983036691"/>
    <n v="886.43101754815837"/>
    <n v="202.90206903596749"/>
    <n v="343.02732531085189"/>
    <n v="-424.70196713525382"/>
    <n v="-16950.59823525506"/>
  </r>
  <r>
    <x v="13"/>
    <x v="10"/>
    <n v="3429.454520546672"/>
    <n v="2947.8594033041149"/>
    <n v="481.59511724255702"/>
    <n v="4.0843535753154194"/>
    <n v="-3.0264578820709609"/>
    <n v="1.0578956932444581"/>
    <n v="0.26284434445418298"/>
    <n v="5.8010150328148893E-2"/>
    <n v="0.1234367256609656"/>
    <n v="-0.83962088628832543"/>
    <n v="14007.10483237643"/>
    <n v="-10379.099664912361"/>
    <n v="3628.0051674640622"/>
    <n v="901.4127252885246"/>
    <n v="198.94317228046219"/>
    <n v="363.87411245274791"/>
    <n v="-404.35731917132568"/>
    <n v="-17188.885480487959"/>
  </r>
  <r>
    <x v="13"/>
    <x v="11"/>
    <n v="3448.875010640731"/>
    <n v="2965.891156634244"/>
    <n v="482.98385400648749"/>
    <n v="4.1176943958105356"/>
    <n v="-3.023403552278483"/>
    <n v="1.0942908435320531"/>
    <n v="0.25363376981157593"/>
    <n v="5.171728784823356E-2"/>
    <n v="0.1307457648153845"/>
    <n v="-0.79255579040599333"/>
    <n v="14201.41330316634"/>
    <n v="-10427.340958535669"/>
    <n v="3774.0723446306638"/>
    <n v="874.75117055774774"/>
    <n v="178.36646167788629"/>
    <n v="387.77770763332961"/>
    <n v="-382.79165016544471"/>
    <n v="-17717.97879256028"/>
  </r>
  <r>
    <x v="13"/>
    <x v="12"/>
    <n v="3467.8642895465018"/>
    <n v="2983.644247963281"/>
    <n v="484.22004158322079"/>
    <n v="4.1494794441625897"/>
    <n v="-3.051984430770911"/>
    <n v="1.097495013391679"/>
    <n v="0.25310643822670031"/>
    <n v="5.1093919627101997E-2"/>
    <n v="0.13855425644688499"/>
    <n v="-0.74228984541482734"/>
    <n v="14389.831584618711"/>
    <n v="-10583.867819722351"/>
    <n v="3805.963764896364"/>
    <n v="877.73877858068158"/>
    <n v="177.18677928778621"/>
    <n v="413.39661027857801"/>
    <n v="-359.43161981357031"/>
    <n v="-18021.132481844379"/>
  </r>
  <r>
    <x v="13"/>
    <x v="13"/>
    <n v="3484.2908472084182"/>
    <n v="2999.1222051989539"/>
    <n v="485.16864200946401"/>
    <n v="4.1826382041792654"/>
    <n v="-3.102236023646026"/>
    <n v="1.08040218053324"/>
    <n v="0.25907883937816439"/>
    <n v="5.3526549390205257E-2"/>
    <n v="0.14794223938274151"/>
    <n v="-0.69296122328770438"/>
    <n v="14573.528012006071"/>
    <n v="-10809.092583070091"/>
    <n v="3764.435428935984"/>
    <n v="902.70602875071825"/>
    <n v="186.5020661229415"/>
    <n v="443.69685521963942"/>
    <n v="-336.20305566771248"/>
    <n v="-18190.836852327411"/>
  </r>
  <r>
    <x v="13"/>
    <x v="14"/>
    <n v="3497.692933236769"/>
    <n v="3012.3527803822499"/>
    <n v="485.34015285451909"/>
    <n v="4.2172120924331526"/>
    <n v="-3.117976963803105"/>
    <n v="1.099235128630047"/>
    <n v="0.25432305859040011"/>
    <n v="5.1082559300872819E-2"/>
    <n v="0.15677783847642721"/>
    <n v="-0.63942157949178691"/>
    <n v="14750.512933664089"/>
    <n v="-10905.725992289161"/>
    <n v="3844.7869413749272"/>
    <n v="889.5439647908031"/>
    <n v="178.67110667831099"/>
    <n v="472.27015763678492"/>
    <n v="-310.3369671290219"/>
    <n v="-18608.095745624971"/>
  </r>
  <r>
    <x v="13"/>
    <x v="15"/>
    <n v="3508.9125108030071"/>
    <n v="3023.6165323983182"/>
    <n v="485.29597840468881"/>
    <n v="4.2544012529367476"/>
    <n v="-3.1483829672805679"/>
    <n v="1.10601828565618"/>
    <n v="0.25318769027446419"/>
    <n v="5.0021936679096567E-2"/>
    <n v="0.1667105867398431"/>
    <n v="-0.58772530636709197"/>
    <n v="14928.321782405739"/>
    <n v="-11047.400382689881"/>
    <n v="3880.9213997158622"/>
    <n v="888.41345398538442"/>
    <n v="175.52259942787771"/>
    <n v="504.06888619241329"/>
    <n v="-285.22072758661341"/>
    <n v="-18933.587243029779"/>
  </r>
  <r>
    <x v="13"/>
    <x v="16"/>
    <n v="3522.042304898453"/>
    <n v="3036.4956301361508"/>
    <n v="485.54667476230202"/>
    <n v="4.2896768618838204"/>
    <n v="-3.182261758323957"/>
    <n v="1.1074151035598629"/>
    <n v="0.25366945345288811"/>
    <n v="5.0083224222255779E-2"/>
    <n v="0.1761507426452065"/>
    <n v="-0.53655344897994972"/>
    <n v="15108.42338189885"/>
    <n v="-11208.060538077511"/>
    <n v="3900.36284382134"/>
    <n v="893.43454652154071"/>
    <n v="176.39523447649981"/>
    <n v="534.88096028740733"/>
    <n v="-260.52174298445902"/>
    <n v="-19230.023421116952"/>
  </r>
  <r>
    <x v="13"/>
    <x v="17"/>
    <n v="3530.6085866846979"/>
    <n v="3045.481715749404"/>
    <n v="485.12687093529382"/>
    <n v="4.3273107530199768"/>
    <n v="-3.2464652859610599"/>
    <n v="1.080845467058916"/>
    <n v="0.26204440899799708"/>
    <n v="5.3586339892705989E-2"/>
    <n v="0.18809703972663519"/>
    <n v="-0.48716437663851242"/>
    <n v="15278.04050186536"/>
    <n v="-11461.998214987911"/>
    <n v="3816.042286877444"/>
    <n v="925.17624050104564"/>
    <n v="189.19239175419261"/>
    <n v="572.84609527405701"/>
    <n v="-236.33652966978451"/>
    <n v="-19312.041777370589"/>
  </r>
  <r>
    <x v="13"/>
    <x v="18"/>
    <n v="3537.4973066454299"/>
    <n v="3052.6317971360299"/>
    <n v="484.86550950940023"/>
    <n v="4.364883461967124"/>
    <n v="-3.2379331116475591"/>
    <n v="1.126950350319565"/>
    <n v="0.24894868565943909"/>
    <n v="4.6131769411997411E-2"/>
    <n v="0.19828255179622389"/>
    <n v="-0.4390655945080395"/>
    <n v="15440.76349052988"/>
    <n v="-11454.179661551299"/>
    <n v="3986.5838289785838"/>
    <n v="880.65530501318563"/>
    <n v="163.19101004572889"/>
    <n v="605.28362243042488"/>
    <n v="-212.88776318918829"/>
    <n v="-19883.69534535717"/>
  </r>
  <r>
    <x v="13"/>
    <x v="19"/>
    <n v="3543.4624165086152"/>
    <n v="3059.0681575085332"/>
    <n v="484.39425900008177"/>
    <n v="4.4061102622844697"/>
    <n v="-3.303602366069053"/>
    <n v="1.102507896215416"/>
    <n v="0.25759050452326743"/>
    <n v="5.009610709673696E-2"/>
    <n v="0.21044357475711301"/>
    <n v="-0.39131031129177368"/>
    <n v="15612.886117397929"/>
    <n v="-11706.190823254619"/>
    <n v="3906.6952941433078"/>
    <n v="912.76227162769021"/>
    <n v="177.51367271067789"/>
    <n v="643.76123849175087"/>
    <n v="-189.5484682772701"/>
    <n v="-19987.67469855439"/>
  </r>
  <r>
    <x v="13"/>
    <x v="20"/>
    <n v="3552.134203424238"/>
    <n v="3068.15720286133"/>
    <n v="483.9770005629083"/>
    <n v="4.4430192324996227"/>
    <n v="-3.3798719999578268"/>
    <n v="1.063147232541795"/>
    <n v="0.26957089353913471"/>
    <n v="5.528685652708986E-2"/>
    <n v="0.2220330887292423"/>
    <n v="-0.34516906099773981"/>
    <n v="15782.20058223362"/>
    <n v="-12005.758934246091"/>
    <n v="3776.4416479875331"/>
    <n v="957.55199118799453"/>
    <n v="196.38633406968449"/>
    <n v="681.23242045817358"/>
    <n v="-167.05388682880161"/>
    <n v="-19963.381191875291"/>
  </r>
  <r>
    <x v="13"/>
    <x v="21"/>
    <n v="3566.7150970556991"/>
    <n v="3083.0265291785649"/>
    <n v="483.68856787713361"/>
    <n v="4.470322002769513"/>
    <n v="-3.4545225049264872"/>
    <n v="1.015799497843026"/>
    <n v="0.28221639873104343"/>
    <n v="5.8888795844312697E-2"/>
    <n v="0.23199733045140061"/>
    <n v="-0.30087460831400142"/>
    <n v="15944.364975978289"/>
    <n v="-12321.297571439971"/>
    <n v="3623.0674045383198"/>
    <n v="1006.585489990703"/>
    <n v="210.03955718534101"/>
    <n v="715.25392448027424"/>
    <n v="-145.52960840599289"/>
    <n v="-19834.52814856017"/>
  </r>
  <r>
    <x v="13"/>
    <x v="22"/>
    <n v="3577.783072735604"/>
    <n v="3094.6928963838641"/>
    <n v="483.09017635174069"/>
    <n v="4.4921517220549303"/>
    <n v="-3.5783682239013608"/>
    <n v="0.91378349815356896"/>
    <n v="0.30411571117536468"/>
    <n v="6.5284901320009303E-2"/>
    <n v="0.24300935720942449"/>
    <n v="-0.24007851227437119"/>
    <n v="16071.944391328219"/>
    <n v="-12802.625259489259"/>
    <n v="3269.3191318389649"/>
    <n v="1088.0600435961701"/>
    <n v="233.57521484794361"/>
    <n v="752.03933151081469"/>
    <n v="-115.97957083288949"/>
    <n v="-19165.718553525421"/>
  </r>
  <r>
    <x v="13"/>
    <x v="23"/>
    <n v="3589.3004478159542"/>
    <n v="3106.8495965966308"/>
    <n v="482.45085121932289"/>
    <n v="4.507168841456914"/>
    <n v="-3.573702496462976"/>
    <n v="0.93346634499393799"/>
    <n v="0.29495525857145422"/>
    <n v="5.4062529057561627E-2"/>
    <n v="0.25035367530368569"/>
    <n v="-0.19758912357702729"/>
    <n v="16177.58314102342"/>
    <n v="-12827.09197091555"/>
    <n v="3350.491170107864"/>
    <n v="1058.6830416761909"/>
    <n v="194.046659756369"/>
    <n v="777.81121512374011"/>
    <n v="-95.327040861416791"/>
    <n v="-19380.918501278498"/>
  </r>
  <r>
    <x v="13"/>
    <x v="24"/>
    <n v="3598.432187301039"/>
    <n v="3116.5928340609298"/>
    <n v="481.83935324010849"/>
    <n v="4.5254414090082937"/>
    <n v="-3.608735653336181"/>
    <n v="0.91670575567211299"/>
    <n v="0.29484317393902038"/>
    <n v="5.1328840509861008E-2"/>
    <n v="0.25940149687431702"/>
    <n v="-0.15794198692675079"/>
    <n v="16284.494027920409"/>
    <n v="-12985.790530425749"/>
    <n v="3298.7034974946532"/>
    <n v="1060.9731673081701"/>
    <n v="184.7033518275253"/>
    <n v="808.44884630317529"/>
    <n v="-76.102664830243256"/>
    <n v="-19347.996059713791"/>
  </r>
  <r>
    <x v="13"/>
    <x v="25"/>
    <n v="3602.4632196056009"/>
    <n v="3122.377949836417"/>
    <n v="480.08526976918341"/>
    <n v="4.5470275077991138"/>
    <n v="-3.6703421194964529"/>
    <n v="0.87668538830266107"/>
    <n v="0.298688530867596"/>
    <n v="5.2238470671399563E-2"/>
    <n v="0.27120074129379212"/>
    <n v="-0.11748957020395311"/>
    <n v="16380.499355381229"/>
    <n v="-13222.27248885524"/>
    <n v="3158.2268665259912"/>
    <n v="1076.0144465685471"/>
    <n v="188.18716924216281"/>
    <n v="846.79121459502733"/>
    <n v="-56.405012006430212"/>
    <n v="-19113.653844727829"/>
  </r>
  <r>
    <x v="13"/>
    <x v="26"/>
    <n v="3605.8250557355268"/>
    <n v="3126.7774077022132"/>
    <n v="479.04764803331392"/>
    <n v="4.5654291704675707"/>
    <n v="-3.6612946068773011"/>
    <n v="0.90413456359027022"/>
    <n v="0.28426387964724331"/>
    <n v="4.3604524050779442E-2"/>
    <n v="0.28069871040832861"/>
    <n v="-8.7700349537613645E-2"/>
    <n v="16462.138893057829"/>
    <n v="-13201.98782990753"/>
    <n v="3260.151063150302"/>
    <n v="1025.0058196726179"/>
    <n v="157.23028536572289"/>
    <n v="877.68238607590786"/>
    <n v="-42.012646177693341"/>
    <n v="-19352.875329653569"/>
  </r>
  <r>
    <x v="13"/>
    <x v="27"/>
    <n v="3611.6716221857259"/>
    <n v="3133.4183180235818"/>
    <n v="478.25330416214467"/>
    <n v="4.5805312653915617"/>
    <n v="-3.6783587510743772"/>
    <n v="0.90217251431718515"/>
    <n v="0.27797083034239989"/>
    <n v="4.116797249100821E-2"/>
    <n v="0.28958942922121622"/>
    <n v="-6.0384870408119989E-2"/>
    <n v="16543.37478574918"/>
    <n v="-13285.02391747386"/>
    <n v="3258.350868275324"/>
    <n v="1003.939359743049"/>
    <n v="148.68519798869701"/>
    <n v="907.40482222775245"/>
    <n v="-28.879263794086299"/>
    <n v="-19394.836942951129"/>
  </r>
  <r>
    <x v="13"/>
    <x v="28"/>
    <n v="3619.9701048043198"/>
    <n v="3143.8549204508699"/>
    <n v="476.11518435344971"/>
    <n v="4.589667126757516"/>
    <n v="-3.6957332510062471"/>
    <n v="0.8939338757512697"/>
    <n v="0.27333760125697038"/>
    <n v="3.9901955272800202E-2"/>
    <n v="0.29735277397388388"/>
    <n v="-3.4979614458516987E-2"/>
    <n v="16614.457789865352"/>
    <n v="-13378.44388397389"/>
    <n v="3236.013905891456"/>
    <n v="989.47394506915646"/>
    <n v="144.44388521077579"/>
    <n v="934.83398156751036"/>
    <n v="-16.65432558652941"/>
    <n v="-19389.74177122712"/>
  </r>
  <r>
    <x v="13"/>
    <x v="29"/>
    <n v="3630.2108633517628"/>
    <n v="3155.4672925360892"/>
    <n v="474.7435708156741"/>
    <n v="4.5960353386841071"/>
    <n v="-3.7240482083522819"/>
    <n v="0.87198713033182429"/>
    <n v="0.27150817242855518"/>
    <n v="4.0347780611838593E-2"/>
    <n v="0.30479881237264472"/>
    <n v="-1.2926320827990031E-2"/>
    <n v="16684.577414839641"/>
    <n v="-13519.08026160613"/>
    <n v="3165.497153233518"/>
    <n v="985.63191703892471"/>
    <n v="146.47095148923009"/>
    <n v="961.78268324572468"/>
    <n v="-6.136687707389008"/>
    <n v="-19261.902063435122"/>
  </r>
  <r>
    <x v="13"/>
    <x v="30"/>
    <n v="3640.735744963129"/>
    <n v="3167.2640360679538"/>
    <n v="473.4717088951748"/>
    <n v="4.6001453006978981"/>
    <n v="-3.751011443108712"/>
    <n v="0.84913385758918625"/>
    <n v="0.27006194749244872"/>
    <n v="4.0545928783956388E-2"/>
    <n v="0.31201981728142708"/>
    <n v="9.0269429713099661E-3"/>
    <n v="16747.913428274998"/>
    <n v="-13656.44144069162"/>
    <n v="3091.4719875833821"/>
    <n v="983.22418559011373"/>
    <n v="147.6170122364795"/>
    <n v="988.24914581595829"/>
    <n v="4.2740021147254161"/>
    <n v="-19121.066555584159"/>
  </r>
  <r>
    <x v="13"/>
    <x v="31"/>
    <n v="3650.9698376601182"/>
    <n v="3179.0873855502332"/>
    <n v="471.88245210988521"/>
    <n v="4.6029654361848822"/>
    <n v="-3.78643675778663"/>
    <n v="0.81652867839825216"/>
    <n v="0.27132289220820088"/>
    <n v="4.1503232780369118E-2"/>
    <n v="0.31933149811937622"/>
    <n v="3.0107549191273671E-2"/>
    <n v="16805.287971303049"/>
    <n v="-13824.166394886561"/>
    <n v="2981.1215764164972"/>
    <n v="990.591695718849"/>
    <n v="151.52705104651429"/>
    <n v="1015.182737480167"/>
    <n v="14.20722413939721"/>
    <n v="-18892.977710940271"/>
  </r>
  <r>
    <x v="13"/>
    <x v="32"/>
    <n v="3660.590696163139"/>
    <n v="3189.7938145292151"/>
    <n v="470.79688163392348"/>
    <n v="4.6043886260159272"/>
    <n v="-3.8233180019514972"/>
    <n v="0.78107062406442962"/>
    <n v="0.27271370581534088"/>
    <n v="4.2141855124618509E-2"/>
    <n v="0.32643286643018948"/>
    <n v="4.870538162664944E-2"/>
    <n v="16854.782165913279"/>
    <n v="-13995.602306416689"/>
    <n v="2859.1798594965881"/>
    <n v="998.29325422380828"/>
    <n v="154.2640827882334"/>
    <n v="1041.2535381980599"/>
    <n v="22.930341788616751"/>
    <n v="-18611.71061381781"/>
  </r>
  <r>
    <x v="13"/>
    <x v="33"/>
    <n v="3675.111992595097"/>
    <n v="3206.3828659107321"/>
    <n v="468.72912668436447"/>
    <n v="4.5961837414377449"/>
    <n v="-3.858458823358264"/>
    <n v="0.73772491807948082"/>
    <n v="0.27552324595463729"/>
    <n v="4.2856898524287118E-2"/>
    <n v="0.33134980247212209"/>
    <n v="6.4864032107394623E-2"/>
    <n v="16891.48998832846"/>
    <n v="-14180.268294658321"/>
    <n v="2711.2216936701352"/>
    <n v="1012.5787854466161"/>
    <n v="157.50390173203871"/>
    <n v="1062.434329269518"/>
    <n v="30.403661122925669"/>
    <n v="-18238.522027886182"/>
  </r>
  <r>
    <x v="14"/>
    <x v="0"/>
    <n v="3363.0725758425451"/>
    <n v="3363.0725758425451"/>
    <s v="NaN"/>
    <n v="0.10452112106202061"/>
    <s v="NaN"/>
    <n v="0.10452112106202061"/>
    <n v="6.5119022876018154E-4"/>
    <n v="1.0645027483842241E-3"/>
    <s v="NaN"/>
    <s v="NaN"/>
    <n v="351.51211583999998"/>
    <s v="NaN"/>
    <n v="351.51211583999998"/>
    <n v="2.19"/>
    <n v="3.58"/>
    <s v="NaN"/>
    <s v="NaN"/>
    <n v="-1310.034424746786"/>
  </r>
  <r>
    <x v="14"/>
    <x v="1"/>
    <n v="3366.947936897091"/>
    <n v="3366.947936897091"/>
    <s v="NaN"/>
    <n v="0.10793624764062031"/>
    <s v="NaN"/>
    <n v="0.10793624764062031"/>
    <n v="8.850745707539232E-4"/>
    <n v="1.446413811936781E-3"/>
    <s v="NaN"/>
    <s v="NaN"/>
    <n v="363.41572631000003"/>
    <s v="NaN"/>
    <n v="363.41572631000003"/>
    <n v="2.98"/>
    <n v="4.87"/>
    <s v="NaN"/>
    <s v="NaN"/>
    <n v="-1361.307663136791"/>
  </r>
  <r>
    <x v="14"/>
    <x v="2"/>
    <n v="3370.828639851637"/>
    <n v="3370.828639851637"/>
    <s v="NaN"/>
    <n v="0.1395577338368364"/>
    <s v="NaN"/>
    <n v="0.1395577338368364"/>
    <n v="5.9332591884232592E-4"/>
    <n v="9.6712124771299122E-4"/>
    <s v="NaN"/>
    <s v="NaN"/>
    <n v="470.42520612999999"/>
    <s v="NaN"/>
    <n v="470.42520612999999"/>
    <n v="2"/>
    <n v="3.26"/>
    <s v="NaN"/>
    <s v="NaN"/>
    <n v="-1744.1790891434921"/>
  </r>
  <r>
    <x v="14"/>
    <x v="3"/>
    <n v="3374.7068040801819"/>
    <n v="3374.7068040801819"/>
    <s v="NaN"/>
    <n v="0.14410565921520141"/>
    <s v="NaN"/>
    <n v="0.14410565921520141"/>
    <n v="5.1856356762139053E-4"/>
    <n v="8.4748103051267244E-4"/>
    <s v="NaN"/>
    <s v="NaN"/>
    <n v="486.31434866000001"/>
    <s v="NaN"/>
    <n v="486.31434866000001"/>
    <n v="1.75"/>
    <n v="2.86"/>
    <s v="NaN"/>
    <s v="NaN"/>
    <n v="-1800.05594508683"/>
  </r>
  <r>
    <x v="14"/>
    <x v="4"/>
    <n v="3378.579077434727"/>
    <n v="3378.579077434727"/>
    <s v="NaN"/>
    <n v="0.1216850197983885"/>
    <n v="-9.3315658358177349E-4"/>
    <n v="0.1207518632148067"/>
    <n v="6.6300061317516295E-4"/>
    <n v="1.0832956447415611E-3"/>
    <n v="5.1286369622845572E-5"/>
    <s v="NaN"/>
    <n v="411.12246192806577"/>
    <n v="-3.1527433092598498"/>
    <n v="407.96971861880598"/>
    <n v="2.2400000000000002"/>
    <n v="3.66"/>
    <n v="0.17327505536533"/>
    <s v="NaN"/>
    <n v="-1518.1576434721001"/>
  </r>
  <r>
    <x v="14"/>
    <x v="5"/>
    <n v="3382.460906521273"/>
    <n v="3382.460906521273"/>
    <s v="NaN"/>
    <n v="0.137753814286349"/>
    <n v="-2.001398732636727E-3"/>
    <n v="0.13575241555371231"/>
    <n v="5.6763405492678525E-4"/>
    <n v="9.253617666254364E-4"/>
    <n v="6.4034389514768452E-5"/>
    <s v="NaN"/>
    <n v="465.94689154776722"/>
    <n v="-6.76965297150495"/>
    <n v="459.1772385762622"/>
    <n v="1.92"/>
    <n v="3.13"/>
    <n v="0.21659381920665999"/>
    <s v="NaN"/>
    <n v="-1702.9607187835411"/>
  </r>
  <r>
    <x v="14"/>
    <x v="6"/>
    <n v="3386.3438294508178"/>
    <n v="3386.3438294508178"/>
    <s v="NaN"/>
    <n v="0.138352548941929"/>
    <n v="-3.5527031361517361E-3"/>
    <n v="0.1347998458057772"/>
    <n v="7.8255491275077197E-4"/>
    <n v="1.278665197060695E-3"/>
    <n v="7.6753158018848144E-5"/>
    <s v="NaN"/>
    <n v="468.50930039829342"/>
    <n v="-12.030674342977999"/>
    <n v="456.47862605531537"/>
    <n v="2.65"/>
    <n v="4.33"/>
    <n v="0.25991258304798998"/>
    <s v="NaN"/>
    <n v="-1700.30130834082"/>
  </r>
  <r>
    <x v="14"/>
    <x v="7"/>
    <n v="3392.2038294508179"/>
    <n v="3392.2038294508179"/>
    <s v="NaN"/>
    <n v="0.120380517136485"/>
    <n v="-6.1599453695554704E-3"/>
    <n v="0.1142205717669295"/>
    <n v="5.748475321766546E-4"/>
    <n v="9.3744366785731366E-4"/>
    <n v="8.9390662275860871E-5"/>
    <s v="NaN"/>
    <n v="408.35525122165421"/>
    <n v="-20.895790271813901"/>
    <n v="387.45946094984032"/>
    <n v="1.95"/>
    <n v="3.18"/>
    <n v="0.30323134688932002"/>
    <s v="NaN"/>
    <n v="-1440.606538421473"/>
  </r>
  <r>
    <x v="14"/>
    <x v="8"/>
    <n v="3394.0949862384541"/>
    <n v="3394.0949862384541"/>
    <s v="NaN"/>
    <n v="0.13796523474159431"/>
    <n v="-6.6770276104927088E-3"/>
    <n v="0.13128820713110159"/>
    <n v="-1.9740166457230931E-4"/>
    <n v="-3.2114599161763751E-4"/>
    <n v="1.021038339044036E-4"/>
    <s v="NaN"/>
    <n v="468.26711151165671"/>
    <n v="-22.662465935749029"/>
    <n v="445.60464557590768"/>
    <n v="-0.67"/>
    <n v="-1.0900000000000001"/>
    <n v="0.34655011073066"/>
    <s v="NaN"/>
    <n v="-1628.701050851156"/>
  </r>
  <r>
    <x v="14"/>
    <x v="9"/>
    <n v="3397.9749862384542"/>
    <n v="3397.9749862384542"/>
    <s v="NaN"/>
    <n v="0.13614035348827941"/>
    <n v="-7.0313083602021971E-3"/>
    <n v="0.12910904512807719"/>
    <n v="9.1230806952810703E-4"/>
    <n v="1.4861792745538521E-3"/>
    <n v="1.147356517193122E-4"/>
    <s v="NaN"/>
    <n v="462.60151577083451"/>
    <n v="-23.892209928496388"/>
    <n v="438.7093058423381"/>
    <n v="3.1"/>
    <n v="5.05"/>
    <n v="0.38986887457198999"/>
    <s v="NaN"/>
    <n v="-1639.9136406288201"/>
  </r>
  <r>
    <x v="14"/>
    <x v="10"/>
    <n v="3401.856948259001"/>
    <n v="3401.856948259001"/>
    <s v="NaN"/>
    <n v="0.13763333459450089"/>
    <n v="-1.101722754843289E-2"/>
    <n v="0.12661610704606799"/>
    <n v="-2.9101752809055107E-4"/>
    <n v="-4.7621050051181079E-4"/>
    <n v="1.273385815458867E-4"/>
    <s v="NaN"/>
    <n v="468.20891560235879"/>
    <n v="-37.479032086186884"/>
    <n v="430.72988351617192"/>
    <n v="-0.99"/>
    <n v="-1.62"/>
    <n v="0.43318763841331998"/>
    <s v="NaN"/>
    <n v="-1571.3612609002889"/>
  </r>
  <r>
    <x v="14"/>
    <x v="11"/>
    <n v="3405.7362100335458"/>
    <n v="3405.7362100335458"/>
    <s v="NaN"/>
    <n v="0.1584435518718724"/>
    <n v="-1.0601121068815439E-2"/>
    <n v="0.14784243080305701"/>
    <n v="5.4320120112349448E-4"/>
    <n v="8.8967548075902063E-4"/>
    <n v="1.3991289191770859E-4"/>
    <s v="NaN"/>
    <n v="539.61694185636418"/>
    <n v="-36.104621891014268"/>
    <n v="503.51231996534989"/>
    <n v="1.85"/>
    <n v="3.03"/>
    <n v="0.47650640225465002"/>
    <s v="NaN"/>
    <n v="-1865.8523633480529"/>
  </r>
  <r>
    <x v="14"/>
    <x v="12"/>
    <n v="3409.606010038091"/>
    <n v="3409.606010038091"/>
    <s v="NaN"/>
    <n v="0.15911946055050119"/>
    <n v="-8.773117138891345E-3"/>
    <n v="0.15034634341160991"/>
    <n v="6.7163185226037805E-4"/>
    <n v="1.0969009290191329E-3"/>
    <n v="1.5245901273214051E-4"/>
    <s v="NaN"/>
    <n v="542.53466900700801"/>
    <n v="-29.91287292353211"/>
    <n v="512.62179608347594"/>
    <n v="2.29"/>
    <n v="3.74"/>
    <n v="0.51982516609597995"/>
    <s v="NaN"/>
    <n v="-1903.62927791527"/>
  </r>
  <r>
    <x v="14"/>
    <x v="13"/>
    <n v="3413.4877912416368"/>
    <n v="3413.4877912416368"/>
    <s v="NaN"/>
    <n v="0.1634538566492946"/>
    <n v="-1.204239274609098E-2"/>
    <n v="0.15141146390320359"/>
    <n v="7.0016362915733502E-4"/>
    <n v="1.142526424147952E-3"/>
    <n v="1.6497610783382049E-4"/>
    <s v="NaN"/>
    <n v="557.94774410372781"/>
    <n v="-41.106560616118408"/>
    <n v="516.84118348760944"/>
    <n v="2.39"/>
    <n v="3.9"/>
    <n v="0.56314392993730999"/>
    <s v="NaN"/>
    <n v="-1920.2125338645119"/>
  </r>
  <r>
    <x v="14"/>
    <x v="14"/>
    <n v="3417.3653491861819"/>
    <n v="3417.3653491861819"/>
    <s v="NaN"/>
    <n v="0.1650022596726764"/>
    <n v="-1.355899516417561E-2"/>
    <n v="0.15144326450850079"/>
    <n v="6.9351671765630692E-4"/>
    <n v="1.1295251182081619E-3"/>
    <n v="1.7746498597905961E-4"/>
    <s v="NaN"/>
    <n v="563.87300474282483"/>
    <n v="-46.336040243836727"/>
    <n v="517.53696449898814"/>
    <n v="2.37"/>
    <n v="3.86"/>
    <n v="0.60646269377865003"/>
    <s v="NaN"/>
    <n v="-1922.7025663736531"/>
  </r>
  <r>
    <x v="14"/>
    <x v="15"/>
    <n v="3421.247443464727"/>
    <n v="3421.247443464727"/>
    <s v="NaN"/>
    <n v="0.19663335900640991"/>
    <n v="-1.2571741806651779E-2"/>
    <n v="0.18406161719975811"/>
    <n v="6.5765485752804979E-4"/>
    <n v="1.069785234912294E-3"/>
    <n v="1.899253030824133E-4"/>
    <s v="NaN"/>
    <n v="672.73137680056186"/>
    <n v="-43.011039515906042"/>
    <n v="629.72033728465578"/>
    <n v="2.25"/>
    <n v="3.66"/>
    <n v="0.64978145761996997"/>
    <s v="NaN"/>
    <n v="-2333.0271020552232"/>
  </r>
  <r>
    <x v="14"/>
    <x v="16"/>
    <n v="3425.1201947992731"/>
    <n v="3425.1201947992731"/>
    <s v="NaN"/>
    <n v="0.19586418679934789"/>
    <n v="-1.342558469027552E-2"/>
    <n v="0.1824386021090724"/>
    <n v="6.0727795864165199E-4"/>
    <n v="9.9266589393346956E-4"/>
    <n v="2.0235792674187561E-4"/>
    <s v="NaN"/>
    <n v="670.85838164438383"/>
    <n v="-45.984241249650623"/>
    <n v="624.87414039473322"/>
    <n v="2.08"/>
    <n v="3.4"/>
    <n v="0.69310022146131001"/>
    <s v="NaN"/>
    <n v="-2313.83988225959"/>
  </r>
  <r>
    <x v="14"/>
    <x v="17"/>
    <n v="3429.003113711819"/>
    <n v="3429.003113711819"/>
    <s v="NaN"/>
    <n v="0.18623368418312691"/>
    <n v="-2.200259347163485E-2"/>
    <n v="0.164231090711492"/>
    <n v="-8.3989425045533561E-4"/>
    <n v="-1.3706607559514159E-3"/>
    <n v="2.147618304450833E-4"/>
    <s v="NaN"/>
    <n v="638.59588294196556"/>
    <n v="-75.446961523971225"/>
    <n v="563.1489214179943"/>
    <n v="-2.88"/>
    <n v="-4.7"/>
    <n v="0.73641898530264005"/>
    <s v="NaN"/>
    <n v="-2039.786248145607"/>
  </r>
  <r>
    <x v="14"/>
    <x v="18"/>
    <n v="3432.8796427153629"/>
    <n v="3432.8796427153629"/>
    <s v="NaN"/>
    <n v="0.1861730047060256"/>
    <n v="-1.574311755364818E-2"/>
    <n v="0.17042988715237739"/>
    <n v="3.9034284317060339E-4"/>
    <n v="6.3503537172530998E-4"/>
    <n v="2.271380969614238E-4"/>
    <s v="NaN"/>
    <n v="639.10951787846693"/>
    <n v="-54.044227762793717"/>
    <n v="585.06529011567318"/>
    <n v="1.34"/>
    <n v="2.1800000000000002"/>
    <n v="0.77973774914397997"/>
    <s v="NaN"/>
    <n v="-2161.0051021711929"/>
  </r>
  <r>
    <x v="14"/>
    <x v="19"/>
    <n v="3436.757692317909"/>
    <n v="3436.757692317909"/>
    <s v="NaN"/>
    <n v="0.1860889197516222"/>
    <n v="-1.4722135038225011E-2"/>
    <n v="0.1713667847133972"/>
    <n v="1.3093736605460221E-4"/>
    <n v="2.153192241786792E-4"/>
    <n v="2.3948633760973779E-4"/>
    <s v="NaN"/>
    <n v="639.54252641151777"/>
    <n v="-50.5964108399628"/>
    <n v="588.94611557155497"/>
    <n v="0.45"/>
    <n v="0.74"/>
    <n v="0.82305651298531002"/>
    <s v="NaN"/>
    <n v="-2166.850297643512"/>
  </r>
  <r>
    <x v="14"/>
    <x v="20"/>
    <n v="3440.639133965909"/>
    <n v="3440.639133965909"/>
    <s v="NaN"/>
    <n v="0.185882069896212"/>
    <n v="-1.2129354844736579E-2"/>
    <n v="0.17375271505147541"/>
    <n v="2.8483080086064909E-4"/>
    <n v="4.6502987895616181E-4"/>
    <n v="2.5180649382081468E-4"/>
    <s v="NaN"/>
    <n v="639.55312398749334"/>
    <n v="-41.732732948559658"/>
    <n v="597.82039103893362"/>
    <n v="0.98"/>
    <n v="1.6"/>
    <n v="0.86637527682663995"/>
    <s v="NaN"/>
    <n v="-2204.6448098246551"/>
  </r>
  <r>
    <x v="14"/>
    <x v="21"/>
    <n v="3444.5223119429088"/>
    <n v="3444.5223119429088"/>
    <s v="NaN"/>
    <n v="0.186011314272891"/>
    <n v="-1.3431677699865609E-2"/>
    <n v="0.17257963657302541"/>
    <n v="3.6579818212566239E-4"/>
    <n v="5.9514783599810145E-4"/>
    <n v="2.5427966060316732E-4"/>
    <s v="NaN"/>
    <n v="640.7201222867975"/>
    <n v="-46.265713524013108"/>
    <n v="594.4544087627844"/>
    <n v="1.26"/>
    <n v="2.0499999999999998"/>
    <n v="0.87587196442088"/>
    <s v="NaN"/>
    <n v="-2195.014362666619"/>
  </r>
  <r>
    <x v="14"/>
    <x v="22"/>
    <n v="3448.3964172359092"/>
    <n v="3448.3964172359092"/>
    <s v="NaN"/>
    <n v="0.18579747130714941"/>
    <n v="-1.3746194733027579E-2"/>
    <n v="0.17205127657412181"/>
    <n v="2.8129016581495921E-4"/>
    <n v="4.6108388004720123E-4"/>
    <n v="2.567479329203093E-4"/>
    <s v="NaN"/>
    <n v="640.70333438706541"/>
    <n v="-47.402328667999441"/>
    <n v="593.30100571906598"/>
    <n v="0.97"/>
    <n v="1.59"/>
    <n v="0.88536865201512005"/>
    <s v="NaN"/>
    <n v="-2188.0700393608299"/>
  </r>
  <r>
    <x v="14"/>
    <x v="23"/>
    <n v="3452.273322180909"/>
    <n v="3452.273322180909"/>
    <s v="NaN"/>
    <n v="0.18553114465563461"/>
    <n v="-1.220804224680478E-2"/>
    <n v="0.17332310240882981"/>
    <n v="5.9091497387908675E-4"/>
    <n v="9.6458179559674468E-4"/>
    <n v="2.5921045528458781E-4"/>
    <s v="NaN"/>
    <n v="640.50422112833451"/>
    <n v="-42.145498564701633"/>
    <n v="598.35872256363291"/>
    <n v="2.04"/>
    <n v="3.33"/>
    <n v="0.89486533960935"/>
    <s v="NaN"/>
    <n v="-2216.953155645424"/>
  </r>
  <r>
    <x v="14"/>
    <x v="24"/>
    <n v="3456.1506955269078"/>
    <n v="3456.1506955269078"/>
    <s v="NaN"/>
    <n v="0.18448493668948979"/>
    <n v="-1.0491374727427869E-2"/>
    <n v="0.173993561962062"/>
    <n v="5.5553133215080659E-4"/>
    <n v="9.0563180710001275E-4"/>
    <n v="2.6166741756198367E-4"/>
    <s v="NaN"/>
    <n v="637.60774225361797"/>
    <n v="-36.259772061233249"/>
    <n v="601.34797019238476"/>
    <n v="1.92"/>
    <n v="3.13"/>
    <n v="0.90436202720358005"/>
    <s v="NaN"/>
    <n v="-2226.7752181386932"/>
  </r>
  <r>
    <x v="14"/>
    <x v="25"/>
    <n v="3460.0337342059088"/>
    <n v="3460.0337342059088"/>
    <s v="NaN"/>
    <n v="0.1829145188745703"/>
    <n v="-1.086587184107822E-2"/>
    <n v="0.1720486470334921"/>
    <n v="6.1849107968051022E-4"/>
    <n v="1.0086606860210191E-3"/>
    <n v="2.6411844074333688E-4"/>
    <s v="NaN"/>
    <n v="632.89040578205663"/>
    <n v="-37.5962831216887"/>
    <n v="595.29412266036798"/>
    <n v="2.14"/>
    <n v="3.49"/>
    <n v="0.91385871479781"/>
    <s v="NaN"/>
    <n v="-2206.7392650424749"/>
  </r>
  <r>
    <x v="14"/>
    <x v="26"/>
    <n v="3463.9061425402092"/>
    <n v="3463.9061425402092"/>
    <s v="NaN"/>
    <n v="0.18182461882158099"/>
    <n v="-8.8158611512523088E-3"/>
    <n v="0.17300875767032861"/>
    <n v="4.1282873760295621E-4"/>
    <n v="6.7265102001041121E-4"/>
    <n v="2.665647868030627E-4"/>
    <s v="NaN"/>
    <n v="629.82341400110636"/>
    <n v="-30.537315593604468"/>
    <n v="599.28609840750187"/>
    <n v="1.43"/>
    <n v="2.33"/>
    <n v="0.92335540239205005"/>
    <s v="NaN"/>
    <n v="-2214.5546639698118"/>
  </r>
  <r>
    <x v="14"/>
    <x v="27"/>
    <n v="3467.786769223454"/>
    <n v="3467.786769223454"/>
    <s v="NaN"/>
    <n v="0.17757006518746721"/>
    <n v="-9.3921648027412534E-3"/>
    <n v="0.16817790038472599"/>
    <n v="4.6715675092179001E-4"/>
    <n v="7.6129248298365784E-4"/>
    <n v="2.6900503175838998E-4"/>
    <s v="NaN"/>
    <n v="615.77512266724511"/>
    <n v="-32.570024837312332"/>
    <n v="583.20509782993281"/>
    <n v="1.62"/>
    <n v="2.64"/>
    <n v="0.93285208998628"/>
    <s v="NaN"/>
    <n v="-2157.4591497065662"/>
  </r>
  <r>
    <x v="14"/>
    <x v="28"/>
    <n v="3471.6016"/>
    <n v="3471.6016"/>
    <s v="NaN"/>
    <n v="0.1761438650418283"/>
    <n v="-8.610486101571899E-3"/>
    <n v="0.16753337894025641"/>
    <n v="5.0697061552224193E-4"/>
    <n v="8.2670776508456502E-4"/>
    <n v="2.7144496579922068E-4"/>
    <s v="NaN"/>
    <n v="611.50132370939514"/>
    <n v="-29.892177326994769"/>
    <n v="581.60914638240035"/>
    <n v="1.76"/>
    <n v="2.87"/>
    <n v="0.94234877758052005"/>
    <s v="NaN"/>
    <n v="-2152.9988155867918"/>
  </r>
  <r>
    <x v="14"/>
    <x v="29"/>
    <n v="3475.5666999999999"/>
    <n v="3475.5666999999999"/>
    <s v="NaN"/>
    <n v="0.18132572419113141"/>
    <n v="-4.6618889936744842E-3"/>
    <n v="0.17666383519745679"/>
    <n v="4.4884766561953773E-4"/>
    <n v="7.33693299570398E-4"/>
    <n v="2.7386770197066282E-4"/>
    <s v="NaN"/>
    <n v="630.20964885208059"/>
    <n v="-16.202706145511549"/>
    <n v="614.00694270656902"/>
    <n v="1.56"/>
    <n v="2.5499999999999998"/>
    <n v="0.95184546517475999"/>
    <s v="NaN"/>
    <n v="-2269.9188899632659"/>
  </r>
  <r>
    <x v="14"/>
    <x v="30"/>
    <n v="3479.339989279204"/>
    <n v="3479.339989279204"/>
    <s v="NaN"/>
    <n v="0.17998797894550631"/>
    <n v="-4.0258679052484984E-3"/>
    <n v="0.1759621110402578"/>
    <n v="4.1387159761248761E-4"/>
    <n v="6.7541545443704589E-4"/>
    <n v="2.7630014765189591E-4"/>
    <s v="NaN"/>
    <n v="626.23937273464355"/>
    <n v="-14.0073631942868"/>
    <n v="612.23200954035678"/>
    <n v="1.44"/>
    <n v="2.35"/>
    <n v="0.96134215276899004"/>
    <s v="NaN"/>
    <n v="-2262.2722895416669"/>
  </r>
  <r>
    <x v="14"/>
    <x v="31"/>
    <n v="3484.2638831847862"/>
    <n v="3484.2638831847862"/>
    <s v="NaN"/>
    <n v="0.17363731848439901"/>
    <n v="-3.6605267714583589E-3"/>
    <n v="0.16997679171294069"/>
    <n v="-6.4576050363423989E-4"/>
    <n v="-1.053307132594516E-3"/>
    <n v="2.7863527933363831E-4"/>
    <s v="NaN"/>
    <n v="604.9982375682456"/>
    <n v="-12.754241223223371"/>
    <n v="592.2439963450222"/>
    <n v="-2.25"/>
    <n v="-3.67"/>
    <n v="0.97083884036330004"/>
    <s v="NaN"/>
    <n v="-2153.414395679943"/>
  </r>
  <r>
    <x v="14"/>
    <x v="32"/>
    <n v="3490.966199756288"/>
    <n v="3490.966199756288"/>
    <s v="NaN"/>
    <n v="0.17475472170252249"/>
    <n v="-3.3369663164049528E-3"/>
    <n v="0.17141775538611759"/>
    <n v="-2.9791179303672558E-4"/>
    <n v="-4.8410666368467909E-4"/>
    <n v="2.8082068741486221E-4"/>
    <s v="NaN"/>
    <n v="610.06282671132294"/>
    <n v="-11.649236620294939"/>
    <n v="598.41359009102803"/>
    <n v="-1.04"/>
    <n v="-1.69"/>
    <n v="0.98033552795761003"/>
    <s v="NaN"/>
    <n v="-2187.7677272698129"/>
  </r>
  <r>
    <x v="14"/>
    <x v="33"/>
    <n v="3495.121238292385"/>
    <n v="3495.121238292385"/>
    <s v="NaN"/>
    <n v="0.14351242838467451"/>
    <n v="-2.4178917106434271E-3"/>
    <n v="0.1410945366740311"/>
    <n v="-2.9841597154712141E-3"/>
    <n v="-4.8696450965791047E-3"/>
    <n v="1.6306494437007019E-4"/>
    <s v="NaN"/>
    <n v="501.5933364061907"/>
    <n v="-8.4508246697609462"/>
    <n v="493.14251173642981"/>
    <n v="-10.43"/>
    <n v="-17.02"/>
    <n v="0.56993175028879872"/>
    <s v="NaN"/>
    <n v="-1709.6289594514569"/>
  </r>
  <r>
    <x v="15"/>
    <x v="0"/>
    <n v="2361.707071704001"/>
    <n v="2361.707071704001"/>
    <s v="NaN"/>
    <n v="1.5235478717327811"/>
    <n v="-0.77140415450235156"/>
    <n v="0.75214371723042972"/>
    <n v="1.6818208963272129E-5"/>
    <n v="3.4287030076754992E-4"/>
    <n v="-4.4190504847283803E-4"/>
    <s v="NaN"/>
    <n v="3598.1737827508891"/>
    <n v="-1821.8306468300491"/>
    <n v="1776.34313592084"/>
    <n v="3.9719683041955403E-2"/>
    <n v="0.80975921400000028"/>
    <n v="-1.043650278000001"/>
    <s v="NaN"/>
    <n v="-6512.5462033134927"/>
  </r>
  <r>
    <x v="15"/>
    <x v="1"/>
    <n v="2361.920421704001"/>
    <n v="2361.920421704001"/>
    <s v="NaN"/>
    <n v="1.537700047107166"/>
    <n v="-0.58993063702704573"/>
    <n v="0.94776941008012006"/>
    <n v="1.7298896288198031E-5"/>
    <n v="3.4543533960868091E-4"/>
    <n v="-4.4521097380637438E-4"/>
    <s v="NaN"/>
    <n v="3631.925143717619"/>
    <n v="-1393.3692189830299"/>
    <n v="2238.5559247345891"/>
    <n v="4.0858616416034471E-2"/>
    <n v="0.81589078300000029"/>
    <n v="-1.051552891"/>
    <s v="NaN"/>
    <n v="-8207.3241112250998"/>
  </r>
  <r>
    <x v="15"/>
    <x v="2"/>
    <n v="2362.0830117040009"/>
    <n v="2362.0830117040009"/>
    <s v="NaN"/>
    <n v="1.5518287210139889"/>
    <n v="-0.56629696162339294"/>
    <n v="0.98553175939059567"/>
    <n v="1.688479050631836E-5"/>
    <n v="3.4309704103725058E-4"/>
    <n v="-4.4219728046157689E-4"/>
    <s v="NaN"/>
    <n v="3665.5482589814901"/>
    <n v="-1337.640432630209"/>
    <n v="2327.9078263512811"/>
    <n v="3.9883276811155589E-2"/>
    <n v="0.8104236920000002"/>
    <n v="-1.0445066839999999"/>
    <s v="NaN"/>
    <n v="-8534.9499643331128"/>
  </r>
  <r>
    <x v="15"/>
    <x v="3"/>
    <n v="2362.3810017040009"/>
    <n v="2362.3810017040009"/>
    <s v="NaN"/>
    <n v="1.566004974131618"/>
    <n v="-0.55075323892140438"/>
    <n v="1.0152517352102139"/>
    <n v="1.755982734031623E-5"/>
    <n v="3.5383602407785338E-4"/>
    <n v="-4.5603811418349152E-4"/>
    <s v="NaN"/>
    <n v="3699.5003994624999"/>
    <n v="-1301.0889882548699"/>
    <n v="2398.41141120763"/>
    <n v="4.1483002501965557E-2"/>
    <n v="0.83589550100000021"/>
    <n v="-1.077335777"/>
    <s v="NaN"/>
    <n v="-8793.4419977592843"/>
  </r>
  <r>
    <x v="15"/>
    <x v="4"/>
    <n v="2362.5803417040011"/>
    <n v="2362.5803417040011"/>
    <s v="NaN"/>
    <n v="1.5801595098675121"/>
    <n v="-0.58714039484073688"/>
    <n v="0.99301911502677498"/>
    <n v="1.7696834235735269E-5"/>
    <n v="3.6078270226578879E-4"/>
    <n v="-4.649912727233033E-4"/>
    <s v="NaN"/>
    <n v="3733.2537947696128"/>
    <n v="-1387.1663546710499"/>
    <n v="2346.0874400985631"/>
    <n v="4.1810192675742507E-2"/>
    <n v="0.85237812000000013"/>
    <n v="-1.0985792400000001"/>
    <s v="NaN"/>
    <n v="-8601.5711802953228"/>
  </r>
  <r>
    <x v="15"/>
    <x v="5"/>
    <n v="2362.8089117040008"/>
    <n v="2362.8089117040008"/>
    <s v="NaN"/>
    <n v="1.594312898968449"/>
    <n v="-0.55392039197091936"/>
    <n v="1.0403925069975299"/>
    <n v="1.7858714468195019E-5"/>
    <n v="3.6510580255847238E-4"/>
    <n v="-4.7056305843969418E-4"/>
    <s v="NaN"/>
    <n v="3767.0567257272928"/>
    <n v="-1308.8080385234621"/>
    <n v="2458.2486872038312"/>
    <n v="4.2196729697028361E-2"/>
    <n v="0.86267524399999995"/>
    <n v="-1.111850588"/>
    <s v="NaN"/>
    <n v="-9012.8195981624231"/>
  </r>
  <r>
    <x v="15"/>
    <x v="6"/>
    <n v="2363.096401704001"/>
    <n v="2363.096401704001"/>
    <s v="NaN"/>
    <n v="1.608483751908879"/>
    <n v="-0.59142565617982434"/>
    <n v="1.0170580957290549"/>
    <n v="1.83875882088042E-5"/>
    <n v="3.7482508219355661E-4"/>
    <n v="-4.8308965735668462E-4"/>
    <s v="NaN"/>
    <n v="3801.0021663352231"/>
    <n v="-1397.59583999397"/>
    <n v="2403.4063263412531"/>
    <n v="4.3451643532240111E-2"/>
    <n v="0.885747803"/>
    <n v="-1.141587431"/>
    <s v="NaN"/>
    <n v="-8811.7111073090109"/>
  </r>
  <r>
    <x v="15"/>
    <x v="7"/>
    <n v="2363.214111704001"/>
    <n v="2363.214111704001"/>
    <s v="NaN"/>
    <n v="1.623880261185735"/>
    <n v="-0.66186388860350176"/>
    <n v="0.96201637258223371"/>
    <n v="1.8890242433025149E-5"/>
    <n v="3.7574372867963811E-4"/>
    <n v="-4.8427364593502602E-4"/>
    <s v="NaN"/>
    <n v="3837.5767489517079"/>
    <n v="-1564.12608157508"/>
    <n v="2273.4506673766282"/>
    <n v="4.4641687491234747E-2"/>
    <n v="0.88796288199999995"/>
    <n v="-1.144442314"/>
    <s v="NaN"/>
    <n v="-8335.2090419851957"/>
  </r>
  <r>
    <x v="15"/>
    <x v="8"/>
    <n v="2363.3695617040012"/>
    <n v="2363.3695617040012"/>
    <s v="NaN"/>
    <n v="1.6392337941795541"/>
    <n v="-0.67224591523894572"/>
    <n v="0.96698787894060834"/>
    <n v="1.9415197913950141E-5"/>
    <n v="3.828440442245624E-4"/>
    <n v="-4.9342481848636171E-4"/>
    <s v="NaN"/>
    <n v="3874.1152536805189"/>
    <n v="-1588.7655340555721"/>
    <n v="2285.3497196249468"/>
    <n v="4.588528778428877E-2"/>
    <n v="0.90480196099999111"/>
    <n v="-1.166145196999989"/>
    <s v="NaN"/>
    <n v="-8378.825626148775"/>
  </r>
  <r>
    <x v="15"/>
    <x v="9"/>
    <n v="2363.6688817040008"/>
    <n v="2363.6688817040008"/>
    <s v="NaN"/>
    <n v="1.654600324465"/>
    <n v="-0.66716231882371813"/>
    <n v="0.98743800564128181"/>
    <n v="1.9391506537189029E-5"/>
    <n v="3.9683558778494512E-4"/>
    <n v="-5.114576831626535E-4"/>
    <s v="NaN"/>
    <n v="3910.927298595263"/>
    <n v="-1576.9508120491059"/>
    <n v="2333.976486546158"/>
    <n v="4.5835100571313417E-2"/>
    <n v="0.93798792999999092"/>
    <n v="-1.208916609999988"/>
    <s v="NaN"/>
    <n v="-8557.0884408787842"/>
  </r>
  <r>
    <x v="15"/>
    <x v="10"/>
    <n v="2363.7445000000012"/>
    <n v="2363.7445000000012"/>
    <s v="NaN"/>
    <n v="1.669931335659774"/>
    <n v="-0.70630879449191619"/>
    <n v="0.96362254116785784"/>
    <n v="2.0390668594625071E-5"/>
    <n v="4.023672266609148E-4"/>
    <n v="-5.185870820640675E-4"/>
    <s v="NaN"/>
    <n v="3947.291010043446"/>
    <n v="-1669.533528281898"/>
    <n v="2277.7574817615482"/>
    <n v="4.8198330741867773E-2"/>
    <n v="0.95109331899999106"/>
    <n v="-1.225807362999989"/>
    <s v="NaN"/>
    <n v="-8350.9468755111557"/>
  </r>
  <r>
    <x v="15"/>
    <x v="11"/>
    <n v="2363.64392"/>
    <n v="2363.64392"/>
    <s v="NaN"/>
    <n v="1.68545534134854"/>
    <n v="-0.71325277726464109"/>
    <n v="0.97220256408389893"/>
    <n v="2.077247610032064E-5"/>
    <n v="4.088840454445401E-4"/>
    <n v="-5.269862204963548E-4"/>
    <s v="NaN"/>
    <n v="3983.816270010002"/>
    <n v="-1685.875590404683"/>
    <n v="2297.940679605319"/>
    <n v="4.9098736837868202E-2"/>
    <n v="0.96645628799999106"/>
    <n v="-1.2456077759999891"/>
    <s v="NaN"/>
    <n v="-8424.9389651326728"/>
  </r>
  <r>
    <x v="15"/>
    <x v="12"/>
    <n v="2363.7158483320009"/>
    <n v="2363.7158483320009"/>
    <s v="NaN"/>
    <n v="1.7008313796599139"/>
    <n v="-0.71008289775546607"/>
    <n v="0.99074848190444775"/>
    <n v="2.2124888027292949E-5"/>
    <n v="4.1978504637103152E-4"/>
    <n v="-5.4103586939286124E-4"/>
    <s v="NaN"/>
    <n v="4020.2820874425211"/>
    <n v="-1678.434199054107"/>
    <n v="2341.847888388414"/>
    <n v="5.2296948472683277E-2"/>
    <n v="0.99225256699999098"/>
    <n v="-1.278855058999989"/>
    <s v="NaN"/>
    <n v="-8585.9164704320301"/>
  </r>
  <r>
    <x v="15"/>
    <x v="13"/>
    <n v="2363.9045700000011"/>
    <n v="2363.9045700000011"/>
    <s v="NaN"/>
    <n v="1.7161947617933799"/>
    <n v="-0.75070630313925113"/>
    <n v="0.96548845865412847"/>
    <n v="2.267585144399975E-5"/>
    <n v="4.2919306896470121E-4"/>
    <n v="-5.5316129811736764E-4"/>
    <s v="NaN"/>
    <n v="4056.920640413432"/>
    <n v="-1774.5980607186821"/>
    <n v="2282.3225796947509"/>
    <n v="5.3603548857112132E-2"/>
    <n v="1.014571457137982"/>
    <n v="-1.3076205205667779"/>
    <s v="NaN"/>
    <n v="-8367.6381586614189"/>
  </r>
  <r>
    <x v="15"/>
    <x v="14"/>
    <n v="2364.208340000001"/>
    <n v="2364.208340000001"/>
    <s v="NaN"/>
    <n v="1.7318218572059021"/>
    <n v="-0.78243674439199273"/>
    <n v="0.94938511281390903"/>
    <n v="3.3789433368593382E-5"/>
    <n v="4.7406011863488392E-4"/>
    <n v="-5.9634786412692334E-4"/>
    <s v="NaN"/>
    <n v="4094.3876782004841"/>
    <n v="-1849.8434766139981"/>
    <n v="2244.544201586486"/>
    <n v="7.9885260173902781E-2"/>
    <n v="1.120776886137983"/>
    <n v="-1.4098905939100601"/>
    <s v="NaN"/>
    <n v="-8229.2282348433364"/>
  </r>
  <r>
    <x v="15"/>
    <x v="15"/>
    <n v="2366.8891700000008"/>
    <n v="2366.8891700000008"/>
    <s v="NaN"/>
    <n v="1.7459546897390099"/>
    <n v="-0.78451885845142721"/>
    <n v="0.96143583128758259"/>
    <n v="4.3187213808595101E-5"/>
    <n v="7.4954267298369044E-4"/>
    <n v="-9.2402083969785271E-4"/>
    <s v="NaN"/>
    <n v="4132.4812464539737"/>
    <n v="-1856.869189729447"/>
    <n v="2275.6120567245271"/>
    <n v="0.1022193486460382"/>
    <n v="1.774084435137949"/>
    <n v="-2.187054918335154"/>
    <s v="NaN"/>
    <n v="-8342.77145383067"/>
  </r>
  <r>
    <x v="15"/>
    <x v="16"/>
    <n v="2369.409380000001"/>
    <n v="2369.409380000001"/>
    <s v="NaN"/>
    <n v="1.7601831089444639"/>
    <n v="-0.8101183011254347"/>
    <n v="0.95006480781902902"/>
    <n v="5.1886553651175237E-5"/>
    <n v="1.007772208675029E-3"/>
    <n v="-1.2281535109917739E-3"/>
    <s v="NaN"/>
    <n v="4170.5943688505758"/>
    <n v="-1919.50190159627"/>
    <n v="2251.092467254306"/>
    <n v="0.12294048691696791"/>
    <n v="2.387824924137933"/>
    <n v="-2.9099984490238451"/>
    <s v="NaN"/>
    <n v="-8252.5418587939839"/>
  </r>
  <r>
    <x v="15"/>
    <x v="17"/>
    <n v="2373.1467900000021"/>
    <n v="2373.1467900000021"/>
    <s v="NaN"/>
    <n v="1.752120613909693"/>
    <n v="-0.86291033225746294"/>
    <n v="0.88921028165223048"/>
    <n v="6.4422460675841076E-5"/>
    <n v="1.3697639740767971E-3"/>
    <n v="-1.6576178919670149E-3"/>
    <s v="NaN"/>
    <n v="4158.0394105926207"/>
    <n v="-2047.8128850546329"/>
    <n v="2110.226525537988"/>
    <n v="0.1528839557567736"/>
    <n v="3.2506509781379962"/>
    <n v="-3.9337705793680908"/>
    <s v="NaN"/>
    <n v="-7735.5530629399227"/>
  </r>
  <r>
    <x v="15"/>
    <x v="18"/>
    <n v="2374.5712300000009"/>
    <n v="2374.5712300000009"/>
    <s v="NaN"/>
    <n v="1.7459557278007229"/>
    <n v="-0.86856326649804261"/>
    <n v="0.87739246130268045"/>
    <n v="8.6418276914633624E-5"/>
    <n v="1.527475251663883E-3"/>
    <n v="-1.823260042684086E-3"/>
    <s v="NaN"/>
    <n v="4145.8962400893106"/>
    <n v="-2062.4653440610759"/>
    <n v="2083.4308960282351"/>
    <n v="0.2052063541076623"/>
    <n v="3.6270987871380691"/>
    <n v="-4.3294608421662044"/>
    <s v="NaN"/>
    <n v="-7637.4237145341804"/>
  </r>
  <r>
    <x v="15"/>
    <x v="19"/>
    <n v="2378.4155900000019"/>
    <n v="2378.4155900000019"/>
    <s v="NaN"/>
    <n v="1.738717513578431"/>
    <n v="-0.82504913263572421"/>
    <n v="0.91366838094270642"/>
    <n v="1.1406658737803371E-4"/>
    <n v="1.934640987674541E-3"/>
    <n v="-2.2931729615078798E-3"/>
    <s v="NaN"/>
    <n v="4135.3928409009804"/>
    <n v="-1962.3097195767859"/>
    <n v="2173.0831213241941"/>
    <n v="0.27129774971801268"/>
    <n v="4.601380286138129"/>
    <n v="-5.4541183222168161"/>
    <s v="NaN"/>
    <n v="-7965.8394971394446"/>
  </r>
  <r>
    <x v="15"/>
    <x v="20"/>
    <n v="2382.873860000002"/>
    <n v="2382.873860000002"/>
    <s v="NaN"/>
    <n v="1.7321169397438201"/>
    <n v="-0.84143095346246422"/>
    <n v="0.89068598628135587"/>
    <n v="1.5750714175847221E-4"/>
    <n v="2.392038505193097E-3"/>
    <n v="-2.809344036668614E-3"/>
    <s v="NaN"/>
    <n v="4127.416178178747"/>
    <n v="-2005.023824000584"/>
    <n v="2122.3923541781628"/>
    <n v="0.37531965085957802"/>
    <n v="5.6999260261381108"/>
    <n v="-6.6943124687245259"/>
    <s v="NaN"/>
    <n v="-7779.8353870843084"/>
  </r>
  <r>
    <x v="15"/>
    <x v="21"/>
    <n v="2388.727130000002"/>
    <n v="2388.727130000002"/>
    <s v="NaN"/>
    <n v="1.723580798327407"/>
    <n v="-0.95126345939065193"/>
    <n v="0.77231733893675558"/>
    <n v="1.809091126089464E-4"/>
    <n v="2.9440008227888692E-3"/>
    <n v="-3.458482211976136E-3"/>
    <s v="NaN"/>
    <n v="4117.1642137117396"/>
    <n v="-2272.308833224105"/>
    <n v="1844.8553804876351"/>
    <n v="0.43214250535321558"/>
    <n v="7.0324146361380979"/>
    <n v="-8.2613702883698128"/>
    <s v="NaN"/>
    <n v="-6761.5480802500533"/>
  </r>
  <r>
    <x v="15"/>
    <x v="22"/>
    <n v="2393.5090600000012"/>
    <n v="2393.5090600000012"/>
    <s v="NaN"/>
    <n v="1.7178912846982239"/>
    <n v="-0.96327410921986634"/>
    <n v="0.75461717547835783"/>
    <n v="2.4755359040463541E-4"/>
    <n v="3.4024883202815369E-3"/>
    <n v="-3.9305619528032746E-3"/>
    <s v="NaN"/>
    <n v="4111.7883540202411"/>
    <n v="-2305.6053076811809"/>
    <n v="1806.18304633906"/>
    <n v="0.59252176146902424"/>
    <n v="8.1438866211380461"/>
    <n v="-9.4078356449259353"/>
    <s v="NaN"/>
    <n v="-6620.2092699486539"/>
  </r>
  <r>
    <x v="15"/>
    <x v="23"/>
    <n v="2400.4839500000012"/>
    <n v="2400.4839500000012"/>
    <s v="NaN"/>
    <n v="1.710463753278626"/>
    <n v="-0.95581260543235014"/>
    <n v="0.75465114784627585"/>
    <n v="2.9917464886829843E-4"/>
    <n v="4.0440279078466706E-3"/>
    <n v="-4.6125941719784404E-3"/>
    <s v="NaN"/>
    <n v="4105.9407868021044"/>
    <n v="-2294.4128185480399"/>
    <n v="1811.5279682540629"/>
    <n v="0.71816394285523621"/>
    <n v="9.7076240861380168"/>
    <n v="-11.072458277697789"/>
    <s v="NaN"/>
    <n v="-6639.8980926869181"/>
  </r>
  <r>
    <x v="15"/>
    <x v="24"/>
    <n v="2408.7871300000011"/>
    <n v="2408.7871300000011"/>
    <s v="NaN"/>
    <n v="1.701774138508116"/>
    <n v="-0.98354300232244485"/>
    <n v="0.71823113618567158"/>
    <n v="3.5039057700602582E-4"/>
    <n v="4.7974235112830336E-3"/>
    <n v="-5.3994705197458687E-3"/>
    <s v="NaN"/>
    <n v="4099.2116430051901"/>
    <n v="-2369.1457257958659"/>
    <n v="1730.065917209324"/>
    <n v="0.84401631236538932"/>
    <n v="11.555972011137991"/>
    <n v="-13.006175096778261"/>
    <s v="NaN"/>
    <n v="-6341.3523449327558"/>
  </r>
  <r>
    <x v="15"/>
    <x v="25"/>
    <n v="2414.9258000000009"/>
    <n v="2414.9258000000009"/>
    <s v="NaN"/>
    <n v="1.6928942526992239"/>
    <n v="-1.016398463954137"/>
    <n v="0.67649578874508653"/>
    <n v="3.7367848073520279E-4"/>
    <n v="5.3669648985231432E-3"/>
    <n v="-5.8675067367961568E-3"/>
    <s v="NaN"/>
    <n v="4088.2140075150769"/>
    <n v="-2454.5268736832181"/>
    <n v="1633.6871338318599"/>
    <n v="0.90240580403224468"/>
    <n v="12.960822001137929"/>
    <n v="-14.169593400362849"/>
    <s v="NaN"/>
    <n v="-5989.0628168683243"/>
  </r>
  <r>
    <x v="15"/>
    <x v="26"/>
    <n v="2416.3191100000008"/>
    <n v="2416.3191100000008"/>
    <s v="NaN"/>
    <n v="1.6871782290611661"/>
    <n v="-1.028309061363363"/>
    <n v="0.6588691676978029"/>
    <n v="3.9787368133238919E-4"/>
    <n v="5.4716736963347197E-3"/>
    <n v="-6.003064907831172E-3"/>
    <s v="NaN"/>
    <n v="4076.7609968564539"/>
    <n v="-2484.7228359584578"/>
    <n v="1592.038160897996"/>
    <n v="0.96138977956950267"/>
    <n v="13.221309716137929"/>
    <n v="-14.505320455362851"/>
    <s v="NaN"/>
    <n v="-5836.2903131077819"/>
  </r>
  <r>
    <x v="15"/>
    <x v="27"/>
    <n v="2420.241840000002"/>
    <n v="2420.241840000002"/>
    <s v="NaN"/>
    <n v="1.695597629487293"/>
    <n v="-1.062803991939457"/>
    <n v="0.63279363754783657"/>
    <n v="4.1948806717254772E-4"/>
    <n v="5.815373795925287E-3"/>
    <n v="-6.4477397330520289E-3"/>
    <s v="NaN"/>
    <n v="4103.7563266899679"/>
    <n v="-2572.2426890108982"/>
    <n v="1531.5136376790699"/>
    <n v="1.0152625715517309"/>
    <n v="14.074610976138009"/>
    <n v="-15.605089475362959"/>
    <s v="NaN"/>
    <n v="-5613.6608797556328"/>
  </r>
  <r>
    <x v="15"/>
    <x v="28"/>
    <n v="2421.966730000001"/>
    <n v="2421.966730000001"/>
    <s v="NaN"/>
    <n v="1.705233415926789"/>
    <n v="-1.081430298092074"/>
    <n v="0.62380311783471465"/>
    <n v="4.251756779333617E-4"/>
    <n v="5.9502247234164479E-3"/>
    <n v="-6.6222869441988864E-3"/>
    <s v="NaN"/>
    <n v="4130.0186002589371"/>
    <n v="-2619.1882027929878"/>
    <n v="1510.8303974659491"/>
    <n v="1.0297613463597981"/>
    <n v="14.411246316138101"/>
    <n v="-16.038958655363079"/>
    <s v="NaN"/>
    <n v="-5537.5189704018121"/>
  </r>
  <r>
    <x v="15"/>
    <x v="29"/>
    <n v="2422.4700400000011"/>
    <n v="2422.4700400000011"/>
    <s v="NaN"/>
    <n v="1.7161473466978401"/>
    <n v="-1.0627078281644819"/>
    <n v="0.65343951853335869"/>
    <n v="4.2675242381007939E-4"/>
    <n v="5.9683477679410317E-3"/>
    <n v="-6.6458621033608258E-3"/>
    <s v="NaN"/>
    <n v="4157.3155316010116"/>
    <n v="-2574.377875001926"/>
    <n v="1582.9376565990869"/>
    <n v="1.033794961177301"/>
    <n v="14.458143656138031"/>
    <n v="-16.09940183536299"/>
    <s v="NaN"/>
    <n v="-5801.8773757310046"/>
  </r>
  <r>
    <x v="15"/>
    <x v="30"/>
    <n v="2422.791200000001"/>
    <n v="2422.791200000001"/>
    <s v="NaN"/>
    <n v="1.731337412124045"/>
    <n v="-1.025788800974853"/>
    <n v="0.70554861114919287"/>
    <n v="4.2866098146730942E-4"/>
    <n v="5.9768171814137449E-3"/>
    <n v="-6.6569165309676654E-3"/>
    <s v="NaN"/>
    <n v="4194.6690463249124"/>
    <n v="-2485.2720800604252"/>
    <n v="1709.396966264487"/>
    <n v="1.038556053682361"/>
    <n v="14.48058007113803"/>
    <n v="-16.128318790362989"/>
    <s v="NaN"/>
    <n v="-6265.5552065300317"/>
  </r>
  <r>
    <x v="15"/>
    <x v="31"/>
    <n v="2423.1777300000008"/>
    <n v="2423.1777300000008"/>
    <s v="NaN"/>
    <n v="1.713891509131577"/>
    <n v="-1.0468557539752199"/>
    <n v="0.6670357551563576"/>
    <n v="4.3070584238439789E-4"/>
    <n v="5.9954984569530467E-3"/>
    <n v="-6.6811606016051218E-3"/>
    <s v="NaN"/>
    <n v="4153.0637365637313"/>
    <n v="-2536.7175495551119"/>
    <n v="1616.3461870086189"/>
    <n v="1.043676805446764"/>
    <n v="14.52815834113799"/>
    <n v="-16.18963958036294"/>
    <s v="NaN"/>
    <n v="-5924.3374027749542"/>
  </r>
  <r>
    <x v="15"/>
    <x v="32"/>
    <n v="2423.2835300000011"/>
    <n v="2423.2835300000011"/>
    <s v="NaN"/>
    <n v="1.70341928462954"/>
    <n v="-1.0708858898207601"/>
    <n v="0.63253339480878079"/>
    <n v="4.302577263070312E-4"/>
    <n v="5.9952828987113937E-3"/>
    <n v="-6.6809284530411194E-3"/>
    <s v="NaN"/>
    <n v="4127.8678971271484"/>
    <n v="-2595.0601393120419"/>
    <n v="1532.807757815106"/>
    <n v="1.042636461815077"/>
    <n v="14.52827030613798"/>
    <n v="-16.189783885362932"/>
    <s v="NaN"/>
    <n v="-5618.0258958920658"/>
  </r>
  <r>
    <x v="15"/>
    <x v="33"/>
    <n v="2424.3043299999999"/>
    <n v="2424.3043299999999"/>
    <s v="NaN"/>
    <n v="1.7059435073436551"/>
    <n v="-1.0514148292554231"/>
    <n v="0.65452867808823145"/>
    <n v="4.411940395134046E-4"/>
    <n v="6.0693782038495087E-3"/>
    <n v="-6.7768659274704754E-3"/>
    <s v="NaN"/>
    <n v="4135.7262315886092"/>
    <n v="-2548.9495231901328"/>
    <n v="1586.7767083984761"/>
    <n v="1.069588620362538"/>
    <n v="14.71401985999999"/>
    <n v="-16.429185411796141"/>
    <s v="NaN"/>
    <n v="-5815.8141487130169"/>
  </r>
  <r>
    <x v="16"/>
    <x v="0"/>
    <n v="481.07439999999991"/>
    <n v="193.2860684825466"/>
    <n v="287.78833151745329"/>
    <n v="6.5828082510628727"/>
    <n v="-4.0786353348076014"/>
    <n v="2.5041729162552722"/>
    <n v="0.1307926405143274"/>
    <n v="4.7624706257579703E-2"/>
    <n v="-4.9977022040627421E-2"/>
    <n v="-1.6046053843067929"/>
    <n v="3166.8205296951201"/>
    <n v="-1962.1270465113651"/>
    <n v="1204.693483183755"/>
    <n v="62.920991059845733"/>
    <n v="22.911026988041389"/>
    <n v="-9.6598621046984512"/>
    <n v="-461.78670629357413"/>
    <n v="-3003.2894203892952"/>
  </r>
  <r>
    <x v="16"/>
    <x v="1"/>
    <n v="500.2007999999995"/>
    <n v="201.42027244229931"/>
    <n v="298.78052755770022"/>
    <n v="6.4393444911432098"/>
    <n v="-3.9722076045314081"/>
    <n v="2.4671368866118022"/>
    <n v="0.111133617370739"/>
    <n v="7.3981583635765791E-2"/>
    <n v="-5.4837860469034633E-2"/>
    <n v="-1.600771748805764"/>
    <n v="3220.9652659454232"/>
    <n v="-1986.901421552692"/>
    <n v="1234.063844392731"/>
    <n v="55.589124315737457"/>
    <n v="37.005647319876921"/>
    <n v="-11.04545679582575"/>
    <n v="-478.27942760764847"/>
    <n v="-3070.2236826248081"/>
  </r>
  <r>
    <x v="16"/>
    <x v="2"/>
    <n v="516.87919999999951"/>
    <n v="208.5122000156957"/>
    <n v="308.36699998430379"/>
    <n v="6.3470561687570113"/>
    <n v="-4.3121132533030222"/>
    <n v="2.0349429154539891"/>
    <n v="9.6083422955830028E-2"/>
    <n v="0.1477895180322373"/>
    <n v="-5.7936997421375327E-2"/>
    <n v="-1.603716806199815"/>
    <n v="3280.6613148621859"/>
    <n v="-2228.841648676661"/>
    <n v="1051.819666185525"/>
    <n v="49.66352279067101"/>
    <n v="76.389327848888314"/>
    <n v="-12.08057079463466"/>
    <n v="-494.53334035224623"/>
    <n v="-2461.2815541536352"/>
  </r>
  <r>
    <x v="16"/>
    <x v="3"/>
    <n v="532.85660000000041"/>
    <n v="215.30513412008079"/>
    <n v="317.55146587991959"/>
    <n v="6.2601471043974071"/>
    <n v="-4.0116204426014512"/>
    <n v="2.248526661795955"/>
    <n v="8.7562758299047527E-2"/>
    <n v="-3.2274328651028007E-2"/>
    <n v="-5.8913828266955362E-2"/>
    <n v="-1.598675575504465"/>
    <n v="3335.7607015490498"/>
    <n v="-2137.6184295351059"/>
    <n v="1198.142272013944"/>
    <n v="46.658393673852288"/>
    <n v="-17.197589032269381"/>
    <n v="-12.684449696544229"/>
    <n v="-507.66177246786719"/>
    <n v="-2593.2751331343229"/>
  </r>
  <r>
    <x v="16"/>
    <x v="4"/>
    <n v="552.29500000000007"/>
    <n v="223.42245352306591"/>
    <n v="328.87254647693419"/>
    <n v="6.1438821284589196"/>
    <n v="-4.1842320569797113"/>
    <n v="1.95965007147921"/>
    <n v="8.9731255597773549E-2"/>
    <n v="1.8004758835649649E-2"/>
    <n v="-5.7132020168378379E-2"/>
    <n v="-1.595609915998154"/>
    <n v="3393.2353801372201"/>
    <n v="-2310.9304439096099"/>
    <n v="1082.3049362276099"/>
    <n v="49.558123810372351"/>
    <n v="9.9439382811351251"/>
    <n v="-12.76457612074838"/>
    <n v="-524.75229625815996"/>
    <n v="-2215.7304617809691"/>
  </r>
  <r>
    <x v="16"/>
    <x v="5"/>
    <n v="575.6717000000001"/>
    <n v="232.30970907862141"/>
    <n v="343.36199092137872"/>
    <n v="6.011058199802366"/>
    <n v="-4.2727992050511041"/>
    <n v="1.7382589947512621"/>
    <n v="8.4282923058765044E-2"/>
    <n v="6.745829492132327E-2"/>
    <n v="-5.7192581161903247E-2"/>
    <n v="-1.6053016574390691"/>
    <n v="3460.3960926791679"/>
    <n v="-2459.7295821304178"/>
    <n v="1000.66651054875"/>
    <n v="48.519293598208478"/>
    <n v="38.833831316459538"/>
    <n v="-13.286391891177191"/>
    <n v="-551.1995731276678"/>
    <n v="-1919.6234582969421"/>
  </r>
  <r>
    <x v="16"/>
    <x v="6"/>
    <n v="596.3194000000002"/>
    <n v="241.607032029441"/>
    <n v="354.71236797055923"/>
    <n v="5.9338532781392672"/>
    <n v="-4.300073260036438"/>
    <n v="1.633780018102829"/>
    <n v="8.4132521371117888E-2"/>
    <n v="9.4172422308786016E-2"/>
    <n v="-5.4309400098003877E-2"/>
    <n v="-1.610402610948652"/>
    <n v="3538.4718265080419"/>
    <n v="-2564.2171063809742"/>
    <n v="974.25472012706814"/>
    <n v="50.169854664512208"/>
    <n v="56.156842367721907"/>
    <n v="-13.121532968978149"/>
    <n v="-571.22972351556768"/>
    <n v="-1819.5105891409401"/>
  </r>
  <r>
    <x v="16"/>
    <x v="7"/>
    <n v="607.42009999999971"/>
    <n v="245.64555555885281"/>
    <n v="361.77454444114687"/>
    <n v="5.951877618950066"/>
    <n v="-3.924167862800783"/>
    <n v="2.0277097561492829"/>
    <n v="9.38944921717704E-2"/>
    <n v="-8.9257564567409464E-2"/>
    <n v="-5.1157846824435908E-2"/>
    <n v="-1.602851303586236"/>
    <n v="3615.290098490409"/>
    <n v="-2383.6184356392368"/>
    <n v="1231.671662851172"/>
    <n v="57.033401824425972"/>
    <n v="-54.21683879529229"/>
    <n v="-12.56669770438325"/>
    <n v="-579.87080016180892"/>
    <n v="-2354.1860027186308"/>
  </r>
  <r>
    <x v="16"/>
    <x v="8"/>
    <n v="620.01479999999947"/>
    <n v="250.6009828315801"/>
    <n v="369.41381716841943"/>
    <n v="5.9935357107366576"/>
    <n v="-4.288320609731854"/>
    <n v="1.705215101004804"/>
    <n v="8.2327995893371544E-2"/>
    <n v="1.8724756137365219E-2"/>
    <n v="-4.8147604147214668E-2"/>
    <n v="-1.5970453743968831"/>
    <n v="3716.0808449852429"/>
    <n v="-2658.822245178771"/>
    <n v="1057.2585998064719"/>
    <n v="51.04457590822954"/>
    <n v="11.609625931557259"/>
    <n v="-12.06583692027786"/>
    <n v="-589.97062794712008"/>
    <n v="-1898.8799015226641"/>
  </r>
  <r>
    <x v="16"/>
    <x v="9"/>
    <n v="632.34950000000003"/>
    <n v="256.65180613579611"/>
    <n v="375.69769386420398"/>
    <n v="6.0494228645298378"/>
    <n v="-4.3922149435196864"/>
    <n v="1.6572079210101509"/>
    <n v="8.4746131189702797E-2"/>
    <n v="-2.1453417128145299E-2"/>
    <n v="-4.6176840952072543E-2"/>
    <n v="-1.594261165451925"/>
    <n v="3825.3495236740109"/>
    <n v="-2777.4149234272022"/>
    <n v="1047.9346002468089"/>
    <n v="53.589173684742967"/>
    <n v="-13.56605759427411"/>
    <n v="-11.85136963199481"/>
    <n v="-598.96024327754617"/>
    <n v="-1749.5357125685259"/>
  </r>
  <r>
    <x v="16"/>
    <x v="10"/>
    <n v="647.18750000000023"/>
    <n v="262.6918471628365"/>
    <n v="384.49565283716379"/>
    <n v="6.0540713572073628"/>
    <n v="-4.7576439719364627"/>
    <n v="1.296427385270901"/>
    <n v="8.7017335890386835E-2"/>
    <n v="-0.104198610967236"/>
    <n v="-4.3969330370517049E-2"/>
    <n v="-1.588736012927054"/>
    <n v="3918.119306492641"/>
    <n v="-3079.0877080876298"/>
    <n v="839.03159840501121"/>
    <n v="56.316532071559749"/>
    <n v="-67.436038535358065"/>
    <n v="-11.55038461354413"/>
    <n v="-610.86209047630052"/>
    <n v="-753.49859512175215"/>
  </r>
  <r>
    <x v="16"/>
    <x v="11"/>
    <n v="661.79550000000006"/>
    <n v="267.56231382950313"/>
    <n v="394.23318617049699"/>
    <n v="6.2126826867495888"/>
    <n v="-4.8447071076865704"/>
    <n v="1.367975579063019"/>
    <n v="9.1564796140228139E-2"/>
    <n v="-1.060012977374695E-3"/>
    <n v="-4.0047984573119137E-2"/>
    <n v="-1.584179812020174"/>
    <n v="4111.5254450187877"/>
    <n v="-3206.205362684987"/>
    <n v="905.3200823338002"/>
    <n v="60.597170044020359"/>
    <n v="-0.701511818368175"/>
    <n v="-10.715331416592001"/>
    <n v="-624.53625475969216"/>
    <n v="-1209.8685660717269"/>
  </r>
  <r>
    <x v="16"/>
    <x v="12"/>
    <n v="675.99250000000006"/>
    <n v="272.31054240093158"/>
    <n v="403.68195759906843"/>
    <n v="6.1621728602155059"/>
    <n v="-4.9395309179285514"/>
    <n v="1.2226419422869541"/>
    <n v="9.3829485762754031E-2"/>
    <n v="2.9154781270108131E-2"/>
    <n v="-3.5417153336871017E-2"/>
    <n v="-1.5749577801563279"/>
    <n v="4165.5826372092306"/>
    <n v="-3339.0858540378172"/>
    <n v="826.49678317141388"/>
    <n v="63.42802865447851"/>
    <n v="19.708413477733568"/>
    <n v="-9.6444642354603101"/>
    <n v="-635.78203982938976"/>
    <n v="-968.75797787559975"/>
  </r>
  <r>
    <x v="16"/>
    <x v="13"/>
    <n v="684.23250000000019"/>
    <n v="274.71467573426492"/>
    <n v="409.51782426573533"/>
    <n v="6.2268165446527783"/>
    <n v="-4.8120576852773009"/>
    <n v="1.414758859375477"/>
    <n v="9.7459098674318401E-2"/>
    <n v="-6.8299427585305425E-2"/>
    <n v="-3.0513598216039689E-2"/>
    <n v="-1.5756062341659809"/>
    <n v="4260.5902513891333"/>
    <n v="-3292.566260141502"/>
    <n v="968.02399124763133"/>
    <n v="66.684682733675587"/>
    <n v="-46.73268808526251"/>
    <n v="-8.3825332394049887"/>
    <n v="-645.23883691518131"/>
    <n v="-1225.966924385458"/>
  </r>
  <r>
    <x v="16"/>
    <x v="14"/>
    <n v="693.11449999999991"/>
    <n v="279.45286348936702"/>
    <n v="413.66163651063289"/>
    <n v="6.3142863337964759"/>
    <n v="-4.5438391233692643"/>
    <n v="1.770447210427212"/>
    <n v="0.1022591282788488"/>
    <n v="-0.18256209746363139"/>
    <n v="-2.5472466638276039E-2"/>
    <n v="-1.581285489855174"/>
    <n v="4376.5234151061768"/>
    <n v="-3149.400782074526"/>
    <n v="1227.122633031651"/>
    <n v="70.877284567430124"/>
    <n v="-126.5364369024562"/>
    <n v="-7.1183537422036096"/>
    <n v="-654.11714352400918"/>
    <n v="-1870.835939245015"/>
  </r>
  <r>
    <x v="16"/>
    <x v="15"/>
    <n v="702.35350000000039"/>
    <n v="284.66971612094602"/>
    <n v="417.68378387905437"/>
    <n v="6.4105768598726529"/>
    <n v="-4.8488250253783969"/>
    <n v="1.561751834494256"/>
    <n v="0.1087964326870043"/>
    <n v="-0.120372588677572"/>
    <n v="-1.9728617489761058E-2"/>
    <n v="-1.588055048225395"/>
    <n v="4502.4910945505699"/>
    <n v="-3405.5892274621078"/>
    <n v="1096.901867088462"/>
    <n v="76.413555285231894"/>
    <n v="-84.544108961753139"/>
    <n v="-5.6161399402690098"/>
    <n v="-663.30484155101703"/>
    <n v="-1539.451217042541"/>
  </r>
  <r>
    <x v="16"/>
    <x v="16"/>
    <n v="708.39049999999997"/>
    <n v="290.29746612094601"/>
    <n v="418.09303387905402"/>
    <n v="6.4935457778746937"/>
    <n v="-4.5474530102036343"/>
    <n v="1.9460927676710591"/>
    <n v="-0.15681074676408141"/>
    <n v="8.3717434193823631E-2"/>
    <n v="-2.8857323598613718E-2"/>
    <n v="-1.5894261030213299"/>
    <n v="4599.9661403615428"/>
    <n v="-3221.3725116246578"/>
    <n v="1378.593628736885"/>
    <n v="-111.08324330558099"/>
    <n v="59.304635067279818"/>
    <n v="-8.3772079197097398"/>
    <n v="-664.52798153874983"/>
    <n v="-2397.6693804806741"/>
  </r>
  <r>
    <x v="16"/>
    <x v="17"/>
    <n v="713.96549999999991"/>
    <n v="293.90520177801909"/>
    <n v="420.06029822198082"/>
    <n v="6.6209968940860788"/>
    <n v="-4.8601114618365902"/>
    <n v="1.7608854322494889"/>
    <n v="-8.9426164632120705E-2"/>
    <n v="0.18779068746748279"/>
    <n v="-2.0432413732341888E-2"/>
    <n v="-1.589460909147683"/>
    <n v="4727.1633579846139"/>
    <n v="-3469.9519099058921"/>
    <n v="1257.211448078722"/>
    <n v="-63.847196344654357"/>
    <n v="134.07607207306509"/>
    <n v="-6.0051926808159104"/>
    <n v="-667.66942350875661"/>
    <n v="-2397.140927931272"/>
  </r>
  <r>
    <x v="16"/>
    <x v="18"/>
    <n v="718.21450000000027"/>
    <n v="296.11538208069931"/>
    <n v="422.09911791930102"/>
    <n v="6.7531746520259013"/>
    <n v="-4.5744561072636456"/>
    <n v="2.1787185447622539"/>
    <n v="-8.5081996815237509E-2"/>
    <n v="0.11088924612216899"/>
    <n v="-2.2798264225601141E-2"/>
    <n v="-1.588429122030341"/>
    <n v="4850.2279561174582"/>
    <n v="-3285.440705850307"/>
    <n v="1564.787250267151"/>
    <n v="-61.107123801657423"/>
    <n v="79.642264459010548"/>
    <n v="-6.7509167219406203"/>
    <n v="-670.47453128633651"/>
    <n v="-3322.3554573597989"/>
  </r>
  <r>
    <x v="16"/>
    <x v="19"/>
    <n v="724.06231000000037"/>
    <n v="299.33486454963469"/>
    <n v="424.72744545036562"/>
    <n v="6.8960343253245524"/>
    <n v="-4.8306087267178404"/>
    <n v="2.0654255986067112"/>
    <n v="-5.3093834119757093E-2"/>
    <n v="0.191658067709334"/>
    <n v="-9.7383238835958615E-3"/>
    <n v="-1.5893674729321221"/>
    <n v="4993.1585434337894"/>
    <n v="-3497.6617133734799"/>
    <n v="1495.4968300603091"/>
    <n v="-38.443244179508163"/>
    <n v="138.77238323575691"/>
    <n v="-2.9150198606366402"/>
    <n v="-675.04798666036322"/>
    <n v="-3365.4975295173499"/>
  </r>
  <r>
    <x v="16"/>
    <x v="20"/>
    <n v="731.57630999999947"/>
    <n v="303.06402407582158"/>
    <n v="428.51228592417777"/>
    <n v="6.9859483642173172"/>
    <n v="-5.1076989085839104"/>
    <n v="1.878249455633406"/>
    <n v="5.6631669317698648E-2"/>
    <n v="0.27919070041931948"/>
    <n v="-6.638959404732787E-3"/>
    <n v="-1.5947491971566821"/>
    <n v="5110.7543261446372"/>
    <n v="-3736.671520132842"/>
    <n v="1374.0828060117949"/>
    <n v="41.430387668582171"/>
    <n v="204.2493023990811"/>
    <n v="-2.0120297528743398"/>
    <n v="-683.36962394935722"/>
    <n v="-3426.0630887168099"/>
  </r>
  <r>
    <x v="16"/>
    <x v="21"/>
    <n v="736.62931000000049"/>
    <n v="305.48776959363317"/>
    <n v="431.14154040636731"/>
    <n v="7.0877814816413141"/>
    <n v="-5.1361124033709906"/>
    <n v="1.9516690782703241"/>
    <n v="6.0824971247017037E-2"/>
    <n v="0.26551684091545358"/>
    <n v="-4.4931429224755702E-3"/>
    <n v="-1.596524332126968"/>
    <n v="5221.0675822522226"/>
    <n v="-3783.4109357776169"/>
    <n v="1437.6566464746061"/>
    <n v="44.805456600460033"/>
    <n v="195.58748731693049"/>
    <n v="-1.372600209852481"/>
    <n v="-688.3279598494679"/>
    <n v="-3623.9464445534741"/>
  </r>
  <r>
    <x v="16"/>
    <x v="22"/>
    <n v="742.48130999999989"/>
    <n v="308.67779706238878"/>
    <n v="433.80351293761112"/>
    <n v="7.17703228430452"/>
    <n v="-5.1183450175154501"/>
    <n v="2.0586872667890699"/>
    <n v="5.4780159246514387E-2"/>
    <n v="0.22358444332966529"/>
    <n v="-3.206311124496436E-3"/>
    <n v="-1.5998246055406371"/>
    <n v="5328.8123323627105"/>
    <n v="-3800.2755136368442"/>
    <n v="1528.536818725868"/>
    <n v="40.673244399360613"/>
    <n v="166.00727037903059"/>
    <n v="-0.98971705460619042"/>
    <n v="-694.00953396755642"/>
    <n v="-3814.1329691013661"/>
  </r>
  <r>
    <x v="16"/>
    <x v="23"/>
    <n v="747.13337000000035"/>
    <n v="310.95942321386502"/>
    <n v="436.17394678613539"/>
    <n v="7.2569624452631416"/>
    <n v="-5.1339574069651714"/>
    <n v="2.1230050382979719"/>
    <n v="8.9616743378623021E-2"/>
    <n v="0.231919975921555"/>
    <n v="-7.4106403050655384E-3"/>
    <n v="-1.59102673989493"/>
    <n v="5421.9188076928949"/>
    <n v="-3835.7508989023509"/>
    <n v="1586.1679087905441"/>
    <n v="66.955659488895833"/>
    <n v="173.27515318059031"/>
    <n v="-2.3044084349085998"/>
    <n v="-693.96441258224968"/>
    <n v="-4143.8096349575744"/>
  </r>
  <r>
    <x v="16"/>
    <x v="24"/>
    <n v="752.88977999999986"/>
    <n v="313.52342297966311"/>
    <n v="439.36635702033669"/>
    <n v="7.3482406618927198"/>
    <n v="-5.4771677641284473"/>
    <n v="1.871072897764273"/>
    <n v="0.1356290299505587"/>
    <n v="0.30381580977957517"/>
    <n v="4.0127275675568477E-3"/>
    <n v="-1.5894068445321849"/>
    <n v="5532.4152953194634"/>
    <n v="-4123.7036329577577"/>
    <n v="1408.711662361706"/>
    <n v="102.1137105210895"/>
    <n v="228.73981818546619"/>
    <n v="1.2580840824652799"/>
    <n v="-698.33189510529473"/>
    <n v="-3822.4683935002649"/>
  </r>
  <r>
    <x v="16"/>
    <x v="25"/>
    <n v="758.38259000000039"/>
    <n v="316.21238603908159"/>
    <n v="442.1702039609188"/>
    <n v="7.408369524271766"/>
    <n v="-5.3055801008244661"/>
    <n v="2.1027894234472999"/>
    <n v="0.1535972492448518"/>
    <n v="0.26584818661884102"/>
    <n v="-2.595454665031101E-3"/>
    <n v="-1.596442271080069"/>
    <n v="5618.3784674942926"/>
    <n v="-4023.6595783157218"/>
    <n v="1594.7188891785711"/>
    <n v="116.4854796991863"/>
    <n v="201.61463631480009"/>
    <n v="-0.82071491248574979"/>
    <n v="-705.89920461530653"/>
    <n v="-4422.3633141045402"/>
  </r>
  <r>
    <x v="16"/>
    <x v="26"/>
    <n v="763.68238999999949"/>
    <n v="318.16694812086598"/>
    <n v="445.51544187913362"/>
    <n v="7.609435693711732"/>
    <n v="-5.4641631297537412"/>
    <n v="2.1452725639579908"/>
    <n v="0.1518710633484156"/>
    <n v="0.23542912994419199"/>
    <n v="-1.567315273136111E-2"/>
    <n v="-1.5998878897083679"/>
    <n v="5811.1920371250799"/>
    <n v="-4172.8851582802135"/>
    <n v="1638.306878844865"/>
    <n v="115.9812566297593"/>
    <n v="179.79308063140101"/>
    <n v="-4.9866791719693788"/>
    <n v="-712.77476014049819"/>
    <n v="-4459.8391815767854"/>
  </r>
  <r>
    <x v="16"/>
    <x v="27"/>
    <n v="768.81814000000031"/>
    <n v="320.17987369707419"/>
    <n v="448.63826630292613"/>
    <n v="7.598981423171546"/>
    <n v="-6.1795082138911424"/>
    <n v="1.419473209280403"/>
    <n v="0.30640291568138289"/>
    <n v="0.39325619199066592"/>
    <n v="-6.1492643749121792E-3"/>
    <n v="-1.604727426110133"/>
    <n v="5842.2347636573031"/>
    <n v="-4750.9180111185124"/>
    <n v="1091.316752538791"/>
    <n v="235.56811972473781"/>
    <n v="302.34249406974669"/>
    <n v="-1.968870690889299"/>
    <n v="-719.94213033880692"/>
    <n v="-3326.8266727800919"/>
  </r>
  <r>
    <x v="16"/>
    <x v="28"/>
    <n v="771.64361999999994"/>
    <n v="320.70048198703711"/>
    <n v="450.94313801296289"/>
    <n v="7.6248473543739612"/>
    <n v="-6.2021665170077132"/>
    <n v="1.4226808373662481"/>
    <n v="0.249572585982378"/>
    <n v="0.29342141552313261"/>
    <n v="-9.7681646830448006E-3"/>
    <n v="-1.6098593643523129"/>
    <n v="5883.6648144765459"/>
    <n v="-4785.8622230266228"/>
    <n v="1097.8025914499231"/>
    <n v="192.58109370020341"/>
    <n v="226.41676325979421"/>
    <n v="-3.13265512198122"/>
    <n v="-725.95503352058586"/>
    <n v="-2888.2801191472249"/>
  </r>
  <r>
    <x v="16"/>
    <x v="29"/>
    <n v="774.79350999999997"/>
    <n v="321.632265712037"/>
    <n v="453.16124428796297"/>
    <n v="7.6189884664720662"/>
    <n v="-6.4341519285990136"/>
    <n v="1.184836537873053"/>
    <n v="0.27138532348642519"/>
    <n v="0.31273251443604849"/>
    <n v="-1.154531976984885E-2"/>
    <n v="-1.6135497074544081"/>
    <n v="5903.1428165874086"/>
    <n v="-4985.1391566324992"/>
    <n v="918.00365995491029"/>
    <n v="210.26758734653279"/>
    <n v="242.30312255103169"/>
    <n v="-3.71334735594646"/>
    <n v="-731.19819315051825"/>
    <n v="-2330.7637076022479"/>
  </r>
  <r>
    <x v="16"/>
    <x v="30"/>
    <n v="776.42783000000054"/>
    <n v="321.632265712037"/>
    <n v="454.79556428796349"/>
    <n v="7.5966318749759658"/>
    <n v="-6.2444422968894466"/>
    <n v="1.352189578086519"/>
    <n v="0.13869300963985459"/>
    <n v="0.19727305496874981"/>
    <n v="-1.7360416796998651E-2"/>
    <n v="-1.5821359585869359"/>
    <n v="5898.2364019964243"/>
    <n v="-4848.3587821340934"/>
    <n v="1049.877619862332"/>
    <n v="107.68511251084151"/>
    <n v="153.16828998685719"/>
    <n v="-5.5836701881239801"/>
    <n v="-719.54841606582363"/>
    <n v="-2147.1960990558318"/>
  </r>
  <r>
    <x v="16"/>
    <x v="31"/>
    <n v="778.44430999999963"/>
    <n v="321.632265712037"/>
    <n v="456.81204428796258"/>
    <n v="7.5930673016400334"/>
    <n v="-6.5938457727935544"/>
    <n v="0.9992215288464783"/>
    <n v="0.181635190481019"/>
    <n v="0.25128866278418149"/>
    <n v="-1.402283316589756E-2"/>
    <n v="-1.557630496682072"/>
    <n v="5910.7800364087343"/>
    <n v="-5132.9417228486927"/>
    <n v="777.83831356004157"/>
    <n v="141.39288052571541"/>
    <n v="195.61422971185479"/>
    <n v="-4.5101956028495298"/>
    <n v="-711.54437143461166"/>
    <n v="-1462.2331414540181"/>
  </r>
  <r>
    <x v="16"/>
    <x v="32"/>
    <n v="780.53619999999978"/>
    <n v="321.632265712037"/>
    <n v="458.90393428796278"/>
    <n v="7.5757992117747657"/>
    <n v="-6.3898567204940084"/>
    <n v="1.185942491280759"/>
    <n v="0.35169808546672843"/>
    <n v="3.3569383676244673E-2"/>
    <n v="-1.6480984418180151E-2"/>
    <n v="-1.531324958446141"/>
    <n v="5913.1855287216686"/>
    <n v="-4987.5144831588532"/>
    <n v="925.67104556281629"/>
    <n v="274.51308717747531"/>
    <n v="26.202119170998039"/>
    <n v="-5.3008163595840596"/>
    <n v="-702.73104810428526"/>
    <n v="-1900.6327539740471"/>
  </r>
  <r>
    <x v="16"/>
    <x v="33"/>
    <n v="782.08385999999996"/>
    <n v="321.63226571199999"/>
    <n v="460.45159428800002"/>
    <n v="7.5125816107009298"/>
    <n v="-6.4761083929661973"/>
    <n v="1.036473217734732"/>
    <n v="0.45222783923887649"/>
    <n v="8.3643803210566206E-2"/>
    <n v="-1.9810390606163231E-2"/>
    <n v="-1.510844843803878"/>
    <n v="5875.4688246619999"/>
    <n v="-5064.8598497494004"/>
    <n v="810.60897491259948"/>
    <n v="353.68009411140002"/>
    <n v="65.416468480000006"/>
    <n v="-6.3716608153000003"/>
    <n v="-695.67091705129997"/>
    <n v="-1934.7641853373079"/>
  </r>
  <r>
    <x v="17"/>
    <x v="0"/>
    <n v="95.556068835701552"/>
    <n v="94.930064244655711"/>
    <n v="0.62600459104584716"/>
    <n v="5.4519176958137378E-2"/>
    <n v="-1.4399647697843679E-3"/>
    <n v="5.3079212188353007E-2"/>
    <n v="4.4350914909358538E-4"/>
    <n v="9.9143655042651119E-3"/>
    <n v="2.51832131813041E-2"/>
    <n v="-0.3699999999999965"/>
    <n v="5.20963822627757"/>
    <n v="-0.13759737266250019"/>
    <n v="5.0720408536150696"/>
    <n v="4.2379990780050072E-2"/>
    <n v="0.94737779258786203"/>
    <n v="2.3906440451880591"/>
    <n v="-0.23162169868696131"/>
    <n v="-30.143010272777701"/>
  </r>
  <r>
    <x v="17"/>
    <x v="1"/>
    <n v="96.561829569521024"/>
    <n v="95.683595497245889"/>
    <n v="0.87823407227513395"/>
    <n v="5.4904366552173733E-2"/>
    <n v="-1.5215180473102359E-3"/>
    <n v="5.3382848504863488E-2"/>
    <n v="4.5848920689176887E-4"/>
    <n v="1.1279716435698179E-2"/>
    <n v="2.8095429617921108E-2"/>
    <n v="-0.3700000000000021"/>
    <n v="5.3016660856335101"/>
    <n v="-0.14692056637132139"/>
    <n v="5.1547455192621889"/>
    <n v="4.427255665534785E-2"/>
    <n v="1.0891900560564129"/>
    <n v="2.6882717228825048"/>
    <n v="-0.32494660674180142"/>
    <n v="-31.722288576423281"/>
  </r>
  <r>
    <x v="17"/>
    <x v="2"/>
    <n v="98.337664476884598"/>
    <n v="97.165871873844878"/>
    <n v="1.171792603039713"/>
    <n v="6.0226874955822532E-2"/>
    <n v="-1.5908243627895881E-3"/>
    <n v="5.8636050593032937E-2"/>
    <n v="4.6938882839287291E-4"/>
    <n v="1.3622275708099169E-2"/>
    <n v="3.3954161082766519E-2"/>
    <n v="-0.36999999999999972"/>
    <n v="5.9225702218969598"/>
    <n v="-0.15643795242965619"/>
    <n v="5.7661322694673034"/>
    <n v="4.6158601115696293E-2"/>
    <n v="1.3395827779946721"/>
    <n v="3.299185665351982"/>
    <n v="-0.43356326312469329"/>
    <n v="-36.730818852954862"/>
  </r>
  <r>
    <x v="17"/>
    <x v="3"/>
    <n v="99.982618562151487"/>
    <n v="98.742349886069391"/>
    <n v="1.24026867608209"/>
    <n v="6.4937839671683498E-2"/>
    <n v="-1.661874158064769E-3"/>
    <n v="6.3275965513618734E-2"/>
    <n v="4.8070484005175237E-4"/>
    <n v="1.571794504502215E-2"/>
    <n v="3.9885407020681447E-2"/>
    <n v="-0.36999999999999789"/>
    <n v="6.4926552541440801"/>
    <n v="-0.1661585300440864"/>
    <n v="6.3264967240999939"/>
    <n v="4.8062128663874402E-2"/>
    <n v="1.5715213040173079"/>
    <n v="3.9383788153844161"/>
    <n v="-0.45889941015037078"/>
    <n v="-41.893718394059619"/>
  </r>
  <r>
    <x v="17"/>
    <x v="4"/>
    <n v="101.1879030787009"/>
    <n v="99.866449970560396"/>
    <n v="1.3214531081404639"/>
    <n v="6.663386105290163E-2"/>
    <n v="-1.7402447338285879E-3"/>
    <n v="6.4893616319073047E-2"/>
    <n v="4.939931019390069E-4"/>
    <n v="1.721022343447819E-2"/>
    <n v="4.4091694499253632E-2"/>
    <n v="-0.37000000000000122"/>
    <n v="6.7425406739806304"/>
    <n v="-0.17609171545986679"/>
    <n v="6.5664489585207626"/>
    <n v="4.9986126120551019E-2"/>
    <n v="1.7414664208507651"/>
    <n v="4.4032810028269456"/>
    <n v="-0.48893765001197342"/>
    <n v="-44.99823114712995"/>
  </r>
  <r>
    <x v="17"/>
    <x v="5"/>
    <n v="104.0309938143147"/>
    <n v="102.49055639704061"/>
    <n v="1.540437417274062"/>
    <n v="7.7726559286288452E-2"/>
    <n v="-1.7903064698164819E-3"/>
    <n v="7.5936252816471969E-2"/>
    <n v="4.9920850826759859E-4"/>
    <n v="2.059330720608319E-2"/>
    <n v="5.2936888807854757E-2"/>
    <n v="-0.36999999999999961"/>
    <n v="8.0859712083198403"/>
    <n v="-0.18624736128720601"/>
    <n v="7.8997238470326341"/>
    <n v="5.1933157235639821E-2"/>
    <n v="2.1423422145723232"/>
    <n v="5.4255311878453094"/>
    <n v="-0.56996184439140241"/>
    <n v="-54.815084728418157"/>
  </r>
  <r>
    <x v="17"/>
    <x v="6"/>
    <n v="105.2385654707155"/>
    <n v="103.6169436213831"/>
    <n v="1.621621849332427"/>
    <n v="8.2445312048267314E-2"/>
    <n v="-2.1338572074232651E-3"/>
    <n v="8.0311454840844065E-2"/>
    <n v="5.9396257234480433E-4"/>
    <n v="2.1974927231104769E-2"/>
    <n v="5.6695316760947807E-2"/>
    <n v="-0.36999999999999822"/>
    <n v="8.6764263697451494"/>
    <n v="-0.2245640714285714"/>
    <n v="8.4518622983165788"/>
    <n v="6.2507769056863283E-2"/>
    <n v="2.312609818124828"/>
    <n v="5.8745954404155842"/>
    <n v="-0.60000008425299489"/>
    <n v="-59.039109219428511"/>
  </r>
  <r>
    <x v="17"/>
    <x v="7"/>
    <n v="107.11437819969321"/>
    <n v="105.4115719183024"/>
    <n v="1.7028062813908009"/>
    <n v="9.0188782674423054E-2"/>
    <n v="-1.6469406860457291E-3"/>
    <n v="8.8541841988377321E-2"/>
    <n v="4.3135534787568227E-4"/>
    <n v="2.405932290533596E-2"/>
    <n v="6.2528670069159173E-2"/>
    <n v="-0.37000000000000072"/>
    <n v="9.6605153767580898"/>
    <n v="-0.17641102751756441"/>
    <n v="9.4841043492405248"/>
    <n v="4.6204359870816059E-2"/>
    <n v="2.5770994129106972"/>
    <n v="6.5912454019509754"/>
    <n v="-0.63003832411459748"/>
    <n v="-66.251589066153542"/>
  </r>
  <r>
    <x v="17"/>
    <x v="8"/>
    <n v="109.36064230213221"/>
    <n v="107.43330756918679"/>
    <n v="1.927334732945341"/>
    <n v="9.9797653896068733E-2"/>
    <n v="-1.6823720721192161E-3"/>
    <n v="9.8115281823949518E-2"/>
    <n v="4.3375662076473393E-4"/>
    <n v="2.6461280680482681E-2"/>
    <n v="6.8839253134801548E-2"/>
    <n v="-0.3699999999999995"/>
    <n v="10.913935530319961"/>
    <n v="-0.1839852903981265"/>
    <n v="10.729950239921831"/>
    <n v="4.7435902649633647E-2"/>
    <n v="2.8938226513545859"/>
    <n v="7.3956286548642431"/>
    <n v="-0.71311385118977522"/>
    <n v="-74.630319857875364"/>
  </r>
  <r>
    <x v="17"/>
    <x v="9"/>
    <n v="110.9983908295272"/>
    <n v="108.95695803697529"/>
    <n v="2.0414327925519249"/>
    <n v="0.10643271342386811"/>
    <n v="-1.6628442633458409E-3"/>
    <n v="0.10476986916052231"/>
    <n v="4.188864208739984E-4"/>
    <n v="2.815126571083635E-2"/>
    <n v="7.3564679594190371E-2"/>
    <n v="-0.3699999999999985"/>
    <n v="11.813859921669581"/>
    <n v="-0.18457303743149889"/>
    <n v="11.629286884238081"/>
    <n v="4.6495718657353892E-2"/>
    <n v="3.1247451937172812"/>
    <n v="8.0153837075477306"/>
    <n v="-0.75533013324420928"/>
    <n v="-80.888798360033562"/>
  </r>
  <r>
    <x v="17"/>
    <x v="10"/>
    <n v="113.8038988366914"/>
    <n v="111.4508401707745"/>
    <n v="2.353058665916969"/>
    <n v="0.120183867097782"/>
    <n v="-1.7223336512722121E-3"/>
    <n v="0.1184615334465098"/>
    <n v="4.2984312695185149E-4"/>
    <n v="3.0717054787667571E-2"/>
    <n v="8.0387085057413071E-2"/>
    <n v="-0.37000000000000038"/>
    <n v="13.67739265299835"/>
    <n v="-0.19600828461241221"/>
    <n v="13.481384368385941"/>
    <n v="4.8917823735275617E-2"/>
    <n v="3.4957205956168291"/>
    <n v="8.9592081685281961"/>
    <n v="-0.87063170638927967"/>
    <n v="-92.086863916223876"/>
  </r>
  <r>
    <x v="17"/>
    <x v="11"/>
    <n v="115.3237804191631"/>
    <n v="112.7755072884071"/>
    <n v="2.5482731307559421"/>
    <n v="0.12580115479852119"/>
    <n v="-1.4720933459879649E-3"/>
    <n v="0.12432906145253329"/>
    <n v="3.4407657490833889E-4"/>
    <n v="3.2170501914354881E-2"/>
    <n v="8.4396199683012083E-2"/>
    <n v="-0.36999999999999961"/>
    <n v="14.50786475246181"/>
    <n v="-0.16976736978922721"/>
    <n v="14.338097382672579"/>
    <n v="3.9680211372106991E-2"/>
    <n v="3.710023898745328"/>
    <n v="9.5178242324653937"/>
    <n v="-0.94286105837969736"/>
    <n v="-97.763470445219838"/>
  </r>
  <r>
    <x v="17"/>
    <x v="12"/>
    <n v="117.9383315860305"/>
    <n v="115.1472723700964"/>
    <n v="2.791059215934077"/>
    <n v="0.13376808862142059"/>
    <n v="-2.2368665232423719E-3"/>
    <n v="0.13153122209817819"/>
    <n v="5.7405211574956003E-4"/>
    <n v="3.4583121182263248E-2"/>
    <n v="9.0950928599003417E-2"/>
    <n v="-0.37000000000000099"/>
    <n v="15.776385191462619"/>
    <n v="-0.26381230573185011"/>
    <n v="15.512572885730769"/>
    <n v="6.7702748774933985E-2"/>
    <n v="4.0786756132736386"/>
    <n v="10.472751347702641"/>
    <n v="-1.0326919098956111"/>
    <n v="-106.6963725138264"/>
  </r>
  <r>
    <x v="17"/>
    <x v="13"/>
    <n v="120.85995736310269"/>
    <n v="117.8083179621205"/>
    <n v="3.051639400982173"/>
    <n v="0.14400980680815281"/>
    <n v="-3.329680867159103E-3"/>
    <n v="0.14068012594099369"/>
    <n v="9.0029621210324456E-4"/>
    <n v="3.7155605097141539E-2"/>
    <n v="9.8144307622867452E-2"/>
    <n v="-0.37000000000000027"/>
    <n v="17.405019110701989"/>
    <n v="-0.40242508763758778"/>
    <n v="17.0025940230644"/>
    <n v="0.108809761808961"/>
    <n v="4.490624847840806"/>
    <n v="11.56221579860693"/>
    <n v="-1.1291065783634049"/>
    <n v="-117.46217212752219"/>
  </r>
  <r>
    <x v="17"/>
    <x v="14"/>
    <n v="122.549308222684"/>
    <n v="119.4196877761122"/>
    <n v="3.1296204465717961"/>
    <n v="0.14918669778843871"/>
    <n v="-2.951736307814565E-3"/>
    <n v="0.14623496148062409"/>
    <n v="7.6480674736273261E-4"/>
    <n v="3.8587107406996148E-2"/>
    <n v="0.1021034512882928"/>
    <n v="-0.3699999999999995"/>
    <n v="18.282726609999791"/>
    <n v="-0.36173324257845441"/>
    <n v="17.920993367421339"/>
    <n v="9.3726537813343946E-2"/>
    <n v="4.7288233190417852"/>
    <n v="12.19316227371141"/>
    <n v="-1.1579595652315631"/>
    <n v="-123.8554017534511"/>
  </r>
  <r>
    <x v="17"/>
    <x v="15"/>
    <n v="125.2364526272286"/>
    <n v="122.0256477485985"/>
    <n v="3.2108048786301699"/>
    <n v="0.17864508190802111"/>
    <n v="-4.9559556494742901E-3"/>
    <n v="0.17368912625854679"/>
    <n v="1.367444751610125E-3"/>
    <n v="4.0696450393661772E-2"/>
    <n v="0.108346937367141"/>
    <n v="-0.37000000000000077"/>
    <n v="22.372876337461271"/>
    <n v="-0.62066630491803298"/>
    <n v="21.752210032543239"/>
    <n v="0.17125392985537391"/>
    <n v="5.0966790818221828"/>
    <n v="13.2211052138022"/>
    <n v="-1.187997805093165"/>
    <n v="-143.1952516607557"/>
  </r>
  <r>
    <x v="17"/>
    <x v="16"/>
    <n v="127.2412719133997"/>
    <n v="123.8957720142685"/>
    <n v="3.3454998991312079"/>
    <n v="0.18236925167052739"/>
    <n v="-4.8955087722221281E-3"/>
    <n v="0.17747374289830531"/>
    <n v="1.3198381342371919E-3"/>
    <n v="4.2276837698019078E-2"/>
    <n v="0.1128213287268167"/>
    <n v="-0.37000000000000011"/>
    <n v="23.204895540452799"/>
    <n v="-0.62291076284074942"/>
    <n v="22.58198477761205"/>
    <n v="0.16793788292014869"/>
    <n v="5.3793586011723127"/>
    <n v="13.97808562228453"/>
    <n v="-1.237834962678547"/>
    <n v="-149.8549503781521"/>
  </r>
  <r>
    <x v="17"/>
    <x v="17"/>
    <n v="129.04033420101371"/>
    <n v="125.6184396991239"/>
    <n v="3.421894501889772"/>
    <n v="0.42058840923335639"/>
    <n v="-3.304276184664771E-3"/>
    <n v="0.41728413304869172"/>
    <n v="8.0157870119084123E-4"/>
    <n v="4.365322221617142E-2"/>
    <n v="0.1167443617877441"/>
    <n v="-0.3699999999999995"/>
    <n v="54.27286888854502"/>
    <n v="-0.4263849031615925"/>
    <n v="53.846483985383429"/>
    <n v="0.1034359834900806"/>
    <n v="5.6330263837258752"/>
    <n v="14.66524457144644"/>
    <n v="-1.2661009656992139"/>
    <n v="-267.60099651396189"/>
  </r>
  <r>
    <x v="17"/>
    <x v="18"/>
    <n v="130.94873757547711"/>
    <n v="127.402932728964"/>
    <n v="3.5458048465131222"/>
    <n v="0.41689043048091318"/>
    <n v="-6.1433448745882293E-3"/>
    <n v="0.41074708560632489"/>
    <n v="1.660214502441984E-3"/>
    <n v="4.5010530466679133E-2"/>
    <n v="0.120894755904773"/>
    <n v="-0.37000000000000072"/>
    <n v="54.591275578772787"/>
    <n v="-0.80446325581810652"/>
    <n v="53.786812322954688"/>
    <n v="0.21740299319927681"/>
    <n v="5.894072142214184"/>
    <n v="15.40234645382032"/>
    <n v="-1.3119477932098571"/>
    <n v="-271.29184910294629"/>
  </r>
  <r>
    <x v="17"/>
    <x v="19"/>
    <n v="132.91329560681041"/>
    <n v="129.1792614952025"/>
    <n v="3.7340341116079512"/>
    <n v="0.43242977119113379"/>
    <n v="-8.7463430996662338E-3"/>
    <n v="0.42368342809146758"/>
    <n v="2.4271508271976232E-3"/>
    <n v="4.642932670097738E-2"/>
    <n v="0.1246342244102786"/>
    <n v="-0.37000000000000011"/>
    <n v="57.475666007512558"/>
    <n v="-1.1625052858845251"/>
    <n v="56.31316072162803"/>
    <n v="0.32260061537763213"/>
    <n v="6.171074824632182"/>
    <n v="16.10015706634713"/>
    <n v="-1.3815926212949421"/>
    <n v="-284.25980222455593"/>
  </r>
  <r>
    <x v="17"/>
    <x v="20"/>
    <n v="135.03399211232329"/>
    <n v="131.21877356865701"/>
    <n v="3.8152185436663149"/>
    <n v="0.47001274203826737"/>
    <n v="-1.619930075221682E-2"/>
    <n v="0.45381344128605061"/>
    <n v="4.6707950781914188E-3"/>
    <n v="4.7573563091960577E-2"/>
    <n v="0.12834452125995299"/>
    <n v="-0.36999999999999938"/>
    <n v="63.467696901086867"/>
    <n v="-2.1874562499999999"/>
    <n v="61.280240651086871"/>
    <n v="0.63071610574677872"/>
    <n v="6.4240481433149217"/>
    <n v="16.841210673987469"/>
    <n v="-1.411630861156534"/>
    <n v="-307.13681061428622"/>
  </r>
  <r>
    <x v="17"/>
    <x v="21"/>
    <n v="136.43892332950949"/>
    <n v="132.54252035378479"/>
    <n v="3.8964029757246892"/>
    <n v="0.51440346728819775"/>
    <n v="-1.5569246650164381E-2"/>
    <n v="0.49883422063803329"/>
    <n v="4.3719530750874272E-3"/>
    <n v="4.8503415329787081E-2"/>
    <n v="0.13098502712310339"/>
    <n v="-0.3700000000000005"/>
    <n v="70.184655233768268"/>
    <n v="-2.1242512499999999"/>
    <n v="68.060403983768268"/>
    <n v="0.59650457041206684"/>
    <n v="6.6177537654001766"/>
    <n v="17.36108562350498"/>
    <n v="-1.4416691010181371"/>
    <n v="-334.37828908761082"/>
  </r>
  <r>
    <x v="17"/>
    <x v="22"/>
    <n v="137.86930026596741"/>
    <n v="133.89171285818429"/>
    <n v="3.9775874077830529"/>
    <n v="0.52513190883969207"/>
    <n v="-1.3283264450222669E-2"/>
    <n v="0.51184864438946942"/>
    <n v="3.5698482610258611E-3"/>
    <n v="4.9404746255980472E-2"/>
    <n v="0.13368142888814341"/>
    <n v="-0.36999999999999988"/>
    <n v="72.399568819060121"/>
    <n v="-1.8313543750000001"/>
    <n v="70.568214444060118"/>
    <n v="0.49217248180331602"/>
    <n v="6.8113977961296994"/>
    <n v="17.89883549116308"/>
    <n v="-1.471707340879729"/>
    <n v="-345.76268053171191"/>
  </r>
  <r>
    <x v="17"/>
    <x v="23"/>
    <n v="139.01318957431661"/>
    <n v="135.01143275086551"/>
    <n v="4.0017568234511129"/>
    <n v="0.55645475454287097"/>
    <n v="-2.0416228191661889E-2"/>
    <n v="0.53603852635120908"/>
    <n v="5.6869602361753731E-3"/>
    <n v="5.0100620614654708E-2"/>
    <n v="0.13586331858916509"/>
    <n v="-0.36999999999999938"/>
    <n v="77.354550282797931"/>
    <n v="-2.8381250000000011"/>
    <n v="74.516425282797925"/>
    <n v="0.79056248141304741"/>
    <n v="6.964647071295909"/>
    <n v="18.343101301010481"/>
    <n v="-1.480650024676909"/>
    <n v="-363.49164907678141"/>
  </r>
  <r>
    <x v="17"/>
    <x v="24"/>
    <n v="140.2304654696305"/>
    <n v="136.16522766067169"/>
    <n v="4.0652378089587904"/>
    <n v="0.59440903516176291"/>
    <n v="-2.174188746924105E-2"/>
    <n v="0.57266714769252181"/>
    <n v="5.9683273719282883E-3"/>
    <n v="5.0889676138746502E-2"/>
    <n v="0.13809889656280169"/>
    <n v="-0.37000000000000038"/>
    <n v="83.354255680087988"/>
    <n v="-3.0488749999999998"/>
    <n v="80.305380680087993"/>
    <n v="0.83694132544064059"/>
    <n v="7.136282972535172"/>
    <n v="18.804267690161449"/>
    <n v="-1.504137989314754"/>
    <n v="-387.12202715604042"/>
  </r>
  <r>
    <x v="17"/>
    <x v="25"/>
    <n v="141.61521497554571"/>
    <n v="137.53746775091889"/>
    <n v="4.07774722462685"/>
    <n v="0.62952974062022127"/>
    <n v="-1.7317595432266849E-2"/>
    <n v="0.61221214518795453"/>
    <n v="4.473222514469145E-3"/>
    <n v="5.1549363601304909E-2"/>
    <n v="0.1402511668440736"/>
    <n v="-0.36999999999999988"/>
    <n v="89.15098955143219"/>
    <n v="-2.452434999999999"/>
    <n v="86.698554551432196"/>
    <n v="0.63347636801999918"/>
    <n v="7.3001742082513674"/>
    <n v="19.28979033684551"/>
    <n v="-1.5087664731119339"/>
    <n v="-412.18183963530703"/>
  </r>
  <r>
    <x v="17"/>
    <x v="26"/>
    <n v="142.89606403178919"/>
    <n v="138.79414739149431"/>
    <n v="4.1019166402949097"/>
    <n v="0.66383777258534238"/>
    <n v="-1.531637708028896E-2"/>
    <n v="0.64852139550505339"/>
    <n v="3.758961440637205E-3"/>
    <n v="5.2351154497282039E-2"/>
    <n v="0.14267884054742391"/>
    <n v="-0.36999999999999938"/>
    <n v="94.859804858075393"/>
    <n v="-2.18865"/>
    <n v="92.671154858075397"/>
    <n v="0.53714079471432052"/>
    <n v="7.4807739251817029"/>
    <n v="19.802988024586661"/>
    <n v="-1.5177091569091139"/>
    <n v="-436.23927763408591"/>
  </r>
  <r>
    <x v="17"/>
    <x v="27"/>
    <n v="143.93802276904569"/>
    <n v="139.8119367130827"/>
    <n v="4.1260860559629702"/>
    <n v="0.72966006121617222"/>
    <n v="-1.7567977879322409E-2"/>
    <n v="0.71209208333684981"/>
    <n v="4.3707677514822213E-3"/>
    <n v="5.2914029359590997E-2"/>
    <n v="0.14445434992018741"/>
    <n v="-0.37000000000000127"/>
    <n v="105.0258265049966"/>
    <n v="-2.5287000000000002"/>
    <n v="102.4971265049966"/>
    <n v="0.62911966813105846"/>
    <n v="7.6163407627627597"/>
    <n v="20.196442428970741"/>
    <n v="-1.5266518407063041"/>
    <n v="-474.51205092194442"/>
  </r>
  <r>
    <x v="17"/>
    <x v="28"/>
    <n v="145.0214710266126"/>
    <n v="140.8712155549816"/>
    <n v="4.1502554716310396"/>
    <n v="0.77171554407462184"/>
    <n v="-1.1592335176985611E-2"/>
    <n v="0.76012320889763618"/>
    <n v="2.435798475443232E-3"/>
    <n v="5.353638311326981E-2"/>
    <n v="0.1464520950967671"/>
    <n v="-0.36999999999999988"/>
    <n v="111.91532341580439"/>
    <n v="-1.6811375000000011"/>
    <n v="110.2341859158043"/>
    <n v="0.3532430780331578"/>
    <n v="7.7639250325306897"/>
    <n v="20.63088465685534"/>
    <n v="-1.5355945245034841"/>
    <n v="-503.97102858201941"/>
  </r>
  <r>
    <x v="17"/>
    <x v="29"/>
    <n v="146.0380044631215"/>
    <n v="141.8635795758224"/>
    <n v="4.1744248872990992"/>
    <n v="0.76419564590233213"/>
    <n v="-1.029988738568284E-2"/>
    <n v="0.75389575851664925"/>
    <n v="1.9874018577652002E-3"/>
    <n v="5.4145195123336778E-2"/>
    <n v="0.14820017389017601"/>
    <n v="-0.36999999999999938"/>
    <n v="111.6016071469828"/>
    <n v="-1.504175"/>
    <n v="110.0974321469828"/>
    <n v="0.29023620137433032"/>
    <n v="7.9072562470784424"/>
    <n v="21.0242071618197"/>
    <n v="-1.5445372083006641"/>
    <n v="-505.17351334621281"/>
  </r>
  <r>
    <x v="17"/>
    <x v="30"/>
    <n v="147.3854019337619"/>
    <n v="143.10500391100129"/>
    <n v="4.2803980227605773"/>
    <n v="0.76246947817204935"/>
    <n v="-1.256047902784824E-2"/>
    <n v="0.74990899914420117"/>
    <n v="2.6476751357108032E-3"/>
    <n v="5.4429576664444652E-2"/>
    <n v="0.14928371953720879"/>
    <n v="-0.37000000000000022"/>
    <n v="112.3768705026132"/>
    <n v="-1.8512312500000001"/>
    <n v="110.5256392526132"/>
    <n v="0.39022866406676437"/>
    <n v="8.0221250337736834"/>
    <n v="21.363247268221091"/>
    <n v="-1.5837472684214151"/>
    <n v="-508.63080748430849"/>
  </r>
  <r>
    <x v="17"/>
    <x v="31"/>
    <n v="148.5867254379859"/>
    <n v="144.18713297224011"/>
    <n v="4.3995924657458101"/>
    <n v="0.75306789383846096"/>
    <n v="-9.8488357266528943E-3"/>
    <n v="0.74321905811180811"/>
    <n v="1.7606207501806781E-3"/>
    <n v="5.5098074248732837E-2"/>
    <n v="0.15124111454492059"/>
    <n v="-0.36999999999999977"/>
    <n v="111.8958923779377"/>
    <n v="-1.46340625"/>
    <n v="110.43248612793769"/>
    <n v="0.26160487200751731"/>
    <n v="8.1868424305582295"/>
    <n v="21.80702269375827"/>
    <n v="-1.6278492123259489"/>
    <n v="-509.88705867714441"/>
  </r>
  <r>
    <x v="17"/>
    <x v="32"/>
    <n v="150.37089922579071"/>
    <n v="145.66206226242531"/>
    <n v="4.7088369633653908"/>
    <n v="0.80494983948444043"/>
    <n v="-3.046047322708571E-2"/>
    <n v="0.77448936625735476"/>
    <n v="8.0825102691752856E-3"/>
    <n v="5.606385185386812E-2"/>
    <n v="0.15399737504165101"/>
    <n v="-0.36999999999999938"/>
    <n v="121.04103119493119"/>
    <n v="-4.5803687500000008"/>
    <n v="116.4606624449312"/>
    <n v="1.2153743371775749"/>
    <n v="8.4303718173276607"/>
    <n v="22.431575231567031"/>
    <n v="-1.7422696764451919"/>
    <n v="-538.25095190009574"/>
  </r>
  <r>
    <x v="17"/>
    <x v="33"/>
    <n v="153.79499804582139"/>
    <n v="149.06199166678789"/>
    <n v="4.7330063790334602"/>
    <n v="0.79620595127595406"/>
    <n v="-8.5739947121500522E-3"/>
    <n v="0.78763195656380403"/>
    <n v="1.186914250519483E-3"/>
    <n v="5.7954874112982648E-2"/>
    <n v="0.15925188178432489"/>
    <n v="-0.37"/>
    <n v="122.45249272055671"/>
    <n v="-1.3186374999999999"/>
    <n v="121.1338552205567"/>
    <n v="0.18254147483920141"/>
    <n v="8.9131697509519903"/>
    <n v="23.73840267545533"/>
    <n v="-1.7512123602423799"/>
    <n v="-558.12810812577379"/>
  </r>
  <r>
    <x v="18"/>
    <x v="0"/>
    <n v="7589.803478871404"/>
    <n v="7589.803478871404"/>
    <s v="NaN"/>
    <n v="2.5128259699272242"/>
    <n v="-1.9219358681026959"/>
    <n v="0.5908901018245285"/>
    <n v="1.5588115415497339E-2"/>
    <n v="2.720041746562633E-2"/>
    <n v="7.7894348815492854E-3"/>
    <s v="NaN"/>
    <n v="19071.855288352061"/>
    <n v="-14587.115537893569"/>
    <n v="4484.7397504584842"/>
    <n v="118.3107326095907"/>
    <n v="206.44582310736519"/>
    <n v="59.12027996242503"/>
    <s v="NaN"/>
    <n v="-17851.59414917379"/>
  </r>
  <r>
    <x v="18"/>
    <x v="1"/>
    <n v="7667.7632808231083"/>
    <n v="7667.7632808231083"/>
    <s v="NaN"/>
    <n v="2.517191263892995"/>
    <n v="-1.5173761563754571"/>
    <n v="0.99981510751753699"/>
    <n v="1.542962767201839E-2"/>
    <n v="2.6923864914735751E-2"/>
    <n v="8.2362746518676779E-3"/>
    <s v="NaN"/>
    <n v="19301.226744087409"/>
    <n v="-11634.881175052231"/>
    <n v="7666.3455690351784"/>
    <n v="118.3107325002747"/>
    <n v="206.44582277105241"/>
    <n v="63.153804346365114"/>
    <s v="NaN"/>
    <n v="-29532.271738396539"/>
  </r>
  <r>
    <x v="18"/>
    <x v="2"/>
    <n v="7745.7230827748162"/>
    <n v="7745.7230827748162"/>
    <s v="NaN"/>
    <n v="2.5203937787202459"/>
    <n v="-1.5783726407981269"/>
    <n v="0.94202113792211883"/>
    <n v="1.527433023228238E-2"/>
    <n v="2.66528793451586E-2"/>
    <n v="8.6741196415501317E-3"/>
    <s v="NaN"/>
    <n v="19522.272269515452"/>
    <n v="-12225.637397050299"/>
    <n v="7296.6348724651543"/>
    <n v="118.3107322541148"/>
    <n v="206.4458227662071"/>
    <n v="67.187328730305268"/>
    <s v="NaN"/>
    <n v="-28191.455439460431"/>
  </r>
  <r>
    <x v="18"/>
    <x v="3"/>
    <n v="7823.6828847265206"/>
    <n v="7823.6828847265206"/>
    <s v="NaN"/>
    <n v="2.5207201634103762"/>
    <n v="-1.940876285424278"/>
    <n v="0.5798438779860986"/>
    <n v="1.5122127814170581E-2"/>
    <n v="2.6387294218252609E-2"/>
    <n v="9.1032387385336835E-3"/>
    <s v="NaN"/>
    <n v="19721.315199658799"/>
    <n v="-15184.80057564551"/>
    <n v="4536.5146240132926"/>
    <n v="118.3107325603733"/>
    <n v="206.44582214958609"/>
    <n v="71.220853114245429"/>
    <s v="NaN"/>
    <n v="-18085.804116739131"/>
  </r>
  <r>
    <x v="18"/>
    <x v="4"/>
    <n v="7901.6426866782267"/>
    <n v="7901.6426866782267"/>
    <s v="NaN"/>
    <n v="2.5216552924134938"/>
    <n v="-1.601142318571225"/>
    <n v="0.92051297384226927"/>
    <n v="1.4972928712068061E-2"/>
    <n v="2.6126949922550331E-2"/>
    <n v="9.5238902190630075E-3"/>
    <s v="NaN"/>
    <n v="19925.219099622529"/>
    <n v="-12651.65449186934"/>
    <n v="7273.5646077531928"/>
    <n v="118.310732655867"/>
    <n v="206.44582278072809"/>
    <n v="75.254377498185505"/>
    <s v="NaN"/>
    <n v="-28136.443649191791"/>
  </r>
  <r>
    <x v="18"/>
    <x v="5"/>
    <n v="7979.6024886299319"/>
    <n v="7979.6024886299319"/>
    <s v="NaN"/>
    <n v="2.5230708767740668"/>
    <n v="-1.5121277042824111"/>
    <n v="1.010943172491656"/>
    <n v="1.4826644888130991E-2"/>
    <n v="2.5871692643385631E-2"/>
    <n v="1.2048385594189651E-2"/>
    <s v="NaN"/>
    <n v="20133.102647296051"/>
    <n v="-12066.17799221819"/>
    <n v="8066.9246550778571"/>
    <n v="118.3107324473623"/>
    <n v="206.44582300222871"/>
    <n v="96.141327671368771"/>
    <s v="NaN"/>
    <n v="-31122.015973398491"/>
  </r>
  <r>
    <x v="18"/>
    <x v="6"/>
    <n v="8057.5622905816372"/>
    <n v="8057.5622905816372"/>
    <s v="NaN"/>
    <n v="2.5238068898839212"/>
    <n v="-1.53250506005711"/>
    <n v="0.9913018298268117"/>
    <n v="1.468319184355941E-2"/>
    <n v="2.5621374802187829E-2"/>
    <n v="1.2782112510008589E-2"/>
    <s v="NaN"/>
    <n v="20335.73122463881"/>
    <n v="-12348.25498204171"/>
    <n v="7987.476242597093"/>
    <n v="118.31073290404019"/>
    <n v="206.44582343896721"/>
    <n v="102.992667754617"/>
    <s v="NaN"/>
    <n v="-30855.82671121677"/>
  </r>
  <r>
    <x v="18"/>
    <x v="7"/>
    <n v="8135.5220925333433"/>
    <n v="8135.5220925333433"/>
    <s v="NaN"/>
    <n v="2.5222182262331239"/>
    <n v="-1.7885857783267769"/>
    <n v="0.73363244790634718"/>
    <n v="1.4542487975624E-2"/>
    <n v="2.5375854147082651E-2"/>
    <n v="1.350177733997902E-2"/>
    <s v="NaN"/>
    <n v="20519.562101709838"/>
    <n v="-14551.079113968441"/>
    <n v="5968.4829877414049"/>
    <n v="118.3107322060896"/>
    <n v="206.44582203049481"/>
    <n v="109.84400783786541"/>
    <s v="NaN"/>
    <n v="-23477.973015993601"/>
  </r>
  <r>
    <x v="18"/>
    <x v="8"/>
    <n v="8213.4818944850504"/>
    <n v="8213.4818944850504"/>
    <s v="NaN"/>
    <n v="2.5181153947213009"/>
    <n v="-1.841981698332209"/>
    <n v="0.67613369638909238"/>
    <n v="1.440445528459606E-2"/>
    <n v="2.5134994603552681E-2"/>
    <n v="1.420778050286675E-2"/>
    <s v="NaN"/>
    <n v="20682.495202767481"/>
    <n v="-15129.083329224421"/>
    <n v="5553.411873543062"/>
    <n v="118.3107326799493"/>
    <n v="206.4458230942594"/>
    <n v="116.69534792111369"/>
    <s v="NaN"/>
    <n v="-21981.1671832094"/>
  </r>
  <r>
    <x v="18"/>
    <x v="9"/>
    <n v="8291.4416964367556"/>
    <n v="8291.4416964367556"/>
    <s v="NaN"/>
    <n v="2.5175388767049651"/>
    <n v="-1.6740571515513409"/>
    <n v="0.84348172515362319"/>
    <n v="1.4269018200742519E-2"/>
    <n v="2.489866424938315E-2"/>
    <n v="1.4900507357780269E-2"/>
    <s v="NaN"/>
    <n v="20874.026814712099"/>
    <n v="-13880.34726859094"/>
    <n v="6993.6795461211586"/>
    <n v="118.3107324768515"/>
    <n v="206.44582294291459"/>
    <n v="123.546688004362"/>
    <s v="NaN"/>
    <n v="-27287.270228335201"/>
  </r>
  <r>
    <x v="18"/>
    <x v="10"/>
    <n v="8369.4014983884608"/>
    <n v="8369.4014983884608"/>
    <s v="NaN"/>
    <n v="2.517966447203428"/>
    <n v="-1.71028589195764"/>
    <n v="0.80768055524578852"/>
    <n v="1.413610457623682E-2"/>
    <n v="2.466673693743324E-2"/>
    <n v="1.8663192175665269E-2"/>
    <s v="NaN"/>
    <n v="21073.872156116238"/>
    <n v="-14314.069306822919"/>
    <n v="6759.8028492933263"/>
    <n v="118.3107348217324"/>
    <n v="206.44582508450779"/>
    <n v="156.1997485597247"/>
    <s v="NaN"/>
    <n v="-26549.45024511982"/>
  </r>
  <r>
    <x v="18"/>
    <x v="11"/>
    <n v="8447.3613003401697"/>
    <n v="8447.3613003401697"/>
    <s v="NaN"/>
    <n v="2.5169329032154542"/>
    <n v="-1.5335467778956371"/>
    <n v="0.98338612531981739"/>
    <n v="1.400564366912648E-2"/>
    <n v="2.4439089903931559E-2"/>
    <n v="1.943933944452084E-2"/>
    <s v="NaN"/>
    <n v="21261.441602175059"/>
    <n v="-12954.423703856961"/>
    <n v="8307.017898318094"/>
    <n v="118.3107323169333"/>
    <n v="206.44582227000561"/>
    <n v="164.2111237278215"/>
    <s v="NaN"/>
    <n v="-32251.9471143234"/>
  </r>
  <r>
    <x v="18"/>
    <x v="12"/>
    <n v="8525.3211022918767"/>
    <n v="8525.3211022918767"/>
    <s v="NaN"/>
    <n v="2.5152152103072849"/>
    <n v="-1.4324922658519941"/>
    <n v="1.082722944455291"/>
    <n v="1.3877569137337519E-2"/>
    <n v="2.421560675369195E-2"/>
    <n v="2.0201291755406039E-2"/>
    <s v="NaN"/>
    <n v="21443.017309238199"/>
    <n v="-12212.456542937911"/>
    <n v="9230.5607663002866"/>
    <n v="118.3107330150581"/>
    <n v="206.44582326205159"/>
    <n v="172.22249889591799"/>
    <s v="NaN"/>
    <n v="-35667.646012072059"/>
  </r>
  <r>
    <x v="18"/>
    <x v="13"/>
    <n v="8603.280904243582"/>
    <n v="8603.280904243582"/>
    <s v="NaN"/>
    <n v="2.5131727118664902"/>
    <n v="-1.630247228217153"/>
    <n v="0.88292548364933754"/>
    <n v="1.3751815586375541E-2"/>
    <n v="2.3996173697630109E-2"/>
    <n v="2.0949434996957259E-2"/>
    <s v="NaN"/>
    <n v="21621.530801067031"/>
    <n v="-14025.474847716659"/>
    <n v="7596.0559533503747"/>
    <n v="118.31073243294399"/>
    <n v="206.44582294773321"/>
    <n v="180.2338740640146"/>
    <s v="NaN"/>
    <n v="-29703.83673691794"/>
  </r>
  <r>
    <x v="18"/>
    <x v="14"/>
    <n v="8681.2407061952908"/>
    <n v="8681.2407061952908"/>
    <s v="NaN"/>
    <n v="2.5109322658118018"/>
    <n v="-1.503021429105998"/>
    <n v="1.0079108367058041"/>
    <n v="1.362832073786902E-2"/>
    <n v="2.3780681840195179E-2"/>
    <n v="2.1684141196289121E-2"/>
    <s v="NaN"/>
    <n v="21798.007396464589"/>
    <n v="-13048.090812638809"/>
    <n v="8749.9165838257795"/>
    <n v="118.31073274667401"/>
    <n v="206.44582321218149"/>
    <n v="188.24524923211129"/>
    <s v="NaN"/>
    <n v="-33964.034093064489"/>
  </r>
  <r>
    <x v="18"/>
    <x v="15"/>
    <n v="8759.2005081469979"/>
    <n v="8759.2005081469979"/>
    <s v="NaN"/>
    <n v="2.5084434182006321"/>
    <n v="-1.4814878239656319"/>
    <n v="1.0269555942349999"/>
    <n v="1.350702407442911E-2"/>
    <n v="2.3569025698294381E-2"/>
    <n v="2.726397958884335E-2"/>
    <s v="NaN"/>
    <n v="21971.958863360971"/>
    <n v="-12976.648900493359"/>
    <n v="8995.3099628676118"/>
    <n v="118.3107321362932"/>
    <n v="206.44582187302979"/>
    <n v="238.81066386870609"/>
    <s v="NaN"/>
    <n v="-35049.216329403869"/>
  </r>
  <r>
    <x v="18"/>
    <x v="16"/>
    <n v="8804.6389573322995"/>
    <n v="8804.6389573322995"/>
    <s v="NaN"/>
    <n v="2.5147155218500501"/>
    <n v="-1.489173456856032"/>
    <n v="1.025542064994017"/>
    <n v="7.2937271953858237E-3"/>
    <n v="1.2489842252579431E-2"/>
    <n v="2.6614930330992329E-2"/>
    <s v="NaN"/>
    <n v="22141.16225028917"/>
    <n v="-13111.634632459831"/>
    <n v="9029.5276178293389"/>
    <n v="64.218634608648074"/>
    <n v="109.9685516679958"/>
    <n v="234.33485243894009"/>
    <s v="NaN"/>
    <n v="-34606.182074001197"/>
  </r>
  <r>
    <x v="18"/>
    <x v="17"/>
    <n v="8850.0774065175974"/>
    <n v="8850.0774065175974"/>
    <s v="NaN"/>
    <n v="2.5107095205384051"/>
    <n v="-1.96289447100758"/>
    <n v="0.54781504953082527"/>
    <n v="7.256279426589002E-3"/>
    <n v="1.242571636571335E-2"/>
    <n v="2.597254582653654E-2"/>
    <s v="NaN"/>
    <n v="22219.973602045571"/>
    <n v="-17371.768009242489"/>
    <n v="4848.205592803075"/>
    <n v="64.218634608633792"/>
    <n v="109.9685516679957"/>
    <n v="229.85904100917389"/>
    <s v="NaN"/>
    <n v="-19258.25667366097"/>
  </r>
  <r>
    <x v="18"/>
    <x v="18"/>
    <n v="8895.515855702899"/>
    <n v="8895.515855702899"/>
    <s v="NaN"/>
    <n v="2.506341125559989"/>
    <n v="-1.585865394973881"/>
    <n v="0.92047573058610754"/>
    <n v="7.2192142254986066E-3"/>
    <n v="1.236224559112829E-2"/>
    <n v="2.533672394444839E-2"/>
    <s v="NaN"/>
    <n v="22295.197222219129"/>
    <n v="-14107.0907660007"/>
    <n v="8188.1064562184292"/>
    <n v="64.21863460863878"/>
    <n v="109.96855166797501"/>
    <n v="225.3832295794079"/>
    <s v="NaN"/>
    <n v="-31488.148530942512"/>
  </r>
  <r>
    <x v="18"/>
    <x v="19"/>
    <n v="8940.9543048881933"/>
    <n v="8940.9543048881933"/>
    <s v="NaN"/>
    <n v="2.5027898542252842"/>
    <n v="-1.5273545078861981"/>
    <n v="0.97543534633908568"/>
    <n v="7.1825257594182942E-3"/>
    <n v="1.2299419940878629E-2"/>
    <n v="2.4707364629843499E-2"/>
    <s v="NaN"/>
    <n v="22377.329721366041"/>
    <n v="-13656.006862375491"/>
    <n v="8721.3228589905539"/>
    <n v="64.218634608641338"/>
    <n v="109.96855166802651"/>
    <n v="220.9074181496415"/>
    <s v="NaN"/>
    <n v="-33426.864032531543"/>
  </r>
  <r>
    <x v="18"/>
    <x v="20"/>
    <n v="8986.3927540734949"/>
    <n v="8986.3927540734949"/>
    <s v="NaN"/>
    <n v="2.5005491178487551"/>
    <n v="-1.4405163305460409"/>
    <n v="1.060032787302714"/>
    <n v="7.1462083136226142E-3"/>
    <n v="1.2237229628999501E-2"/>
    <n v="2.8545624224658079E-2"/>
    <s v="NaN"/>
    <n v="22470.91647384092"/>
    <n v="-12945.045514943489"/>
    <n v="9525.870958897438"/>
    <n v="64.218634608638027"/>
    <n v="109.96855166797459"/>
    <n v="256.52219069297217"/>
    <s v="NaN"/>
    <n v="-36507.461231515743"/>
  </r>
  <r>
    <x v="18"/>
    <x v="21"/>
    <n v="9031.8312032587964"/>
    <n v="9031.8312032587964"/>
    <s v="NaN"/>
    <n v="2.4985117762709792"/>
    <n v="-1.5412956389115759"/>
    <n v="0.95721613735940247"/>
    <n v="7.1102562883886417E-3"/>
    <n v="1.217566506649227E-2"/>
    <n v="2.78146589831221E-2"/>
    <s v="NaN"/>
    <n v="22566.136622633789"/>
    <n v="-13920.722044968281"/>
    <n v="8645.4145776655096"/>
    <n v="64.218634608635611"/>
    <n v="109.9685516679729"/>
    <n v="251.2173049117647"/>
    <s v="NaN"/>
    <n v="-33259.669919133928"/>
  </r>
  <r>
    <x v="18"/>
    <x v="22"/>
    <n v="9077.269652444098"/>
    <n v="9077.269652444098"/>
    <s v="NaN"/>
    <n v="2.4954595721031958"/>
    <n v="-1.6787402236526809"/>
    <n v="0.8167193484505143"/>
    <n v="7.0746641961163242E-3"/>
    <n v="1.211471685633975E-2"/>
    <n v="2.709101178506293E-2"/>
    <s v="NaN"/>
    <n v="22651.959442753468"/>
    <n v="-15238.3776864997"/>
    <n v="7413.5817562537704"/>
    <n v="64.218634608639533"/>
    <n v="109.9685516680058"/>
    <n v="245.91241913055711"/>
    <s v="NaN"/>
    <n v="-28723.498326092838"/>
  </r>
  <r>
    <x v="18"/>
    <x v="23"/>
    <n v="9122.7081016293978"/>
    <n v="9122.7081016293978"/>
    <s v="NaN"/>
    <n v="2.4914102749865492"/>
    <n v="-1.3803411862695549"/>
    <n v="1.1110690887169941"/>
    <n v="7.0394266585345026E-3"/>
    <n v="1.205437578873675E-2"/>
    <n v="2.637457328119211E-2"/>
    <s v="NaN"/>
    <n v="22728.408700102511"/>
    <n v="-12592.449722994001"/>
    <n v="10135.95897710851"/>
    <n v="64.218634608638666"/>
    <n v="109.96855166799401"/>
    <n v="240.60753334934961"/>
    <s v="NaN"/>
    <n v="-38686.096888030013"/>
  </r>
  <r>
    <x v="18"/>
    <x v="24"/>
    <n v="9168.1465508146975"/>
    <n v="9168.1465508146975"/>
    <s v="NaN"/>
    <n v="2.4866140099564071"/>
    <n v="-1.353426015866787"/>
    <n v="1.1331879940896199"/>
    <n v="7.0045384039967044E-3"/>
    <n v="1.199463283647173E-2"/>
    <n v="2.5665236290014621E-2"/>
    <s v="NaN"/>
    <n v="22797.641658589331"/>
    <n v="-12408.40805915196"/>
    <n v="10389.233599437381"/>
    <n v="64.21863460865147"/>
    <n v="109.968551667987"/>
    <n v="235.30264756814179"/>
    <s v="NaN"/>
    <n v="-39595.319255371513"/>
  </r>
  <r>
    <x v="18"/>
    <x v="25"/>
    <n v="9213.5849999999973"/>
    <n v="9213.5849999999973"/>
    <s v="NaN"/>
    <n v="2.482057395919032"/>
    <n v="-1.3347558070447409"/>
    <n v="1.1473015888742899"/>
    <n v="6.969994264842537E-3"/>
    <n v="1.193547915040484E-2"/>
    <n v="2.679298865377509E-2"/>
    <s v="NaN"/>
    <n v="22868.646792178639"/>
    <n v="-12297.886082450321"/>
    <n v="10570.76070972832"/>
    <n v="64.218634608639206"/>
    <n v="109.96855166798279"/>
    <n v="246.85947836559231"/>
    <s v="NaN"/>
    <n v="-40303.293706028962"/>
  </r>
  <r>
    <x v="18"/>
    <x v="26"/>
    <n v="9398.3980826085863"/>
    <n v="9398.3980826085863"/>
    <s v="NaN"/>
    <n v="2.4405344378552352"/>
    <n v="-1.344752065217647"/>
    <n v="1.0957823726375879"/>
    <n v="3.9292019336392293E-2"/>
    <n v="6.0885635636617343E-2"/>
    <n v="2.851781403734089E-2"/>
    <s v="NaN"/>
    <n v="22937.11418127887"/>
    <n v="-12638.515231325469"/>
    <n v="10298.598949953401"/>
    <n v="369.28203919296891"/>
    <n v="572.22744122558936"/>
    <n v="268.02176876873278"/>
    <s v="NaN"/>
    <n v="-42196.477396853021"/>
  </r>
  <r>
    <x v="18"/>
    <x v="27"/>
    <n v="9583.2111652171789"/>
    <n v="9583.2111652171789"/>
    <s v="NaN"/>
    <n v="2.4627541450037831"/>
    <n v="-1.747627689807975"/>
    <n v="0.71512645519580798"/>
    <n v="3.8534269460698628E-2"/>
    <n v="5.9711450922763892E-2"/>
    <n v="3.0176112597986311E-2"/>
    <s v="NaN"/>
    <n v="23601.09301958514"/>
    <n v="-16747.88518961049"/>
    <n v="6853.2078299746499"/>
    <n v="369.28204133925442"/>
    <n v="572.22744317434854"/>
    <n v="289.18405917187317"/>
    <s v="NaN"/>
    <n v="-29640.971703423151"/>
  </r>
  <r>
    <x v="18"/>
    <x v="28"/>
    <n v="9768.0242478257678"/>
    <n v="9768.0242478257678"/>
    <s v="NaN"/>
    <n v="2.4774256968268502"/>
    <n v="-1.2735993827133709"/>
    <n v="1.2038263141134791"/>
    <n v="3.7805192812892741E-2"/>
    <n v="5.8581697533835637E-2"/>
    <n v="3.1771660440348772E-2"/>
    <s v="NaN"/>
    <n v="24199.554278791318"/>
    <n v="-12440.54965236013"/>
    <n v="11759.00462643118"/>
    <n v="369.28204009006481"/>
    <n v="572.2274419893015"/>
    <n v="310.34634957501351"/>
    <s v="NaN"/>
    <n v="-47706.488346318067"/>
  </r>
  <r>
    <x v="18"/>
    <x v="29"/>
    <n v="9952.837330434355"/>
    <n v="9952.837330434355"/>
    <s v="NaN"/>
    <n v="2.4938172175763942"/>
    <n v="-1.400353401504524"/>
    <n v="1.0934638160718699"/>
    <n v="3.7103192594403381E-2"/>
    <n v="5.7493900840842833E-2"/>
    <n v="3.2094962833000229E-2"/>
    <s v="NaN"/>
    <n v="24820.557098374269"/>
    <n v="-13937.489610294961"/>
    <n v="10883.06748807931"/>
    <n v="369.28204033187347"/>
    <n v="572.22744256103169"/>
    <n v="319.43594420318777"/>
    <s v="NaN"/>
    <n v="-44528.047355647192"/>
  </r>
  <r>
    <x v="18"/>
    <x v="30"/>
    <n v="10137.650413042949"/>
    <n v="10137.650413042949"/>
    <s v="NaN"/>
    <n v="2.509200583544533"/>
    <n v="-1.529524141528499"/>
    <n v="0.97967644201603443"/>
    <n v="3.6760604583061317E-2"/>
    <n v="5.7634535519574141E-2"/>
    <n v="3.3699507061462491E-2"/>
    <s v="NaN"/>
    <n v="25437.39833217784"/>
    <n v="-15505.781045125539"/>
    <n v="9931.6172870522951"/>
    <n v="372.66615823517998"/>
    <n v="584.27877281554913"/>
    <n v="341.63382168097888"/>
    <s v="NaN"/>
    <n v="-41177.385479211764"/>
  </r>
  <r>
    <x v="18"/>
    <x v="31"/>
    <n v="10374.433608695301"/>
    <n v="10374.433608695301"/>
    <s v="NaN"/>
    <n v="2.5080884511054249"/>
    <n v="-1.522821830740831"/>
    <n v="0.98526662036459411"/>
    <n v="3.0824481924926629E-2"/>
    <n v="5.3272808750971713E-2"/>
    <n v="3.4940882422687281E-2"/>
    <s v="NaN"/>
    <n v="26019.997120728651"/>
    <n v="-15798.413980892579"/>
    <n v="10221.583139836081"/>
    <n v="319.78654125257953"/>
    <n v="552.6752175356778"/>
    <n v="362.49186492339771"/>
    <s v="NaN"/>
    <n v="-42007.301466345489"/>
  </r>
  <r>
    <x v="18"/>
    <x v="32"/>
    <n v="10611.21680434765"/>
    <n v="10611.21680434765"/>
    <s v="NaN"/>
    <n v="2.5053360077120428"/>
    <n v="-1.4898874558624779"/>
    <n v="1.0154485518495651"/>
    <n v="3.0136650914158701E-2"/>
    <n v="5.2084056340567592E-2"/>
    <n v="3.6935798319463538E-2"/>
    <s v="NaN"/>
    <n v="26584.663545571279"/>
    <n v="-15809.51880823469"/>
    <n v="10775.14473733659"/>
    <n v="319.78653660707982"/>
    <n v="552.67521387962063"/>
    <n v="391.93376380948717"/>
    <s v="NaN"/>
    <n v="-44144.980922657553"/>
  </r>
  <r>
    <x v="18"/>
    <x v="33"/>
    <n v="10848"/>
    <n v="10848"/>
    <s v="NaN"/>
    <n v="2.4971283899818579"/>
    <n v="-1.2344041764918521"/>
    <n v="1.2627242134900061"/>
    <n v="2.9478847557681639E-2"/>
    <n v="5.0947198923815593E-2"/>
    <n v="3.8843626723412308E-2"/>
    <s v="NaN"/>
    <n v="27088.848774523201"/>
    <n v="-13390.816506583609"/>
    <n v="13698.03226793959"/>
    <n v="319.7865383057304"/>
    <n v="552.67521392555147"/>
    <n v="421.37566269557681"/>
    <s v="NaN"/>
    <n v="-54970.188837181973"/>
  </r>
  <r>
    <x v="19"/>
    <x v="0"/>
    <n v="24950.264999999999"/>
    <n v="24884.074968695091"/>
    <n v="66.190031304903712"/>
    <n v="0.96471818999555659"/>
    <n v="-2.694895584027421E-4"/>
    <n v="0.96444870043715381"/>
    <n v="2.889812342585498E-3"/>
    <n v="2.8831596231065772E-2"/>
    <n v="7.0400320094722912E-2"/>
    <s v="NaN"/>
    <n v="24069.97449070949"/>
    <n v="-6.7238358968813916"/>
    <n v="24063.2506548126"/>
    <n v="72.101583747778974"/>
    <n v="719.35596633809223"/>
    <n v="1751.846843057217"/>
    <s v="NaN"/>
    <n v="-97557.368509179738"/>
  </r>
  <r>
    <x v="19"/>
    <x v="1"/>
    <n v="24939.588864000001"/>
    <n v="24873.531803104252"/>
    <n v="66.057060895750723"/>
    <n v="1.0182823184076739"/>
    <n v="-1.203817767632915E-3"/>
    <n v="1.0170785006400409"/>
    <n v="4.6637363705405461E-3"/>
    <n v="2.7437310039699941E-2"/>
    <n v="7.2344863825835617E-2"/>
    <s v="NaN"/>
    <n v="25395.542368568131"/>
    <n v="-30.02272019194319"/>
    <n v="25365.51964837619"/>
    <n v="116.3116676513648"/>
    <n v="684.27523192421609"/>
    <n v="1799.472271163168"/>
    <s v="NaN"/>
    <n v="-102540.45567009741"/>
  </r>
  <r>
    <x v="19"/>
    <x v="2"/>
    <n v="24928.912727999999"/>
    <n v="24862.988637513401"/>
    <n v="65.924090486597748"/>
    <n v="1.0187184112544061"/>
    <n v="-1.168842602296551E-3"/>
    <n v="1.017549568652109"/>
    <n v="6.4391798112660428E-3"/>
    <n v="2.6041829605395049E-2"/>
    <n v="7.4291056726873569E-2"/>
    <s v="NaN"/>
    <n v="25395.542368567902"/>
    <n v="-29.13797522541914"/>
    <n v="25366.40439334248"/>
    <n v="160.5217515549507"/>
    <n v="649.19449751033983"/>
    <n v="1847.097699269121"/>
    <s v="NaN"/>
    <n v="-102751.8005861579"/>
  </r>
  <r>
    <x v="19"/>
    <x v="3"/>
    <n v="24918.236592000001"/>
    <n v="24852.623902217369"/>
    <n v="65.612689782635002"/>
    <n v="1.01915487778623"/>
    <n v="-1.1282213833767091E-3"/>
    <n v="1.0180266564028531"/>
    <n v="8.2161446177240974E-3"/>
    <n v="2.4645153393142789E-2"/>
    <n v="7.6238353536828118E-2"/>
    <s v="NaN"/>
    <n v="25395.542368568131"/>
    <n v="-28.113287359134379"/>
    <n v="25367.429081209"/>
    <n v="204.73183545853649"/>
    <n v="614.11376309646369"/>
    <n v="1894.7231273750731"/>
    <s v="NaN"/>
    <n v="-102963.6586261859"/>
  </r>
  <r>
    <x v="19"/>
    <x v="4"/>
    <n v="24907.560455999999"/>
    <n v="24841.902306331711"/>
    <n v="65.658149668291784"/>
    <n v="1.0195917184836329"/>
    <n v="-1.131310441971181E-3"/>
    <n v="1.018460408041661"/>
    <n v="9.9946327462252394E-3"/>
    <n v="2.3247279865303051E-2"/>
    <n v="7.8188398437826503E-2"/>
    <s v="NaN"/>
    <n v="25395.542368568011"/>
    <n v="-28.178183227901268"/>
    <n v="25367.36418534011"/>
    <n v="248.94191936212249"/>
    <n v="579.03302868258731"/>
    <n v="1942.348555481025"/>
    <s v="NaN"/>
    <n v="-103171.5215258508"/>
  </r>
  <r>
    <x v="19"/>
    <x v="5"/>
    <n v="24896.884320000001"/>
    <n v="24831.35914074086"/>
    <n v="65.52517925913881"/>
    <n v="1.0200289338279791"/>
    <n v="-1.128682511252418E-3"/>
    <n v="1.0189002513167269"/>
    <n v="1.177464615643554E-2"/>
    <n v="2.184820748159829E-2"/>
    <n v="8.0139551456207728E-2"/>
    <s v="NaN"/>
    <n v="25395.542368568131"/>
    <n v="-28.100677916658551"/>
    <n v="25367.441690651471"/>
    <n v="293.15200326570829"/>
    <n v="543.95229426871117"/>
    <n v="1989.9739835869759"/>
    <s v="NaN"/>
    <n v="-103379.9065631766"/>
  </r>
  <r>
    <x v="19"/>
    <x v="6"/>
    <n v="24892.714334571428"/>
    <n v="24827.214043265449"/>
    <n v="65.500291305979019"/>
    <n v="1.027912945764937"/>
    <n v="-1.294649969006312E-4"/>
    <n v="1.027783480768037"/>
    <n v="1.298800455538068E-2"/>
    <n v="2.0618501928366739E-2"/>
    <n v="7.9415035687122215E-2"/>
    <s v="NaN"/>
    <n v="25587.543319734399"/>
    <n v="-3.222735184173589"/>
    <n v="25584.32058455022"/>
    <n v="323.30668717320361"/>
    <n v="513.25047850964324"/>
    <n v="1971.654089257747"/>
    <s v="NaN"/>
    <n v="-104105.9500781425"/>
  </r>
  <r>
    <x v="19"/>
    <x v="7"/>
    <n v="24888.54434914286"/>
    <n v="24823.068945790041"/>
    <n v="65.475403352819256"/>
    <n v="1.0280851688546131"/>
    <n v="-1.202148878642093E-4"/>
    <n v="1.0279649539667479"/>
    <n v="1.420176954193274E-2"/>
    <n v="1.9388384309715311E-2"/>
    <n v="7.8690277950494963E-2"/>
    <s v="NaN"/>
    <n v="25587.54331973405"/>
    <n v="-2.9919735680356081"/>
    <n v="25584.551346166008"/>
    <n v="353.46137108069911"/>
    <n v="482.54866275057498"/>
    <n v="1953.3341949285179"/>
    <s v="NaN"/>
    <n v="-104037.6171080707"/>
  </r>
  <r>
    <x v="19"/>
    <x v="8"/>
    <n v="24884.374363714291"/>
    <n v="24818.923848314629"/>
    <n v="65.45051539965948"/>
    <n v="1.0282574496646959"/>
    <n v="-1.361348453298148E-4"/>
    <n v="1.028121314819366"/>
    <n v="1.5415941320492789E-2"/>
    <n v="1.815785441848913E-2"/>
    <n v="7.7965278125090409E-2"/>
    <s v="NaN"/>
    <n v="25587.543319734399"/>
    <n v="-3.387630455133452"/>
    <n v="25584.155689279261"/>
    <n v="383.61605498819438"/>
    <n v="451.84684699150711"/>
    <n v="1935.0143005992891"/>
    <s v="NaN"/>
    <n v="-103966.9872701564"/>
  </r>
  <r>
    <x v="19"/>
    <x v="9"/>
    <n v="24880.204378285722"/>
    <n v="24814.778750839221"/>
    <n v="65.425627446499718"/>
    <n v="1.028429788224154"/>
    <n v="-1.1528628724874501E-4"/>
    <n v="1.0283145019369051"/>
    <n v="1.6630520095598959E-2"/>
    <n v="1.6926912047394379E-2"/>
    <n v="7.7240036089591915E-2"/>
    <s v="NaN"/>
    <n v="25587.54331973405"/>
    <n v="-2.8683463887625309"/>
    <n v="25584.674973345289"/>
    <n v="413.77073889568987"/>
    <n v="421.1450312324389"/>
    <n v="1916.69440627006"/>
    <s v="NaN"/>
    <n v="-103899.7122157355"/>
  </r>
  <r>
    <x v="19"/>
    <x v="10"/>
    <n v="24876.034392857138"/>
    <n v="24810.633653363799"/>
    <n v="65.400739493339941"/>
    <n v="1.0286021845620841"/>
    <n v="-1.2307312946074829E-4"/>
    <n v="1.028479111432623"/>
    <n v="1.7845506071926521E-2"/>
    <n v="1.5695556988998299E-2"/>
    <n v="7.6514551722601881E-2"/>
    <s v="NaN"/>
    <n v="25587.543319734399"/>
    <n v="-3.061571401302134"/>
    <n v="25584.481748333092"/>
    <n v="443.92542280318509"/>
    <n v="390.4432154733708"/>
    <n v="1898.3745119408311"/>
    <s v="NaN"/>
    <n v="-103829.8246280279"/>
  </r>
  <r>
    <x v="19"/>
    <x v="11"/>
    <n v="24871.864407428569"/>
    <n v="24806.488555888391"/>
    <n v="65.375851540180165"/>
    <n v="1.0287746387075061"/>
    <n v="-7.8622317122136826E-5"/>
    <n v="1.028696016390384"/>
    <n v="1.906089945428802E-2"/>
    <n v="1.4463789035728959E-2"/>
    <n v="7.5788824902641369E-2"/>
    <s v="NaN"/>
    <n v="25587.543319734399"/>
    <n v="-1.955483610859637"/>
    <n v="25585.587836123541"/>
    <n v="474.08010671068081"/>
    <n v="359.74139971430259"/>
    <n v="1880.054617611602"/>
    <s v="NaN"/>
    <n v="-103764.7011872632"/>
  </r>
  <r>
    <x v="19"/>
    <x v="12"/>
    <n v="24867.694422"/>
    <n v="24802.343458412979"/>
    <n v="65.350963587020388"/>
    <n v="1.0289471506894849"/>
    <n v="-1.225661091309446E-4"/>
    <n v="1.0288245845803541"/>
    <n v="2.0276700447633321E-2"/>
    <n v="1.323160797987525E-2"/>
    <n v="7.5062855508150436E-2"/>
    <s v="NaN"/>
    <n v="25587.543319733701"/>
    <n v="-3.047936548361835"/>
    <n v="25584.495383185331"/>
    <n v="504.23479061817602"/>
    <n v="329.03958395523449"/>
    <n v="1861.734723282374"/>
    <s v="NaN"/>
    <n v="-103691.5164304935"/>
  </r>
  <r>
    <x v="19"/>
    <x v="13"/>
    <n v="24909.189428000001"/>
    <n v="24843.622869665091"/>
    <n v="65.566558334912557"/>
    <n v="1.1159939497353351"/>
    <n v="-6.1579367175134227E-4"/>
    <n v="1.115378156063584"/>
    <n v="2.3276961743311019E-2"/>
    <n v="1.2442216084931649E-2"/>
    <n v="7.3040369542870909E-2"/>
    <s v="NaN"/>
    <n v="27798.504694459381"/>
    <n v="-15.338921218217839"/>
    <n v="27783.165773241159"/>
    <n v="579.81024937244342"/>
    <n v="309.92551736367102"/>
    <n v="1814.587395184057"/>
    <s v="NaN"/>
    <n v="-111787.45942893501"/>
  </r>
  <r>
    <x v="19"/>
    <x v="14"/>
    <n v="24950.68443400001"/>
    <n v="24884.902280917198"/>
    <n v="65.782153082804697"/>
    <n v="1.114137961545403"/>
    <n v="-6.0694310727846669E-4"/>
    <n v="1.113531018438124"/>
    <n v="2.6267243684651172E-2"/>
    <n v="1.165544983510841E-2"/>
    <n v="7.1024593431539773E-2"/>
    <s v="NaN"/>
    <n v="27798.504694459381"/>
    <n v="-15.143645939096441"/>
    <n v="27783.361048520281"/>
    <n v="655.38570812671094"/>
    <n v="290.81145077210738"/>
    <n v="1767.440067085741"/>
    <s v="NaN"/>
    <n v="-111822.32700652791"/>
  </r>
  <r>
    <x v="19"/>
    <x v="15"/>
    <n v="24992.176205566"/>
    <n v="24926.178457735299"/>
    <n v="65.997747830696824"/>
    <n v="1.0493027696763599"/>
    <n v="-8.8493063077786898E-4"/>
    <n v="1.0484178390455829"/>
    <n v="2.9247599763568659E-2"/>
    <n v="1.087129755911509E-2"/>
    <n v="6.9015502793753361E-2"/>
    <s v="NaN"/>
    <n v="26224.359712740032"/>
    <n v="-22.11634225410317"/>
    <n v="26202.243370485921"/>
    <n v="730.96116688097823"/>
    <n v="271.69738418054391"/>
    <n v="1720.292738987426"/>
    <s v="NaN"/>
    <n v="-106059.0470886375"/>
  </r>
  <r>
    <x v="19"/>
    <x v="16"/>
    <n v="24986.401539999999"/>
    <n v="24920.45076097058"/>
    <n v="65.950779029426414"/>
    <n v="0.98811195430709486"/>
    <n v="-9.0048828164184219E-4"/>
    <n v="0.98721146602545296"/>
    <n v="3.0534994051353199E-2"/>
    <n v="8.550185780596074E-3"/>
    <n v="6.6066698376034974E-2"/>
    <s v="NaN"/>
    <n v="24689.362056791211"/>
    <n v="-22.499961787167681"/>
    <n v="24666.862095004039"/>
    <n v="762.95962238862251"/>
    <n v="213.63837515557191"/>
    <n v="1646.4119038198739"/>
    <s v="NaN"/>
    <n v="-100062.8639866922"/>
  </r>
  <r>
    <x v="19"/>
    <x v="17"/>
    <n v="24982.62703"/>
    <n v="24916.600230000011"/>
    <n v="66.026799999989663"/>
    <n v="0.97022544580163816"/>
    <n v="-3.1543942414371498E-4"/>
    <n v="0.96991000637749447"/>
    <n v="3.2340863832123042E-2"/>
    <n v="6.9968414860678424E-3"/>
    <n v="6.3453941651446757E-2"/>
    <s v="NaN"/>
    <n v="24238.78044747781"/>
    <n v="-7.880505483940409"/>
    <n v="24230.89994199387"/>
    <n v="807.95973894594647"/>
    <n v="174.7994812344638"/>
    <n v="1581.056497146845"/>
    <s v="NaN"/>
    <n v="-98247.290750853033"/>
  </r>
  <r>
    <x v="19"/>
    <x v="18"/>
    <n v="24969.133109999999"/>
    <n v="24903.046747043329"/>
    <n v="66.086362956671437"/>
    <n v="0.91335607231917981"/>
    <n v="-7.7165686915178907E-4"/>
    <n v="0.91258441545002789"/>
    <n v="3.5575615142052867E-2"/>
    <n v="6.403646171584421E-3"/>
    <n v="6.3980356658983689E-2"/>
    <s v="NaN"/>
    <n v="22805.709346564381"/>
    <n v="-19.267603081096869"/>
    <n v="22786.44174348329"/>
    <n v="888.29226995204954"/>
    <n v="159.89349364763331"/>
    <n v="1593.3058127711761"/>
    <s v="NaN"/>
    <n v="-93235.75550614034"/>
  </r>
  <r>
    <x v="19"/>
    <x v="19"/>
    <n v="24947.901519999999"/>
    <n v="24881.735832534989"/>
    <n v="66.165687465015139"/>
    <n v="0.87568530751001095"/>
    <n v="-6.8402312670318519E-3"/>
    <n v="0.86884507624297924"/>
    <n v="3.7316748943258038E-2"/>
    <n v="5.0027562179649748E-3"/>
    <n v="6.1128922118078882E-2"/>
    <s v="NaN"/>
    <n v="21846.51081427067"/>
    <n v="-170.64941602393549"/>
    <n v="21675.86139824674"/>
    <n v="930.97457768296579"/>
    <n v="124.8082694543578"/>
    <n v="1520.993691869644"/>
    <s v="NaN"/>
    <n v="-88926.339103271675"/>
  </r>
  <r>
    <x v="19"/>
    <x v="20"/>
    <n v="24966.215189999999"/>
    <n v="24899.993649540651"/>
    <n v="66.221540459356063"/>
    <n v="0.87862137291311571"/>
    <n v="-1.1651763647228209E-3"/>
    <n v="0.8774561965483928"/>
    <n v="3.8667921062633288E-2"/>
    <n v="3.525712980504843E-3"/>
    <n v="5.8125775924027831E-2"/>
    <s v="NaN"/>
    <n v="21935.85026668209"/>
    <n v="-29.090043855971881"/>
    <n v="21906.760222826109"/>
    <n v="965.3916381996363"/>
    <n v="88.023708969460202"/>
    <n v="1447.3314513829159"/>
    <s v="NaN"/>
    <n v="-89494.192411727927"/>
  </r>
  <r>
    <x v="19"/>
    <x v="21"/>
    <n v="24968.090769999999"/>
    <n v="24901.876013807399"/>
    <n v="66.214756192599594"/>
    <n v="0.90325936319717737"/>
    <n v="-2.9914262915794191E-4"/>
    <n v="0.90296022056801939"/>
    <n v="3.9494518289128283E-2"/>
    <n v="2.0274962666061839E-3"/>
    <n v="5.4692053995435128E-2"/>
    <s v="NaN"/>
    <n v="22552.66176915952"/>
    <n v="-7.469020317991939"/>
    <n v="22545.19274884152"/>
    <n v="986.10271756037992"/>
    <n v="50.622710820459318"/>
    <n v="1361.9347475347849"/>
    <s v="NaN"/>
    <n v="-91460.794057451203"/>
  </r>
  <r>
    <x v="19"/>
    <x v="22"/>
    <n v="24959.475589999998"/>
    <n v="24893.28197670693"/>
    <n v="66.193613293072019"/>
    <n v="0.9057003814659621"/>
    <n v="-2.9935062242381701E-4"/>
    <n v="0.90540103084353829"/>
    <n v="4.0753124521116707E-2"/>
    <n v="1.084782858548235E-3"/>
    <n v="5.1696886828488213E-2"/>
    <s v="NaN"/>
    <n v="22605.806563053371"/>
    <n v="-7.4716345532385677"/>
    <n v="22598.334928500131"/>
    <n v="1017.176616701043"/>
    <n v="27.07561127838509"/>
    <n v="1286.905181139464"/>
    <s v="NaN"/>
    <n v="-91408.138571278061"/>
  </r>
  <r>
    <x v="19"/>
    <x v="23"/>
    <n v="25172.940450000009"/>
    <n v="25106.679119981422"/>
    <n v="66.261330018586875"/>
    <n v="0.82081088513262335"/>
    <n v="-3.515718271615299E-3"/>
    <n v="0.817295166861008"/>
    <n v="4.1005522353001082E-2"/>
    <n v="-2.9205687175210069E-4"/>
    <n v="4.7856541221831021E-2"/>
    <s v="NaN"/>
    <n v="20662.22353215532"/>
    <n v="-88.500966690348861"/>
    <n v="20573.72256546497"/>
    <n v="1032.2295723132399"/>
    <n v="-7.3519302406289206"/>
    <n v="1201.5188242486749"/>
    <s v="NaN"/>
    <n v="-83600.436449890563"/>
  </r>
  <r>
    <x v="19"/>
    <x v="24"/>
    <n v="25113.871999999999"/>
    <n v="25047.55191318272"/>
    <n v="66.320086817283894"/>
    <n v="0.78923858036951056"/>
    <n v="-1.051399741632713E-4"/>
    <n v="0.78913344039534716"/>
    <n v="4.1952402111239462E-2"/>
    <n v="-1.4040233548283871E-3"/>
    <n v="4.4684476417136312E-2"/>
    <s v="NaN"/>
    <n v="19820.836684861599"/>
    <n v="-2.6404718532197031"/>
    <n v="19818.196213008381"/>
    <n v="1053.587256714198"/>
    <n v="-35.260462818170701"/>
    <n v="1119.236742771611"/>
    <s v="NaN"/>
    <n v="-80504.452415486056"/>
  </r>
  <r>
    <x v="19"/>
    <x v="25"/>
    <n v="24906.152259999999"/>
    <n v="24839.72982165006"/>
    <n v="66.422438349940464"/>
    <n v="0.73191175314740275"/>
    <n v="-6.1553168578982456E-3"/>
    <n v="0.72575643628950448"/>
    <n v="4.3162859895083228E-2"/>
    <n v="-2.5029141178021198E-3"/>
    <n v="4.1700514604844953E-2"/>
    <s v="NaN"/>
    <n v="18229.105564772752"/>
    <n v="-153.30525887135849"/>
    <n v="18075.80030590139"/>
    <n v="1075.0207605239909"/>
    <n v="-62.337960111683188"/>
    <n v="1035.829516208121"/>
    <s v="NaN"/>
    <n v="-73789.146282586706"/>
  </r>
  <r>
    <x v="19"/>
    <x v="26"/>
    <n v="24808.762539999989"/>
    <n v="24742.400291739661"/>
    <n v="66.362248260336401"/>
    <n v="0.67947656666378065"/>
    <n v="-3.4273914611654329E-4"/>
    <n v="0.67913382751766416"/>
    <n v="4.4365183447463298E-2"/>
    <n v="-3.3472776215016172E-3"/>
    <n v="3.8427422951294379E-2"/>
    <s v="NaN"/>
    <n v="16856.97279385621"/>
    <n v="-8.5029340891676828"/>
    <n v="16848.469859767039"/>
    <n v="1100.6453011916551"/>
    <n v="-83.041815667289583"/>
    <n v="950.78668084090918"/>
    <s v="NaN"/>
    <n v="-68995.153429158105"/>
  </r>
  <r>
    <x v="19"/>
    <x v="27"/>
    <n v="24876.498670000001"/>
    <n v="24809.95319984798"/>
    <n v="66.545470152021366"/>
    <n v="0.69943988843497085"/>
    <n v="-2.985195741195895E-5"/>
    <n v="0.69941003647755884"/>
    <n v="4.545095361465562E-2"/>
    <n v="-3.7662286689041499E-3"/>
    <n v="3.511074205128123E-2"/>
    <s v="NaN"/>
    <n v="17399.615454397499"/>
    <n v="-0.74261217885549335"/>
    <n v="17398.87284221864"/>
    <n v="1130.660587145212"/>
    <n v="-93.690582472909952"/>
    <n v="871.09586710422161"/>
    <s v="NaN"/>
    <n v="-70792.108617988706"/>
  </r>
  <r>
    <x v="19"/>
    <x v="28"/>
    <n v="24914.923719999999"/>
    <n v="24848.303610720919"/>
    <n v="66.620109279079273"/>
    <n v="0.68091960125296835"/>
    <n v="-2.977804936236187E-5"/>
    <n v="0.68088982320360603"/>
    <n v="4.650818190123647E-2"/>
    <n v="-4.162040948289431E-3"/>
    <n v="3.1925449710752708E-2"/>
    <s v="NaN"/>
    <n v="16965.059924670521"/>
    <n v="-0.74191782839364062"/>
    <n v="16964.318006842132"/>
    <n v="1158.7478044251909"/>
    <n v="-103.6969327461477"/>
    <n v="793.29326732158574"/>
    <s v="NaN"/>
    <n v="-68979.761201429734"/>
  </r>
  <r>
    <x v="19"/>
    <x v="29"/>
    <n v="24926.404119999999"/>
    <n v="24859.701224367469"/>
    <n v="66.702895632526122"/>
    <n v="0.63427821977261711"/>
    <n v="-2.9694978928721441E-5"/>
    <n v="0.63424852479368843"/>
    <n v="4.7162940943284118E-2"/>
    <n v="-4.6925052104178624E-3"/>
    <n v="2.8657782432256369E-2"/>
    <s v="NaN"/>
    <n v="15810.275230566431"/>
    <n v="-0.7401890451121953"/>
    <n v="15809.53504152132"/>
    <n v="1175.602525439994"/>
    <n v="-116.9672812100813"/>
    <n v="712.42390901882038"/>
    <s v="NaN"/>
    <n v="-64462.178714162721"/>
  </r>
  <r>
    <x v="19"/>
    <x v="30"/>
    <n v="24984.911370000009"/>
    <n v="24918.172741222741"/>
    <n v="66.738628777260303"/>
    <n v="0.65035512899785475"/>
    <n v="-1.141258596001438E-5"/>
    <n v="0.65034371641189481"/>
    <n v="4.8108933898137043E-2"/>
    <n v="-5.1701448842372899E-3"/>
    <n v="2.5594036869599188E-2"/>
    <s v="NaN"/>
    <n v="16249.06525703632"/>
    <n v="-0.28514244871346561"/>
    <n v="16248.780114587609"/>
    <n v="1201.9974495501431"/>
    <n v="-129.17561170272759"/>
    <n v="637.75663186189649"/>
    <s v="NaN"/>
    <n v="-65850.981475761349"/>
  </r>
  <r>
    <x v="19"/>
    <x v="31"/>
    <n v="24971.022110000002"/>
    <n v="24904.241679861931"/>
    <n v="66.7804301380651"/>
    <n v="0.62923447269633237"/>
    <n v="-7.9543013704634434E-7"/>
    <n v="0.62923367726619539"/>
    <n v="4.8566757064540438E-2"/>
    <n v="-5.6598124282190056E-3"/>
    <n v="2.2476040364081819E-2"/>
    <s v="NaN"/>
    <n v="15712.62793007431"/>
    <n v="-1.9862703539144589E-2"/>
    <n v="15712.608067370769"/>
    <n v="1212.761564469638"/>
    <n v="-141.33130128350959"/>
    <n v="559.74874123342568"/>
    <s v="NaN"/>
    <n v="-63593.885929903627"/>
  </r>
  <r>
    <x v="19"/>
    <x v="32"/>
    <n v="24970.201089999999"/>
    <n v="24903.39214020794"/>
    <n v="66.80894979205587"/>
    <n v="0.59019262435526698"/>
    <n v="-7.9167862798570554E-5"/>
    <n v="0.59011345649246838"/>
    <n v="4.9258780649677841E-2"/>
    <n v="-6.1588196696359286E-3"/>
    <n v="1.9575387183576199E-2"/>
    <s v="NaN"/>
    <n v="14737.22851198585"/>
    <n v="-1.9768374539458371"/>
    <n v="14735.251674531901"/>
    <n v="1230.001658270656"/>
    <n v="-153.78696562785649"/>
    <n v="487.49354332899878"/>
    <s v="NaN"/>
    <n v="-59762.853005185672"/>
  </r>
  <r>
    <x v="19"/>
    <x v="33"/>
    <n v="24946.104429999981"/>
    <n v="24879.269546355859"/>
    <n v="66.834883644127032"/>
    <n v="0.57400322996878173"/>
    <n v="-2.6210720406875309E-3"/>
    <n v="0.57138215792809421"/>
    <n v="4.9832158645552863E-2"/>
    <n v="-6.5099880882547884E-3"/>
    <n v="1.6895745589889079E-2"/>
    <s v="NaN"/>
    <n v="14319.14451795853"/>
    <n v="-65.385536845544308"/>
    <n v="14253.75898111298"/>
    <n v="1243.1182335442879"/>
    <n v="-162.39884268765991"/>
    <n v="420.35380871750363"/>
    <s v="NaN"/>
    <n v="-57767.717995858002"/>
  </r>
  <r>
    <x v="20"/>
    <x v="0"/>
    <n v="6.032499999999966"/>
    <n v="6.0264999999999658"/>
    <n v="6.0000000000000001E-3"/>
    <n v="2.2380041442188809"/>
    <n v="-2.2958398478478621"/>
    <n v="-5.7835703628980821E-2"/>
    <n v="8.4336836579638502E-2"/>
    <n v="5.6587714463324008E-2"/>
    <n v="0.151665145606904"/>
    <n v="-7.8E-2"/>
    <n v="13.50076000000033"/>
    <n v="-13.84965388214215"/>
    <n v="-0.34889388214182482"/>
    <n v="0.5087619666666664"/>
    <n v="0.34136538750000017"/>
    <n v="0.91401000000000188"/>
    <n v="-4.6799999999999999E-4"/>
    <n v="-5.1875100640915646"/>
  </r>
  <r>
    <x v="20"/>
    <x v="1"/>
    <n v="6.0454166666666991"/>
    <n v="6.039083333333366"/>
    <n v="6.3333333333333002E-3"/>
    <n v="2.2363600523812681"/>
    <n v="-1.5534026475291931"/>
    <n v="0.68295740485207457"/>
    <n v="8.4186306430490354E-2"/>
    <n v="5.6513197394719612E-2"/>
    <n v="0.15134802467261829"/>
    <n v="-7.8000000000000402E-2"/>
    <n v="13.51972833333333"/>
    <n v="-9.3909662554171618"/>
    <n v="4.1287620779161678"/>
    <n v="0.50894129999999627"/>
    <n v="0.341645825416663"/>
    <n v="0.91400333333333639"/>
    <n v="-4.9399999999999997E-4"/>
    <n v="-21.607147967777902"/>
  </r>
  <r>
    <x v="20"/>
    <x v="2"/>
    <n v="6.0583333333333327"/>
    <n v="6.0516666666666659"/>
    <n v="6.6666666666667001E-3"/>
    <n v="2.2347229711141132"/>
    <n v="-2.0503516925845209"/>
    <n v="0.18437127852959179"/>
    <n v="8.4036418156809303E-2"/>
    <n v="5.6438998074278289E-2"/>
    <n v="0.15103222252822801"/>
    <n v="-7.7999999999999597E-2"/>
    <n v="13.538696666666331"/>
    <n v="-12.42171400424122"/>
    <n v="1.11698266242511"/>
    <n v="0.50912063333333635"/>
    <n v="0.34192626333333592"/>
    <n v="0.91399666666665969"/>
    <n v="-5.1999999999999995E-4"/>
    <n v="-10.565522827781921"/>
  </r>
  <r>
    <x v="20"/>
    <x v="3"/>
    <n v="6.0712499999999654"/>
    <n v="6.0642499999999657"/>
    <n v="6.9999999999999707E-3"/>
    <n v="2.2330928556722931"/>
    <n v="-1.889068822483863"/>
    <n v="0.34402403318842989"/>
    <n v="8.3862268890263006E-2"/>
    <n v="5.6318195799877298E-2"/>
    <n v="0.15071773096425911"/>
    <n v="-7.8000000000000749E-2"/>
    <n v="13.55766500000033"/>
    <n v="-11.469009088505089"/>
    <n v="2.088655911495243"/>
    <n v="0.5091488000000064"/>
    <n v="0.3419218462500031"/>
    <n v="0.91399000000000286"/>
    <n v="-5.4600000000000297E-4"/>
    <n v="-14.128292045067219"/>
  </r>
  <r>
    <x v="20"/>
    <x v="4"/>
    <n v="6.0841666666666994"/>
    <n v="6.0768333333333659"/>
    <n v="7.3333333333333601E-3"/>
    <n v="2.2314696616901668"/>
    <n v="-2.769178266923578"/>
    <n v="-0.53770860523341091"/>
    <n v="8.3688859060402188E-2"/>
    <n v="5.6197906451171321E-2"/>
    <n v="0.15040454183922519"/>
    <n v="-7.7999999999999708E-2"/>
    <n v="13.57663333333333"/>
    <n v="-16.848142105674292"/>
    <n v="-3.2715087723409622"/>
    <n v="0.50917696666666634"/>
    <n v="0.34191742916667001"/>
    <n v="0.91398333333333637"/>
    <n v="-5.7199999999999992E-4"/>
    <n v="5.5256778249728944"/>
  </r>
  <r>
    <x v="20"/>
    <x v="5"/>
    <n v="6.0970833333333321"/>
    <n v="6.0894166666666658"/>
    <n v="7.6666666666666706E-3"/>
    <n v="2.2298533451786509"/>
    <n v="-2.1400846510700742"/>
    <n v="8.9768694108576533E-2"/>
    <n v="8.3516183967744642E-2"/>
    <n v="5.6078126768263972E-2"/>
    <n v="0.15009264707894729"/>
    <n v="-7.7999999999999695E-2"/>
    <n v="13.59560166666633"/>
    <n v="-13.048274457961829"/>
    <n v="0.54732720870450002"/>
    <n v="0.50920513333333628"/>
    <n v="0.34191301208333602"/>
    <n v="0.91397666666665967"/>
    <n v="-5.9799999999999795E-4"/>
    <n v="-8.4766880762228212"/>
  </r>
  <r>
    <x v="20"/>
    <x v="6"/>
    <n v="6.1099999999999657"/>
    <n v="6.1019999999999657"/>
    <n v="8.0000000000000002E-3"/>
    <n v="2.2282438625205252"/>
    <n v="-1.748852726530097"/>
    <n v="0.4793911359904281"/>
    <n v="8.3344238952538341E-2"/>
    <n v="5.5958853518822432E-2"/>
    <n v="0.1497820386758453"/>
    <n v="-7.8E-2"/>
    <n v="13.614570000000329"/>
    <n v="-10.68549015909883"/>
    <n v="2.9290798409014989"/>
    <n v="0.50923330000000644"/>
    <n v="0.34190859500000309"/>
    <n v="0.91397000000000295"/>
    <n v="-6.2399999999999999E-4"/>
    <n v="-17.20974836497377"/>
  </r>
  <r>
    <x v="20"/>
    <x v="7"/>
    <n v="6.1090000000000364"/>
    <n v="6.1010000000000364"/>
    <n v="8.0000000000000002E-3"/>
    <n v="2.2268390898674508"/>
    <n v="-2.2476887684629849"/>
    <n v="-2.0849678595534889E-2"/>
    <n v="8.2975424237462764E-2"/>
    <n v="5.5591353331150319E-2"/>
    <n v="0.14890437359995501"/>
    <n v="-7.8E-2"/>
    <n v="13.60376000000034"/>
    <n v="-13.73113068654046"/>
    <n v="-0.1273706865401234"/>
    <n v="0.506896866666663"/>
    <n v="0.33960757749999931"/>
    <n v="0.90846558333333061"/>
    <n v="-6.2399999999999999E-4"/>
    <n v="-5.9655762501867304"/>
  </r>
  <r>
    <x v="20"/>
    <x v="8"/>
    <n v="6.107999999999997"/>
    <n v="6.099999999999997"/>
    <n v="8.0000000000000002E-3"/>
    <n v="2.2254338572364669"/>
    <n v="-1.8675284795899789"/>
    <n v="0.3579053776464875"/>
    <n v="8.2606488757912544E-2"/>
    <n v="5.5223732809429722E-2"/>
    <n v="0.14802642076502731"/>
    <n v="-7.8E-2"/>
    <n v="13.59295000000033"/>
    <n v="-11.40686395333559"/>
    <n v="2.186086046664744"/>
    <n v="0.50456043333332956"/>
    <n v="0.33730655999999659"/>
    <n v="0.90296116666666626"/>
    <n v="-6.2399999999999999E-4"/>
    <n v="-14.41106409110535"/>
  </r>
  <r>
    <x v="20"/>
    <x v="9"/>
    <n v="6.1069999999999656"/>
    <n v="6.0989999999999656"/>
    <n v="8.0000000000000002E-3"/>
    <n v="2.224028164401572"/>
    <n v="-1.791246318447365"/>
    <n v="0.43278184595420732"/>
    <n v="8.2237432454561846E-2"/>
    <n v="5.4855991894548053E-2"/>
    <n v="0.14714818002951441"/>
    <n v="-7.8E-2"/>
    <n v="13.582140000000329"/>
    <n v="-10.939141266758"/>
    <n v="2.642998733242329"/>
    <n v="0.50222400000000644"/>
    <n v="0.33500554250000308"/>
    <n v="0.89745675000000302"/>
    <n v="-6.2399999999999999E-4"/>
    <n v="-16.049223761056709"/>
  </r>
  <r>
    <x v="20"/>
    <x v="10"/>
    <n v="6.1060000000000363"/>
    <n v="6.0980000000000363"/>
    <n v="8.0000000000000002E-3"/>
    <n v="2.2226220111366288"/>
    <n v="-2.9415628607645532"/>
    <n v="-0.71894084962792382"/>
    <n v="8.1868255268041271E-2"/>
    <n v="5.4488130527349708E-2"/>
    <n v="0.14626965125177521"/>
    <n v="-7.8E-2"/>
    <n v="13.571330000000341"/>
    <n v="-17.96118282782847"/>
    <n v="-4.389852827828129"/>
    <n v="0.49988756666666301"/>
    <n v="0.33270452499999931"/>
    <n v="0.89195233333333068"/>
    <n v="-6.2399999999999999E-4"/>
    <n v="9.7750854770373881"/>
  </r>
  <r>
    <x v="20"/>
    <x v="11"/>
    <n v="6.104999999999996"/>
    <n v="6.096999999999996"/>
    <n v="8.0000000000000002E-3"/>
    <n v="2.2212153972154529"/>
    <n v="-1.8619603377178711"/>
    <n v="0.3592550594975823"/>
    <n v="8.1498957138956579E-2"/>
    <n v="5.4120148648648142E-2"/>
    <n v="0.14539083429008809"/>
    <n v="-7.8E-2"/>
    <n v="13.560520000000331"/>
    <n v="-11.367267861767591"/>
    <n v="2.1932521382327379"/>
    <n v="0.49755113333332962"/>
    <n v="0.33040350749999658"/>
    <n v="0.88644791666666634"/>
    <n v="-6.2399999999999999E-4"/>
    <n v="-14.32577921768798"/>
  </r>
  <r>
    <x v="20"/>
    <x v="12"/>
    <n v="6.1039999999999663"/>
    <n v="6.0959999999999663"/>
    <n v="8.0000000000000002E-3"/>
    <n v="2.2198083224116001"/>
    <n v="-1.8827191103592651"/>
    <n v="0.33708921205233477"/>
    <n v="8.1129538007865251E-2"/>
    <n v="5.3752046199214441E-2"/>
    <n v="0.14451172900262599"/>
    <n v="-7.7999999999999875E-2"/>
    <n v="13.54971000000033"/>
    <n v="-11.49211744963289"/>
    <n v="2.0575925503674402"/>
    <n v="0.49521470000000672"/>
    <n v="0.32810249000000308"/>
    <n v="0.8809435000000031"/>
    <n v="-6.2399999999999901E-4"/>
    <n v="-13.79117388134858"/>
  </r>
  <r>
    <x v="20"/>
    <x v="13"/>
    <n v="6.1071666666666697"/>
    <n v="6.0988333333333369"/>
    <n v="8.3333333333333003E-3"/>
    <n v="2.2185274131484309"/>
    <n v="-2.05386827471956"/>
    <n v="0.1646591384288707"/>
    <n v="8.0696307616734381E-2"/>
    <n v="5.3315345222826119E-2"/>
    <n v="0.14323652064602571"/>
    <n v="-7.8000000000000305E-2"/>
    <n v="13.548916666666329"/>
    <n v="-12.543315865091481"/>
    <n v="1.0056008015748521"/>
    <n v="0.49282579999999993"/>
    <n v="0.32560569916666982"/>
    <n v="0.87357566666666997"/>
    <n v="-6.4999999999999997E-4"/>
    <n v="-9.8888458804976036"/>
  </r>
  <r>
    <x v="20"/>
    <x v="14"/>
    <n v="6.1103333333333616"/>
    <n v="6.1016666666666959"/>
    <n v="8.666666666666701E-3"/>
    <n v="2.2172478315421862"/>
    <n v="-2.1408458101047381"/>
    <n v="7.6402021437448009E-2"/>
    <n v="8.0263526266977969E-2"/>
    <n v="5.2879096885058409E-2"/>
    <n v="0.14196249658563209"/>
    <n v="-7.7999999999999681E-2"/>
    <n v="13.54812333333334"/>
    <n v="-13.081281515010049"/>
    <n v="0.46684181832328869"/>
    <n v="0.4904368999999934"/>
    <n v="0.32310890833333678"/>
    <n v="0.86620783333333584"/>
    <n v="-6.7599999999999995E-4"/>
    <n v="-7.8683713532972179"/>
  </r>
  <r>
    <x v="20"/>
    <x v="15"/>
    <n v="6.1134999999999664"/>
    <n v="6.1044999999999661"/>
    <n v="8.9999999999999594E-3"/>
    <n v="2.2159695755296318"/>
    <n v="-2.130466075269529"/>
    <n v="8.5503500260102089E-2"/>
    <n v="7.9831193260817251E-2"/>
    <n v="5.2443300482539472E-2"/>
    <n v="0.14068965517241511"/>
    <n v="-7.8000000000000347E-2"/>
    <n v="13.547330000000329"/>
    <n v="-13.0246043511602"/>
    <n v="0.52272564884013129"/>
    <n v="0.48804800000000359"/>
    <n v="0.32061211750000329"/>
    <n v="0.85884000000000305"/>
    <n v="-7.0199999999999993E-4"/>
    <n v="-8.028253809914581"/>
  </r>
  <r>
    <x v="20"/>
    <x v="16"/>
    <n v="6.1166666666666689"/>
    <n v="6.1073333333333357"/>
    <n v="9.3333333333333289E-3"/>
    <n v="2.2146926430517162"/>
    <n v="-2.337286255921728"/>
    <n v="-0.1225936128700125"/>
    <n v="7.9399307901907315E-2"/>
    <n v="5.2007955313352033E-2"/>
    <n v="0.13941799476039779"/>
    <n v="-7.8000000000000042E-2"/>
    <n v="13.546536666666331"/>
    <n v="-14.29640093205458"/>
    <n v="-0.74986426538824347"/>
    <n v="0.4856590999999999"/>
    <n v="0.31811532666666997"/>
    <n v="0.85147216666666992"/>
    <n v="-7.2800000000000002E-4"/>
    <n v="-3.317065869132322"/>
  </r>
  <r>
    <x v="20"/>
    <x v="17"/>
    <n v="6.1198333333333634"/>
    <n v="6.1101666666666956"/>
    <n v="9.6666666666667001E-3"/>
    <n v="2.213417032054239"/>
    <n v="-2.7392239377435752"/>
    <n v="-0.52580690568933575"/>
    <n v="7.9018075110976999E-2"/>
    <n v="5.1575923908603473E-2"/>
    <n v="0.13814493603556879"/>
    <n v="-7.7999999999999736E-2"/>
    <n v="13.545743333333339"/>
    <n v="-16.763593961667809"/>
    <n v="-3.2178506283344692"/>
    <n v="0.48357744999999641"/>
    <n v="0.31563605833333669"/>
    <n v="0.8440885833333357"/>
    <n v="-7.54E-4"/>
    <n v="5.7761093011157936"/>
  </r>
  <r>
    <x v="20"/>
    <x v="18"/>
    <n v="6.1229999999999656"/>
    <n v="6.1129999999999667"/>
    <n v="9.9999999999999707E-3"/>
    <n v="2.212142740486756"/>
    <n v="-2.8225930776663182"/>
    <n v="-0.61045033717956232"/>
    <n v="7.8670689749034184E-2"/>
    <n v="5.1146247209974197E-2"/>
    <n v="0.1368713397677094"/>
    <n v="-7.8000000000000222E-2"/>
    <n v="13.54495000000033"/>
    <n v="-17.28273741455077"/>
    <n v="-3.7377874145504388"/>
    <n v="0.48170063333333363"/>
    <n v="0.31316847166667028"/>
    <n v="0.83669450000000323"/>
    <n v="-7.7999999999999999E-4"/>
    <n v="7.7256806350189517"/>
  </r>
  <r>
    <x v="20"/>
    <x v="19"/>
    <n v="6.1361666666666697"/>
    <n v="6.1261666666666699"/>
    <n v="1.000000000000003E-2"/>
    <n v="2.2116470652143829"/>
    <n v="-2.6814256523846649"/>
    <n v="-0.46977858717028248"/>
    <n v="7.9349865551239393E-2"/>
    <n v="5.1744083982942092E-2"/>
    <n v="0.13995024077046489"/>
    <n v="-7.7999999999999778E-2"/>
    <n v="13.571034999999659"/>
    <n v="-16.453674707307709"/>
    <n v="-2.8826397073080501"/>
    <n v="0.48690399999999701"/>
    <n v="0.31751032333333001"/>
    <n v="0.85735849999999703"/>
    <n v="-7.8000000000000009E-4"/>
    <n v="4.4793719079077352"/>
  </r>
  <r>
    <x v="20"/>
    <x v="20"/>
    <n v="6.1493333333333631"/>
    <n v="6.1393333333333633"/>
    <n v="0.01"/>
    <n v="2.2111535125758781"/>
    <n v="-2.6102374604529341"/>
    <n v="-0.39908394787705648"/>
    <n v="8.0026132914137238E-2"/>
    <n v="5.2339360635298933E-2"/>
    <n v="0.14301593549788169"/>
    <n v="-7.8E-2"/>
    <n v="13.59712"/>
    <n v="-16.051220223478651"/>
    <n v="-2.4541002234786582"/>
    <n v="0.49210736666667032"/>
    <n v="0.3218521749999998"/>
    <n v="0.87802249999999959"/>
    <n v="-7.7999999999999999E-4"/>
    <n v="2.7972933333108791"/>
  </r>
  <r>
    <x v="20"/>
    <x v="21"/>
    <n v="6.1624999999999659"/>
    <n v="6.1524999999999661"/>
    <n v="9.9999999999999707E-3"/>
    <n v="1.7941116105477319"/>
    <n v="-1.8070382266765019"/>
    <n v="-1.2926616128770571E-2"/>
    <n v="8.0699510480054581E-2"/>
    <n v="5.2932093576741918E-2"/>
    <n v="0.14606850873628741"/>
    <n v="-7.8000000000000222E-2"/>
    <n v="11.05621280000034"/>
    <n v="-11.135873071893879"/>
    <n v="-7.9660271893548185E-2"/>
    <n v="0.49731073333333359"/>
    <n v="0.3261940266666703"/>
    <n v="0.89868650000000327"/>
    <n v="-7.7999999999999988E-4"/>
    <n v="-6.0197536230575643"/>
  </r>
  <r>
    <x v="20"/>
    <x v="22"/>
    <n v="6.1756666666666709"/>
    <n v="6.1656666666666711"/>
    <n v="1.000000000000003E-2"/>
    <n v="1.793376110541371"/>
    <n v="-1.8132036296779119"/>
    <n v="-1.9827519136540239E-2"/>
    <n v="8.1370016732336528E-2"/>
    <n v="5.3522299077022141E-2"/>
    <n v="0.149108044547764"/>
    <n v="-7.799999999999975E-2"/>
    <n v="11.075293066666671"/>
    <n v="-11.1977412156809"/>
    <n v="-0.1224481490142271"/>
    <n v="0.50251409999999996"/>
    <n v="0.33053587833332998"/>
    <n v="0.91935049999999729"/>
    <n v="-7.7999999999999988E-4"/>
    <n v="-5.9736318741705778"/>
  </r>
  <r>
    <x v="20"/>
    <x v="23"/>
    <n v="6.1888333333333616"/>
    <n v="6.1788333333333627"/>
    <n v="0.01"/>
    <n v="1.792643740069418"/>
    <n v="-1.590224003027036"/>
    <n v="0.2024197370423825"/>
    <n v="8.2037669997038362E-2"/>
    <n v="5.4109993267443757E-2"/>
    <n v="0.15213462627788341"/>
    <n v="-7.8000000000000014E-2"/>
    <n v="11.094373333332999"/>
    <n v="-9.8416313174005321"/>
    <n v="1.2527420159324709"/>
    <n v="0.50771746666667328"/>
    <n v="0.33487772999999982"/>
    <n v="0.94001449999999964"/>
    <n v="-7.8000000000000009E-4"/>
    <n v="-11.12676294619787"/>
  </r>
  <r>
    <x v="20"/>
    <x v="24"/>
    <n v="6.2019999999999662"/>
    <n v="6.1919999999999664"/>
    <n v="9.9999999999999707E-3"/>
    <n v="1.7919144792003221"/>
    <n v="-1.5863247810954031"/>
    <n v="0.20558969810491881"/>
    <n v="8.2702488444588745E-2"/>
    <n v="5.4695192142320569E-2"/>
    <n v="0.15514833656330879"/>
    <n v="-7.8000000000000222E-2"/>
    <n v="11.113453600000341"/>
    <n v="-9.838386292353638"/>
    <n v="1.275067307646699"/>
    <n v="0.5129208333333366"/>
    <n v="0.33921958166667032"/>
    <n v="0.9606785000000031"/>
    <n v="-7.7999999999999999E-4"/>
    <n v="-11.319389483038959"/>
  </r>
  <r>
    <x v="20"/>
    <x v="25"/>
    <n v="6.2185999999999826"/>
    <n v="6.2085999999999837"/>
    <n v="1.000000000000003E-2"/>
    <n v="1.7867656900266451"/>
    <n v="-1.4271733753417211"/>
    <n v="0.3595923146849242"/>
    <n v="8.2985138079986601E-2"/>
    <n v="5.8122664588530333E-2"/>
    <n v="0.16591102982618761"/>
    <n v="-7.7999999999999736E-2"/>
    <n v="11.11118111999966"/>
    <n v="-8.8750203518999999"/>
    <n v="2.2361607680996638"/>
    <n v="0.51605137966420334"/>
    <n v="0.36144160201023368"/>
    <n v="1.0300752197788661"/>
    <n v="-7.7999999999999999E-4"/>
    <n v="-15.19081288836226"/>
  </r>
  <r>
    <x v="20"/>
    <x v="26"/>
    <n v="6.2352000000000398"/>
    <n v="6.22520000000004"/>
    <n v="0.01"/>
    <n v="1.7816443161406099"/>
    <n v="-1.371499154512072"/>
    <n v="0.41014516162853748"/>
    <n v="8.3272820655527768E-2"/>
    <n v="6.1540925985165598E-2"/>
    <n v="0.17663317188549779"/>
    <n v="-7.8E-2"/>
    <n v="11.108908639999999"/>
    <n v="-8.5515715282137279"/>
    <n v="2.5573371117862731"/>
    <n v="0.51922269135135002"/>
    <n v="0.38371998170270699"/>
    <n v="1.099576821621608"/>
    <n v="-7.7999999999999999E-4"/>
    <n v="-16.716614223695299"/>
  </r>
  <r>
    <x v="20"/>
    <x v="27"/>
    <n v="6.2517999999999754"/>
    <n v="6.2417999999999756"/>
    <n v="0.01"/>
    <n v="1.7765501391599821"/>
    <n v="-1.415715431246152"/>
    <n v="0.36083470791382999"/>
    <n v="8.3825223319631464E-2"/>
    <n v="6.5331229330233206E-2"/>
    <n v="0.1882067150800262"/>
    <n v="-7.8E-2"/>
    <n v="11.106636160000329"/>
    <n v="-8.8507697330646558"/>
    <n v="2.2558664269356741"/>
    <n v="0.52405853114966994"/>
    <n v="0.40843777952675031"/>
    <n v="1.174748674186503"/>
    <n v="-7.7999999999999999E-4"/>
    <n v="-15.995215176596311"/>
  </r>
  <r>
    <x v="20"/>
    <x v="28"/>
    <n v="6.2683999999999944"/>
    <n v="6.2583999999999937"/>
    <n v="0.01"/>
    <n v="1.7714829430157111"/>
    <n v="-1.7332188361280201"/>
    <n v="3.8264106887691197E-2"/>
    <n v="8.4381222197332753E-2"/>
    <n v="6.9110474497751123E-2"/>
    <n v="0.1997356688008885"/>
    <n v="-7.8E-2"/>
    <n v="11.10436367999967"/>
    <n v="-10.86450895238487"/>
    <n v="0.23985472761480331"/>
    <n v="0.52893525322176005"/>
    <n v="0.43321209834170271"/>
    <n v="1.250025709623479"/>
    <n v="-7.7999999999999999E-4"/>
    <n v="-8.9879085589405499"/>
  </r>
  <r>
    <x v="20"/>
    <x v="29"/>
    <n v="6.2849999999999602"/>
    <n v="6.2749999999999604"/>
    <n v="0.01"/>
    <n v="1.7664425139220481"/>
    <n v="-1.447708241070879"/>
    <n v="0.3187342728511684"/>
    <n v="8.4940118608520826E-2"/>
    <n v="7.2877822557315647E-2"/>
    <n v="0.21121865990582681"/>
    <n v="-7.8E-2"/>
    <n v="11.1020912"/>
    <n v="-9.0988462951304196"/>
    <n v="2.0032449048695811"/>
    <n v="0.53384864545455002"/>
    <n v="0.45803711477272602"/>
    <n v="1.3253970909090551"/>
    <n v="-7.7999999999999999E-4"/>
    <n v="-15.83907510535645"/>
  </r>
  <r>
    <x v="20"/>
    <x v="30"/>
    <n v="6.2985714285714502"/>
    <n v="6.2885714285714496"/>
    <n v="0.01"/>
    <n v="1.764070070310729"/>
    <n v="-1.235842881294674"/>
    <n v="0.52822718901605425"/>
    <n v="8.5345219141308604E-2"/>
    <n v="7.4253925580534175E-2"/>
    <n v="0.21611445099581239"/>
    <n v="-7.8E-2"/>
    <n v="11.11112134285719"/>
    <n v="-7.7840446623260551"/>
    <n v="3.32707668053113"/>
    <n v="0.53755295884861565"/>
    <n v="0.46769365412082331"/>
    <n v="1.3590511618336709"/>
    <n v="-7.7999999999999999E-4"/>
    <n v="-20.865513002894112"/>
  </r>
  <r>
    <x v="20"/>
    <x v="31"/>
    <n v="6.31214285714284"/>
    <n v="6.3021428571428402"/>
    <n v="0.01"/>
    <n v="1.7617078284485881"/>
    <n v="-1.112372707708867"/>
    <n v="0.64933512073972133"/>
    <n v="8.5749152455278949E-2"/>
    <n v="7.5624905836556275E-2"/>
    <n v="0.22099063736920571"/>
    <n v="-7.8E-2"/>
    <n v="11.120151485714381"/>
    <n v="-7.0214554414451653"/>
    <n v="4.0986960442692153"/>
    <n v="0.54126090017664141"/>
    <n v="0.47735520919831859"/>
    <n v="1.3927145667917831"/>
    <n v="-7.7999999999999999E-4"/>
    <n v="-23.867237974934021"/>
  </r>
  <r>
    <x v="20"/>
    <x v="32"/>
    <n v="6.3257142857142581"/>
    <n v="6.3157142857142583"/>
    <n v="0.01"/>
    <n v="1.7593557226739229"/>
    <n v="-1.1753011430978091"/>
    <n v="0.58405457957611395"/>
    <n v="8.6151989481273616E-2"/>
    <n v="7.6990883974792979E-2"/>
    <n v="0.22584750883022939"/>
    <n v="-7.8E-2"/>
    <n v="11.129181628571571"/>
    <n v="-7.4346192309101067"/>
    <n v="3.6945623976614592"/>
    <n v="0.54497287060439703"/>
    <n v="0.48702233462911693"/>
    <n v="1.426388337912057"/>
    <n v="-7.7999999999999999E-4"/>
    <n v="-22.557941782961159"/>
  </r>
  <r>
    <x v="20"/>
    <x v="33"/>
    <n v="6.3392857142856878"/>
    <n v="6.329285714285688"/>
    <n v="0.01"/>
    <n v="1.757013687887256"/>
    <n v="-1.1870463017323969"/>
    <n v="0.56996738615485953"/>
    <n v="8.6550473580880402E-2"/>
    <n v="7.8374669857448703E-2"/>
    <n v="0.2309844192973694"/>
    <n v="-7.8E-2"/>
    <n v="11.1382117714281"/>
    <n v="-7.5250256627678418"/>
    <n v="3.6131861086602548"/>
    <n v="0.54866818073593593"/>
    <n v="0.49683942498918171"/>
    <n v="1.461966385281416"/>
    <n v="-7.7999999999999999E-4"/>
    <n v="-22.43956036544693"/>
  </r>
  <r>
    <x v="21"/>
    <x v="0"/>
    <n v="2053.7548600300402"/>
    <n v="1793.0393033862761"/>
    <n v="260.71555664376382"/>
    <n v="0.99501449766234218"/>
    <s v="NaN"/>
    <n v="0.99501449766234218"/>
    <n v="4.0712891946204692E-2"/>
    <n v="4.2582147856960106E-3"/>
    <n v="2.566735275626101E-2"/>
    <s v="NaN"/>
    <n v="2043.5158603743839"/>
    <s v="NaN"/>
    <n v="2043.5158603743839"/>
    <n v="83.614299700395748"/>
    <n v="8.7453293111749595"/>
    <n v="46.022572305856059"/>
    <s v="NaN"/>
    <n v="-8000.2928928707024"/>
  </r>
  <r>
    <x v="21"/>
    <x v="1"/>
    <n v="2060.9428023750802"/>
    <n v="1797.432040280705"/>
    <n v="263.51076209437502"/>
    <n v="0.99407086711235493"/>
    <s v="NaN"/>
    <n v="0.99407086711235493"/>
    <n v="5.268882372214264E-2"/>
    <n v="5.8748302017669913E-3"/>
    <n v="2.5410574885459551E-2"/>
    <s v="NaN"/>
    <n v="2048.7231986259621"/>
    <s v="NaN"/>
    <n v="2048.7231986259621"/>
    <n v="108.58865201575919"/>
    <n v="12.10768901950742"/>
    <n v="45.673781461077212"/>
    <s v="NaN"/>
    <n v="-8122.0088441158596"/>
  </r>
  <r>
    <x v="21"/>
    <x v="2"/>
    <n v="2066.5334241989999"/>
    <n v="1800.626867955704"/>
    <n v="265.90655624329628"/>
    <n v="0.93844410172901049"/>
    <s v="NaN"/>
    <n v="0.93844410172901049"/>
    <n v="6.5760573743585432E-2"/>
    <n v="6.284057720301623E-3"/>
    <n v="2.6915450777225711E-2"/>
    <s v="NaN"/>
    <n v="1939.326102965407"/>
    <s v="NaN"/>
    <n v="1939.326102965407"/>
    <n v="135.89642363562251"/>
    <n v="12.98621531859907"/>
    <n v="48.464683832611833"/>
    <s v="NaN"/>
    <n v="-7834.4692277589247"/>
  </r>
  <r>
    <x v="21"/>
    <x v="3"/>
    <n v="2071.7247158926398"/>
    <n v="1805.818287856039"/>
    <n v="265.90642803660131"/>
    <n v="0.93918752432449248"/>
    <s v="NaN"/>
    <n v="0.93918752432449248"/>
    <n v="0.1374369293957089"/>
    <n v="6.0986890438570916E-3"/>
    <n v="2.6539611699422479E-2"/>
    <s v="NaN"/>
    <n v="1945.7380070010711"/>
    <s v="NaN"/>
    <n v="1945.7380070010711"/>
    <n v="284.73148350548178"/>
    <n v="12.634804826702389"/>
    <n v="47.925716159415188"/>
    <s v="NaN"/>
    <n v="-8400.4433754738893"/>
  </r>
  <r>
    <x v="21"/>
    <x v="4"/>
    <n v="2074.5200268046001"/>
    <n v="1807.815013981894"/>
    <n v="266.70501282270618"/>
    <n v="0.85855576510143572"/>
    <s v="NaN"/>
    <n v="0.85855576510143572"/>
    <n v="0.15828382576304781"/>
    <n v="6.3484117065604317E-3"/>
    <n v="2.720758998248074E-2"/>
    <s v="NaN"/>
    <n v="1781.091128831474"/>
    <s v="NaN"/>
    <n v="1781.091128831474"/>
    <n v="328.36296646469248"/>
    <n v="13.169907223660379"/>
    <n v="49.186289664592053"/>
    <s v="NaN"/>
    <n v="-7963.3044046769282"/>
  </r>
  <r>
    <x v="21"/>
    <x v="5"/>
    <n v="2076.9160075862801"/>
    <n v="1809.4125003000449"/>
    <n v="267.50350728623482"/>
    <n v="0.49673975559686068"/>
    <s v="NaN"/>
    <n v="0.49673975559686068"/>
    <n v="0.24223423989722631"/>
    <n v="6.460295877125633E-3"/>
    <n v="2.6790553639707119E-2"/>
    <s v="NaN"/>
    <n v="1031.686750003616"/>
    <s v="NaN"/>
    <n v="1031.686750003616"/>
    <n v="503.10017042804452"/>
    <n v="13.41749192094588"/>
    <n v="48.475162645644929"/>
    <s v="NaN"/>
    <n v="-5854.4917749941224"/>
  </r>
  <r>
    <x v="21"/>
    <x v="6"/>
    <n v="2080.90930888908"/>
    <n v="1812.6072872436359"/>
    <n v="268.30202164544392"/>
    <n v="9.1113718250564885E-2"/>
    <n v="-0.20446660353900559"/>
    <n v="-0.1133528852884408"/>
    <n v="0.11156490193910699"/>
    <n v="6.2099403020341821E-3"/>
    <n v="2.6536474881807381E-2"/>
    <s v="NaN"/>
    <n v="189.59938447509731"/>
    <n v="-425.47645866124981"/>
    <n v="-235.87707418615241"/>
    <n v="232.1564429903851"/>
    <n v="12.922322582148389"/>
    <n v="48.100207748521761"/>
    <s v="NaN"/>
    <n v="-210.10696349466281"/>
  </r>
  <r>
    <x v="21"/>
    <x v="7"/>
    <n v="2084.5032800616"/>
    <n v="1815.003342384593"/>
    <n v="269.49993767700761"/>
    <n v="0.1545628231003377"/>
    <s v="NaN"/>
    <n v="0.1545628231003377"/>
    <n v="3.9661759446541003E-2"/>
    <n v="6.2950189576483854E-3"/>
    <n v="2.6264635314997769E-2"/>
    <s v="NaN"/>
    <n v="322.18671172823491"/>
    <s v="NaN"/>
    <n v="322.18671172823491"/>
    <n v="82.67506765932886"/>
    <n v="13.12198766526801"/>
    <n v="47.670400883233363"/>
    <s v="NaN"/>
    <n v="-1707.3986157657271"/>
  </r>
  <r>
    <x v="21"/>
    <x v="8"/>
    <n v="2087.6979211038401"/>
    <n v="1818.198340582396"/>
    <n v="269.49958052144348"/>
    <n v="1.15208878473066"/>
    <s v="NaN"/>
    <n v="1.15208878473066"/>
    <n v="1.330385166359991E-2"/>
    <n v="6.0902829057985861E-3"/>
    <n v="2.7044623325006921E-2"/>
    <s v="NaN"/>
    <n v="2405.2133608092481"/>
    <s v="NaN"/>
    <n v="2405.2133608092481"/>
    <n v="27.774423460771391"/>
    <n v="12.71467096136996"/>
    <n v="49.172489251203572"/>
    <s v="NaN"/>
    <n v="-9147.874796437005"/>
  </r>
  <r>
    <x v="21"/>
    <x v="9"/>
    <n v="2090.4932320158"/>
    <n v="1819.795965440497"/>
    <n v="270.69726657530339"/>
    <n v="1.109922106521178"/>
    <s v="NaN"/>
    <n v="1.109922106521178"/>
    <n v="2.669077729476365E-2"/>
    <n v="6.2655203603910166E-3"/>
    <n v="2.6647100721257248E-2"/>
    <s v="NaN"/>
    <n v="2320.2846517472422"/>
    <s v="NaN"/>
    <n v="2320.2846517472422"/>
    <n v="55.796889291944403"/>
    <n v="13.09802790845462"/>
    <n v="48.492286383230493"/>
    <s v="NaN"/>
    <n v="-8938.1301362140057"/>
  </r>
  <r>
    <x v="21"/>
    <x v="10"/>
    <n v="2095.6845237094399"/>
    <n v="1823.3901925274679"/>
    <n v="272.29433118197221"/>
    <n v="1.26852375801131"/>
    <s v="NaN"/>
    <n v="1.26852375801131"/>
    <n v="5.0936029565663052E-2"/>
    <n v="5.8841461956144142E-3"/>
    <n v="2.4189312665110201E-2"/>
    <s v="NaN"/>
    <n v="2658.4256076220399"/>
    <s v="NaN"/>
    <n v="2658.4256076220399"/>
    <n v="106.7458488599665"/>
    <n v="12.33131411739291"/>
    <n v="44.1065554775424"/>
    <s v="NaN"/>
    <n v="-10345.900862283061"/>
  </r>
  <r>
    <x v="21"/>
    <x v="11"/>
    <n v="2098.0805044911199"/>
    <n v="1825.7863947835549"/>
    <n v="272.29410970756499"/>
    <n v="0.89020170794073061"/>
    <s v="NaN"/>
    <n v="0.89020170794073061"/>
    <n v="9.844345406347485E-2"/>
    <n v="5.8660067197063449E-3"/>
    <n v="2.278552946175277E-2"/>
    <s v="NaN"/>
    <n v="1867.7148484951449"/>
    <s v="NaN"/>
    <n v="1867.7148484951449"/>
    <n v="206.54229176534369"/>
    <n v="12.307354337829789"/>
    <n v="41.601509689208079"/>
    <s v="NaN"/>
    <n v="-7803.275349054973"/>
  </r>
  <r>
    <x v="21"/>
    <x v="12"/>
    <n v="2102.4731359242001"/>
    <n v="1829.780036475199"/>
    <n v="272.69309944900112"/>
    <n v="0.71173989691636541"/>
    <s v="NaN"/>
    <n v="0.71173989691636541"/>
    <n v="0.17537494608891649"/>
    <n v="5.4055079573382776E-3"/>
    <n v="2.1749495747947298E-2"/>
    <s v="NaN"/>
    <n v="1496.414013032118"/>
    <s v="NaN"/>
    <n v="1496.414013032118"/>
    <n v="368.72111286610169"/>
    <n v="11.36493526632823"/>
    <n v="39.796793122996192"/>
    <s v="NaN"/>
    <n v="-7026.4217990549669"/>
  </r>
  <r>
    <x v="21"/>
    <x v="13"/>
    <n v="2107.2650974875601"/>
    <n v="1833.3742569940889"/>
    <n v="273.89084049347059"/>
    <n v="0.54001306988052133"/>
    <s v="NaN"/>
    <n v="0.54001306988052133"/>
    <n v="0.1999164735970117"/>
    <n v="5.4652263593517247E-3"/>
    <n v="2.2179961362433429E-2"/>
    <s v="NaN"/>
    <n v="1137.950694346333"/>
    <s v="NaN"/>
    <n v="1137.950694346333"/>
    <n v="421.27700722377602"/>
    <n v="11.51668075693089"/>
    <n v="40.664170183008977"/>
    <s v="NaN"/>
    <n v="-5908.4980258707174"/>
  </r>
  <r>
    <x v="21"/>
    <x v="14"/>
    <n v="2114.4530398326001"/>
    <n v="1838.964898956192"/>
    <n v="275.48814087640727"/>
    <n v="0.49483342923261031"/>
    <s v="NaN"/>
    <n v="0.49483342923261031"/>
    <n v="0.22743867222194961"/>
    <n v="5.0878186130665949E-3"/>
    <n v="2.2636800175862028E-2"/>
    <s v="NaN"/>
    <n v="1046.3020486516821"/>
    <s v="NaN"/>
    <n v="1046.3020486516821"/>
    <n v="480.90839185519161"/>
    <n v="10.75795353251554"/>
    <n v="41.628280948095643"/>
    <s v="NaN"/>
    <n v="-5791.854474954639"/>
  </r>
  <r>
    <x v="21"/>
    <x v="15"/>
    <n v="2122.04031230792"/>
    <n v="1844.5557386369021"/>
    <n v="277.48457367101861"/>
    <n v="0.42748932234125658"/>
    <s v="NaN"/>
    <n v="0.42748932234125658"/>
    <n v="0.23747896414901931"/>
    <n v="5.4798644386413837E-3"/>
    <n v="2.522791274910428E-2"/>
    <s v="NaN"/>
    <n v="907.14957508934151"/>
    <s v="NaN"/>
    <n v="907.14957508934151"/>
    <n v="503.93993524934632"/>
    <n v="11.62849324477963"/>
    <n v="46.534291235191361"/>
    <s v="NaN"/>
    <n v="-5387.2584143355734"/>
  </r>
  <r>
    <x v="21"/>
    <x v="16"/>
    <n v="2129.6275847832399"/>
    <n v="1850.1466167297031"/>
    <n v="279.48096805353742"/>
    <n v="0.38890354831500451"/>
    <s v="NaN"/>
    <n v="0.38890354831500451"/>
    <n v="0.297684291854796"/>
    <n v="5.4790923914159514E-3"/>
    <n v="2.615105484307706E-2"/>
    <s v="NaN"/>
    <n v="828.21972431171514"/>
    <s v="NaN"/>
    <n v="828.21972431171514"/>
    <n v="633.95667949063841"/>
    <n v="11.66842629633538"/>
    <n v="48.383285641831939"/>
    <s v="NaN"/>
    <n v="-5581.5030910490832"/>
  </r>
  <r>
    <x v="21"/>
    <x v="17"/>
    <n v="2137.2148572585602"/>
    <n v="1855.7372576318089"/>
    <n v="281.47759962675082"/>
    <n v="0.54794344164758946"/>
    <s v="NaN"/>
    <n v="0.54794344164758946"/>
    <n v="0.28627802550763082"/>
    <n v="6.076233149004141E-3"/>
    <n v="2.8119059375388309E-2"/>
    <s v="NaN"/>
    <n v="1171.0728644266169"/>
    <s v="NaN"/>
    <n v="1171.0728644266169"/>
    <n v="611.83764942155335"/>
    <n v="12.98621576221861"/>
    <n v="52.181586132469121"/>
    <s v="NaN"/>
    <n v="-6776.2871577244287"/>
  </r>
  <r>
    <x v="21"/>
    <x v="18"/>
    <n v="2144.0034694733199"/>
    <n v="1862.1265783877229"/>
    <n v="281.87689108559692"/>
    <n v="0.77935391854179181"/>
    <s v="NaN"/>
    <n v="0.77935391854179181"/>
    <n v="0.24780072002177381"/>
    <n v="5.7813372863950302E-3"/>
    <n v="2.8832128826246091E-2"/>
    <s v="NaN"/>
    <n v="1670.9375053012291"/>
    <s v="NaN"/>
    <n v="1670.9375053012291"/>
    <n v="531.28560346466975"/>
    <n v="12.395207200226411"/>
    <n v="53.689073398851662"/>
    <s v="NaN"/>
    <n v="-8317.1270943390027"/>
  </r>
  <r>
    <x v="21"/>
    <x v="19"/>
    <n v="2147.1981105155601"/>
    <n v="1865.3213650748471"/>
    <n v="281.87674544071331"/>
    <n v="0.96237024421439099"/>
    <s v="NaN"/>
    <n v="0.96237024421439099"/>
    <n v="0.20792738244236239"/>
    <n v="5.7838943648874843E-3"/>
    <n v="2.868824330879122E-2"/>
    <s v="NaN"/>
    <n v="2066.399569993539"/>
    <s v="NaN"/>
    <n v="2066.399569993539"/>
    <n v="446.46128270468682"/>
    <n v="12.419167051708"/>
    <n v="53.512793170353767"/>
    <s v="NaN"/>
    <n v="-9455.5736473752459"/>
  </r>
  <r>
    <x v="21"/>
    <x v="20"/>
    <n v="2153.5873926000399"/>
    <n v="1871.3116842703009"/>
    <n v="282.27570832973907"/>
    <n v="1.1491523509544921"/>
    <s v="NaN"/>
    <n v="1.1491523509544921"/>
    <n v="0.15091240489915969"/>
    <n v="5.0250324494715386E-3"/>
    <n v="2.8343816012898149E-2"/>
    <s v="NaN"/>
    <n v="2474.8000151922902"/>
    <s v="NaN"/>
    <n v="2474.8000151922902"/>
    <n v="325.00305257778268"/>
    <n v="10.821846530587999"/>
    <n v="53.040114081743951"/>
    <s v="NaN"/>
    <n v="-10500.105104069769"/>
  </r>
  <r>
    <x v="21"/>
    <x v="21"/>
    <n v="2161.5739952056401"/>
    <n v="1879.2986521888431"/>
    <n v="282.27534301679702"/>
    <n v="1.258668697851"/>
    <s v="NaN"/>
    <n v="1.258668697851"/>
    <n v="9.1721861607703625E-2"/>
    <n v="5.0803620912617782E-3"/>
    <n v="3.056413344946975E-2"/>
    <s v="NaN"/>
    <n v="2720.7055258540681"/>
    <s v="NaN"/>
    <n v="2720.7055258540681"/>
    <n v="198.2635908430627"/>
    <n v="10.981578582699999"/>
    <n v="57.439134796908426"/>
    <s v="NaN"/>
    <n v="-10953.76271028237"/>
  </r>
  <r>
    <x v="21"/>
    <x v="22"/>
    <n v="2173.1545689837599"/>
    <n v="1887.285580095044"/>
    <n v="285.86898888871599"/>
    <n v="1.214847226015654"/>
    <s v="NaN"/>
    <n v="1.214847226015654"/>
    <n v="7.2890807809255581E-2"/>
    <n v="4.8585079015068004E-3"/>
    <n v="3.2844268665981578E-2"/>
    <s v="NaN"/>
    <n v="2640.050799833165"/>
    <s v="NaN"/>
    <n v="2640.050799833165"/>
    <n v="158.4029920276009"/>
    <n v="10.5582886446032"/>
    <n v="61.986514642074518"/>
    <s v="NaN"/>
    <n v="-10526.99484887492"/>
  </r>
  <r>
    <x v="21"/>
    <x v="23"/>
    <n v="2179.1445209379599"/>
    <n v="1892.876072986887"/>
    <n v="286.26844795107343"/>
    <n v="1.193610072652566"/>
    <s v="NaN"/>
    <n v="1.193610072652566"/>
    <n v="5.4046348107324158E-2"/>
    <n v="5.6221367051493476E-3"/>
    <n v="3.4010420810139663E-2"/>
    <s v="NaN"/>
    <n v="2601.0488499571989"/>
    <s v="NaN"/>
    <n v="2601.0488499571989"/>
    <n v="117.7748033547811"/>
    <n v="12.2514483969904"/>
    <n v="64.37751178372865"/>
    <s v="NaN"/>
    <n v="-10249.992916140831"/>
  </r>
  <r>
    <x v="21"/>
    <x v="24"/>
    <n v="2187.1311235435601"/>
    <n v="1898.4667697031909"/>
    <n v="288.6643538403689"/>
    <n v="1.0954752481532311"/>
    <s v="NaN"/>
    <n v="1.0954752481532311"/>
    <n v="4.1615926390883441E-2"/>
    <n v="6.0544093481833148E-3"/>
    <n v="3.4898913347439733E-2"/>
    <s v="NaN"/>
    <n v="2395.9480103075371"/>
    <s v="NaN"/>
    <n v="2395.9480103075371"/>
    <n v="91.01948784459897"/>
    <n v="13.241787120084799"/>
    <n v="66.254427288865486"/>
    <s v="NaN"/>
    <n v="-9410.3669460581696"/>
  </r>
  <r>
    <x v="21"/>
    <x v="25"/>
    <n v="2196.3157165399998"/>
    <n v="1906.8527968910721"/>
    <n v="289.46291964892742"/>
    <n v="0.98659743764608965"/>
    <s v="NaN"/>
    <n v="0.98659743764608965"/>
    <n v="3.7803573176952078E-2"/>
    <n v="5.7236363636363639E-3"/>
    <n v="3.5264724333180668E-2"/>
    <s v="NaN"/>
    <n v="2166.8794582001992"/>
    <s v="NaN"/>
    <n v="2166.8794582001992"/>
    <n v="83.028581909909832"/>
    <n v="12.5709125012144"/>
    <n v="67.244638226318216"/>
    <s v="NaN"/>
    <n v="-8542.3198330721298"/>
  </r>
  <r>
    <x v="21"/>
    <x v="26"/>
    <n v="2201.5070082336401"/>
    <n v="1910.8461627282741"/>
    <n v="290.66084550536618"/>
    <n v="0.87616775650687029"/>
    <s v="NaN"/>
    <n v="0.87616775650687029"/>
    <n v="4.04096369065075E-2"/>
    <n v="6.4864864864864862E-3"/>
    <n v="3.4882270074252833E-2"/>
    <s v="NaN"/>
    <n v="1928.88945633822"/>
    <s v="NaN"/>
    <n v="1928.88945633822"/>
    <n v="88.962098849853021"/>
    <n v="14.280045458812801"/>
    <n v="66.654651918637327"/>
    <s v="NaN"/>
    <n v="-7695.5495927409529"/>
  </r>
  <r>
    <x v="21"/>
    <x v="27"/>
    <n v="2209.4936108392399"/>
    <n v="1917.2355956331071"/>
    <n v="292.25801520613248"/>
    <n v="0.85077769384211266"/>
    <s v="NaN"/>
    <n v="0.85077769384211266"/>
    <n v="4.4025347511073717E-2"/>
    <n v="6.4196638351707944E-3"/>
    <n v="3.3617890572080963E-2"/>
    <s v="NaN"/>
    <n v="1879.7878787886909"/>
    <s v="NaN"/>
    <n v="1879.7878787886909"/>
    <n v="97.273724040694603"/>
    <n v="14.1842062275456"/>
    <n v="64.453416454892263"/>
    <s v="NaN"/>
    <n v="-7537.563826877371"/>
  </r>
  <r>
    <x v="21"/>
    <x v="28"/>
    <n v="2210.2922710998"/>
    <n v="1917.6349257633869"/>
    <n v="292.65734533641262"/>
    <n v="0.80673292101311334"/>
    <s v="NaN"/>
    <n v="0.80673292101311334"/>
    <n v="8.246078824202828E-2"/>
    <n v="6.926829268292683E-3"/>
    <n v="3.2506180008244942E-2"/>
    <s v="NaN"/>
    <n v="1783.11554015705"/>
    <s v="NaN"/>
    <n v="1783.11554015705"/>
    <n v="182.26244292015241"/>
    <n v="15.3103171949352"/>
    <n v="62.334986086962083"/>
    <s v="NaN"/>
    <n v="-7491.0853833173796"/>
  </r>
  <r>
    <x v="21"/>
    <x v="29"/>
    <n v="2213.88624227232"/>
    <n v="1920.430377113762"/>
    <n v="293.4558651585582"/>
    <n v="0.78329573852356571"/>
    <s v="NaN"/>
    <n v="0.78329573852356571"/>
    <n v="7.8205336204180478E-2"/>
    <n v="6.9624819624819617E-3"/>
    <n v="3.2710384381108737E-2"/>
    <s v="NaN"/>
    <n v="1734.127659147859"/>
    <s v="NaN"/>
    <n v="1734.127659147859"/>
    <n v="173.1377178947165"/>
    <n v="15.414143028808001"/>
    <n v="62.818015812548772"/>
    <s v="NaN"/>
    <n v="-7280.157631575079"/>
  </r>
  <r>
    <x v="21"/>
    <x v="30"/>
    <n v="2221.0741846173601"/>
    <n v="1926.4204590974821"/>
    <n v="294.65372551987832"/>
    <n v="0.77438213637661524"/>
    <s v="NaN"/>
    <n v="0.77438213637661524"/>
    <n v="9.9945348974236708E-2"/>
    <n v="6.691837468536496E-3"/>
    <n v="3.3172837421513848E-2"/>
    <s v="NaN"/>
    <n v="1719.96017213494"/>
    <s v="NaN"/>
    <n v="1719.96017213494"/>
    <n v="221.98603447925029"/>
    <n v="14.863067449021599"/>
    <n v="63.90483269511882"/>
    <s v="NaN"/>
    <n v="-7409.2850581145531"/>
  </r>
  <r>
    <x v="21"/>
    <x v="31"/>
    <n v="2230.2587776137998"/>
    <n v="1935.2056624899431"/>
    <n v="295.05311512385708"/>
    <n v="0.71247706124120169"/>
    <s v="NaN"/>
    <n v="0.71247706124120169"/>
    <n v="0.1607836811895382"/>
    <n v="6.5496866606982998E-3"/>
    <n v="3.4175757828601411E-2"/>
    <s v="NaN"/>
    <n v="1589.008219681675"/>
    <s v="NaN"/>
    <n v="1589.008219681675"/>
    <n v="358.58921627002638"/>
    <n v="14.6074961656424"/>
    <n v="66.137120069794435"/>
    <s v="NaN"/>
    <n v="-7437.2541913535169"/>
  </r>
  <r>
    <x v="21"/>
    <x v="32"/>
    <n v="2240.64136100108"/>
    <n v="1942.7929122510641"/>
    <n v="297.84844875001568"/>
    <n v="0.689659117042555"/>
    <s v="NaN"/>
    <n v="0.689659117042555"/>
    <n v="0.16869695418406"/>
    <n v="7.1395473177686712E-3"/>
    <n v="3.4180810632178767E-2"/>
    <s v="NaN"/>
    <n v="1545.278742637033"/>
    <s v="NaN"/>
    <n v="1545.278742637033"/>
    <n v="377.98937301970892"/>
    <n v="15.9971650190168"/>
    <n v="66.406236631192726"/>
    <s v="NaN"/>
    <n v="-7354.1288967928249"/>
  </r>
  <r>
    <x v="21"/>
    <x v="33"/>
    <n v="2247.82930334612"/>
    <n v="1949.52969602696"/>
    <n v="298.29960731915992"/>
    <n v="0.66187136364258314"/>
    <s v="NaN"/>
    <n v="0.66187136364258314"/>
    <n v="0.16881359681354641"/>
    <n v="7.4649138390477862E-3"/>
    <n v="3.3172912740680058E-2"/>
    <s v="NaN"/>
    <n v="1487.7738462414541"/>
    <s v="NaN"/>
    <n v="1487.7738462414541"/>
    <n v="379.46414972074689"/>
    <n v="16.7798520743656"/>
    <n v="64.671578491666878"/>
    <s v="NaN"/>
    <n v="-7145.1945639375062"/>
  </r>
  <r>
    <x v="22"/>
    <x v="0"/>
    <n v="93.034849999999977"/>
    <n v="93.034849999999977"/>
    <s v="NaN"/>
    <n v="3.1378836756710489"/>
    <n v="-3.1468084249308599"/>
    <n v="-8.9247492598114719E-3"/>
    <n v="9.3289643281595003E-2"/>
    <n v="1.7015559223237321E-2"/>
    <n v="5.4843507567325589E-2"/>
    <s v="NaN"/>
    <n v="291.9325370835046"/>
    <n v="-292.76284979217883"/>
    <n v="-0.83031270867417106"/>
    <n v="8.6791879692566969"/>
    <n v="1.58304"/>
    <n v="5.1023575000000001"/>
    <s v="NaN"/>
    <n v="-53.292333455474107"/>
  </r>
  <r>
    <x v="22"/>
    <x v="1"/>
    <n v="93.050949999999986"/>
    <n v="93.050949999999986"/>
    <s v="NaN"/>
    <n v="3.137883697050206"/>
    <n v="-2.948202027396905"/>
    <n v="0.18968166965330099"/>
    <n v="9.3354618426984087E-2"/>
    <n v="1.7012615131817569E-2"/>
    <n v="5.4737915088454242E-2"/>
    <s v="NaN"/>
    <n v="291.98305900003379"/>
    <n v="-274.33299944120802"/>
    <n v="17.650059558825831"/>
    <n v="8.6867359315183741"/>
    <n v="1.58304"/>
    <n v="5.0934150000000002"/>
    <s v="NaN"/>
    <n v="-121.0485851312731"/>
  </r>
  <r>
    <x v="22"/>
    <x v="2"/>
    <n v="93.067049999999966"/>
    <n v="93.067049999999966"/>
    <s v="NaN"/>
    <n v="3.1378837184219681"/>
    <n v="-1.7589269217206831"/>
    <n v="1.3789567967012839"/>
    <n v="9.3419556806632192E-2"/>
    <n v="1.7009672059015522E-2"/>
    <n v="5.478935616848285E-2"/>
    <s v="NaN"/>
    <n v="292.0335809165631"/>
    <n v="-163.6981397701249"/>
    <n v="128.3354411464382"/>
    <n v="8.6942825643006749"/>
    <n v="1.58304"/>
    <n v="5.0990837500000001"/>
    <s v="NaN"/>
    <n v="-526.94344068942394"/>
  </r>
  <r>
    <x v="22"/>
    <x v="3"/>
    <n v="93.083149999999975"/>
    <n v="93.083149999999975"/>
    <s v="NaN"/>
    <n v="3.1378837397863362"/>
    <n v="-1.3957641856171921"/>
    <n v="1.7421195541691441"/>
    <n v="9.34844584446472E-2"/>
    <n v="1.7006730004302612E-2"/>
    <n v="5.5071124580549767E-2"/>
    <s v="NaN"/>
    <n v="292.0841028330924"/>
    <n v="-129.92212705443279"/>
    <n v="162.16197577865961"/>
    <n v="8.7018278680718595"/>
    <n v="1.58304"/>
    <n v="5.1261937500000014"/>
    <s v="NaN"/>
    <n v="-651.10113712140776"/>
  </r>
  <r>
    <x v="22"/>
    <x v="4"/>
    <n v="93.099249999999969"/>
    <n v="93.099249999999969"/>
    <s v="NaN"/>
    <n v="3.1378837611433141"/>
    <n v="-1.834221456345366"/>
    <n v="1.303662304797947"/>
    <n v="9.3549323365117801E-2"/>
    <n v="1.700378896715065E-2"/>
    <n v="5.5440296242988019E-2"/>
    <s v="NaN"/>
    <n v="292.13462474962148"/>
    <n v="-170.7646419196613"/>
    <n v="121.36998282996019"/>
    <n v="8.709371843299941"/>
    <n v="1.58304"/>
    <n v="5.1614500000000003"/>
    <s v="NaN"/>
    <n v="-501.68743046866632"/>
  </r>
  <r>
    <x v="22"/>
    <x v="5"/>
    <n v="93.11534999999995"/>
    <n v="93.11534999999995"/>
    <s v="NaN"/>
    <n v="3.1378837824929078"/>
    <n v="-1.632374771947924"/>
    <n v="1.505509010544984"/>
    <n v="9.3614151592113337E-2"/>
    <n v="1.700084894703183E-2"/>
    <n v="5.5685998602808262E-2"/>
    <s v="NaN"/>
    <n v="292.18514666615079"/>
    <n v="-151.99914822110111"/>
    <n v="140.18599844504979"/>
    <n v="8.7169144904526856"/>
    <n v="1.58304"/>
    <n v="5.1852212499999997"/>
    <s v="NaN"/>
    <n v="-570.79430534689448"/>
  </r>
  <r>
    <x v="22"/>
    <x v="6"/>
    <n v="93.131449999999958"/>
    <n v="93.131449999999958"/>
    <s v="NaN"/>
    <n v="3.1378838038351189"/>
    <n v="-1.5368736151068429"/>
    <n v="1.6010101887282771"/>
    <n v="9.3678943149683738E-2"/>
    <n v="1.6997909943418689E-2"/>
    <n v="5.5830790780128543E-2"/>
    <s v="NaN"/>
    <n v="292.23566858268009"/>
    <n v="-143.13126824164209"/>
    <n v="149.104400341038"/>
    <n v="8.7244558099976093"/>
    <n v="1.58304"/>
    <n v="5.1996024999999992"/>
    <s v="NaN"/>
    <n v="-603.57549505385214"/>
  </r>
  <r>
    <x v="22"/>
    <x v="7"/>
    <n v="93.147549999999939"/>
    <n v="93.147549999999939"/>
    <s v="NaN"/>
    <n v="3.137883825169955"/>
    <n v="-1.2967581404558219"/>
    <n v="1.841125684714132"/>
    <n v="9.3743698061859837E-2"/>
    <n v="1.699497195578414E-2"/>
    <n v="5.5810606398128612E-2"/>
    <s v="NaN"/>
    <n v="292.2861904992094"/>
    <n v="-120.7898437260156"/>
    <n v="171.49634677319369"/>
    <n v="8.7319958024019861"/>
    <n v="1.58304"/>
    <n v="5.1986212500000004"/>
    <s v="NaN"/>
    <n v="-685.7033473605801"/>
  </r>
  <r>
    <x v="22"/>
    <x v="8"/>
    <n v="93.163649999999947"/>
    <n v="93.163649999999947"/>
    <s v="NaN"/>
    <n v="3.1378838464974139"/>
    <n v="-1.624539842253679"/>
    <n v="1.5133440042437349"/>
    <n v="9.3808416352653023E-2"/>
    <n v="1.6992034983601439E-2"/>
    <n v="5.4566330323039119E-2"/>
    <s v="NaN"/>
    <n v="292.33671241573859"/>
    <n v="-151.34806127477691"/>
    <n v="140.98865114096179"/>
    <n v="8.7395344681328382"/>
    <n v="1.58304"/>
    <n v="5.0835985000000008"/>
    <s v="NaN"/>
    <n v="-573.44768840006577"/>
  </r>
  <r>
    <x v="22"/>
    <x v="9"/>
    <n v="93.179749999999942"/>
    <n v="93.179749999999942"/>
    <s v="NaN"/>
    <n v="3.1378838678175041"/>
    <n v="-1.4011499444802089"/>
    <n v="1.736733923337294"/>
    <n v="9.3873098046055634E-2"/>
    <n v="1.698909902634425E-2"/>
    <n v="5.3215064834365867E-2"/>
    <s v="NaN"/>
    <n v="292.38723433226778"/>
    <n v="-130.55880153917971"/>
    <n v="161.8284327930881"/>
    <n v="8.7470718076569476"/>
    <n v="1.58304"/>
    <n v="4.9585664375"/>
    <s v="NaN"/>
    <n v="-649.429407140291"/>
  </r>
  <r>
    <x v="22"/>
    <x v="10"/>
    <n v="93.200749999999942"/>
    <n v="93.200749999999942"/>
    <s v="NaN"/>
    <n v="3.1378848482461912"/>
    <n v="-1.3775018907591139"/>
    <n v="1.7603829574870771"/>
    <n v="9.3917220879359498E-2"/>
    <n v="1.6921730780063478E-2"/>
    <n v="5.173644659511864E-2"/>
    <s v="NaN"/>
    <n v="292.45322127018102"/>
    <n v="-128.38420934516739"/>
    <n v="164.0690119250136"/>
    <n v="8.7531554238719593"/>
    <n v="1.577118"/>
    <n v="4.8218756250000014"/>
    <s v="NaN"/>
    <n v="-657.14425690430687"/>
  </r>
  <r>
    <x v="22"/>
    <x v="11"/>
    <n v="93.221749999999929"/>
    <n v="93.221749999999929"/>
    <s v="NaN"/>
    <n v="3.1378858282331579"/>
    <n v="-1.442525493668686"/>
    <n v="1.695360334564471"/>
    <n v="0.10872671110830889"/>
    <n v="1.6854392885780421E-2"/>
    <n v="5.0282731095479372E-2"/>
    <s v="NaN"/>
    <n v="292.51920820809408"/>
    <n v="-134.47475093940881"/>
    <n v="158.04445726868539"/>
    <n v="10.13569428126099"/>
    <n v="1.571196"/>
    <n v="4.6874441875000006"/>
    <s v="NaN"/>
    <n v="-639.60890303736153"/>
  </r>
  <r>
    <x v="22"/>
    <x v="12"/>
    <n v="93.242749999999944"/>
    <n v="93.242749999999944"/>
    <s v="NaN"/>
    <n v="3.1378868077786999"/>
    <n v="-1.3697628224195291"/>
    <n v="1.768123985359171"/>
    <n v="0.1089177832674755"/>
    <n v="1.6787085322987581E-2"/>
    <n v="4.8880148188465089E-2"/>
    <s v="NaN"/>
    <n v="292.58519514600721"/>
    <n v="-127.7204524101585"/>
    <n v="164.86474273584869"/>
    <n v="10.15579363576339"/>
    <n v="1.5652740000000001"/>
    <n v="4.5577194375000003"/>
    <s v="NaN"/>
    <n v="-664.19294263347138"/>
  </r>
  <r>
    <x v="22"/>
    <x v="13"/>
    <n v="93.263749999999931"/>
    <n v="93.263749999999931"/>
    <s v="NaN"/>
    <n v="3.1378877868831201"/>
    <n v="-1.415853440521502"/>
    <n v="1.722034346361619"/>
    <n v="0.10844792991092179"/>
    <n v="1.6719808071195951E-2"/>
    <n v="4.7622466526383543E-2"/>
    <s v="NaN"/>
    <n v="292.65118208392039"/>
    <n v="-132.04780131343711"/>
    <n v="160.60338077048331"/>
    <n v="10.11426062322972"/>
    <n v="1.5593520000000001"/>
    <n v="4.4414498125000001"/>
    <s v="NaN"/>
    <n v="-647.96762508950656"/>
  </r>
  <r>
    <x v="22"/>
    <x v="14"/>
    <n v="93.284749999999946"/>
    <n v="93.284749999999946"/>
    <s v="NaN"/>
    <n v="3.137888765546712"/>
    <n v="-1.3312781746884139"/>
    <n v="1.8066105908582979"/>
    <n v="0.10809156093619859"/>
    <n v="1.6652561109934912E-2"/>
    <n v="4.6172875925593437E-2"/>
    <s v="NaN"/>
    <n v="292.71716902183351"/>
    <n v="-124.187951706265"/>
    <n v="168.5292173155685"/>
    <n v="10.083294239043051"/>
    <n v="1.5534300000000001"/>
    <n v="4.3072251875000003"/>
    <s v="NaN"/>
    <n v="-676.40161138780388"/>
  </r>
  <r>
    <x v="22"/>
    <x v="15"/>
    <n v="93.305749999999946"/>
    <n v="93.305749999999946"/>
    <s v="NaN"/>
    <n v="3.1378897437697759"/>
    <n v="-1.444509498580673"/>
    <n v="1.6933802451891029"/>
    <n v="0.1093811575056421"/>
    <n v="1.658534441875234E-2"/>
    <n v="4.4832038084469637E-2"/>
    <s v="NaN"/>
    <n v="292.78315595974658"/>
    <n v="-134.7810421471936"/>
    <n v="158.00211381255309"/>
    <n v="10.205890936932059"/>
    <n v="1.5475080000000001"/>
    <n v="4.1830869375000006"/>
    <s v="NaN"/>
    <n v="-637.77486551900347"/>
  </r>
  <r>
    <x v="22"/>
    <x v="16"/>
    <n v="93.326749999999947"/>
    <n v="93.326749999999947"/>
    <s v="NaN"/>
    <n v="3.1378907215526088"/>
    <n v="-1.6596127133971059"/>
    <n v="1.478278008155502"/>
    <n v="0.1070204948253447"/>
    <n v="1.6518157977214471E-2"/>
    <n v="4.2341819735499227E-2"/>
    <s v="NaN"/>
    <n v="292.84914289765982"/>
    <n v="-154.88626080003331"/>
    <n v="137.96288209762639"/>
    <n v="9.9878749654412324"/>
    <n v="1.5415859999999999"/>
    <n v="3.9516244249999999"/>
    <s v="NaN"/>
    <n v="-562.62788078963263"/>
  </r>
  <r>
    <x v="22"/>
    <x v="17"/>
    <n v="93.347749999999934"/>
    <n v="93.347749999999934"/>
    <s v="NaN"/>
    <n v="3.137891698895507"/>
    <n v="-1.912724434348813"/>
    <n v="1.225167264546694"/>
    <n v="0.1073954494719619"/>
    <n v="1.6451001764905972E-2"/>
    <n v="3.9847211769967708E-2"/>
    <s v="NaN"/>
    <n v="292.91512983557288"/>
    <n v="-178.54852231648431"/>
    <n v="114.3666075190886"/>
    <n v="10.02512356844632"/>
    <n v="1.5356639999999999"/>
    <n v="3.7196475625000009"/>
    <s v="NaN"/>
    <n v="-475.37248971683789"/>
  </r>
  <r>
    <x v="22"/>
    <x v="18"/>
    <n v="93.342949999999945"/>
    <n v="93.342949999999945"/>
    <s v="NaN"/>
    <n v="3.1379025019018618"/>
    <n v="-1.931328333370071"/>
    <n v="1.206574168531791"/>
    <n v="0.10649232951196019"/>
    <n v="1.573089344187216E-2"/>
    <n v="3.7323021516890147E-2"/>
    <s v="NaN"/>
    <n v="292.90107633990033"/>
    <n v="-180.27588405534581"/>
    <n v="112.6251922845545"/>
    <n v="9.9403081890184151"/>
    <n v="1.4683679999999999"/>
    <n v="3.4838409313000001"/>
    <s v="NaN"/>
    <n v="-467.56493448457633"/>
  </r>
  <r>
    <x v="22"/>
    <x v="19"/>
    <n v="93.338149999999928"/>
    <n v="93.338149999999928"/>
    <s v="NaN"/>
    <n v="3.1379133060193269"/>
    <n v="-1.9076420909046881"/>
    <n v="1.2302712151146391"/>
    <n v="0.1063725958879298"/>
    <n v="1.5010711054375949E-2"/>
    <n v="3.2163262758046977E-2"/>
    <s v="NaN"/>
    <n v="292.8870228442276"/>
    <n v="-178.05578362717529"/>
    <n v="114.8312392170523"/>
    <n v="9.9286213108769683"/>
    <n v="1.4010720000000001"/>
    <n v="3.0020594437999999"/>
    <s v="NaN"/>
    <n v="-473.59763722971712"/>
  </r>
  <r>
    <x v="22"/>
    <x v="20"/>
    <n v="93.333349999999939"/>
    <n v="93.333349999999939"/>
    <s v="NaN"/>
    <n v="3.137924111248072"/>
    <n v="-2.6018230931667921"/>
    <n v="0.53610101808127997"/>
    <n v="0.1066694924401336"/>
    <n v="1.429045459099026E-2"/>
    <n v="2.975761685185415E-2"/>
    <s v="NaN"/>
    <n v="292.87296934855499"/>
    <n v="-242.83686539261859"/>
    <n v="50.036103955936397"/>
    <n v="9.9558210722373328"/>
    <n v="1.3337760000000001"/>
    <n v="2.7773780688"/>
    <s v="NaN"/>
    <n v="-235.04462335559171"/>
  </r>
  <r>
    <x v="22"/>
    <x v="21"/>
    <n v="93.328549999999936"/>
    <n v="93.328549999999936"/>
    <s v="NaN"/>
    <n v="3.137934917588268"/>
    <n v="-2.3557211030990848"/>
    <n v="0.78221381448918315"/>
    <n v="0.1057725702232295"/>
    <n v="1.3570124040285649E-2"/>
    <n v="2.7444963987654392E-2"/>
    <s v="NaN"/>
    <n v="292.85891585288238"/>
    <n v="-219.856034756638"/>
    <n v="73.002881096244408"/>
    <n v="9.8716006087071815"/>
    <n v="1.2664800000000001"/>
    <n v="2.5613986937700002"/>
    <s v="NaN"/>
    <n v="-317.90865479534142"/>
  </r>
  <r>
    <x v="22"/>
    <x v="22"/>
    <n v="93.323749999999933"/>
    <n v="93.323749999999933"/>
    <s v="NaN"/>
    <n v="3.1379457250400882"/>
    <n v="-2.142443596517837"/>
    <n v="0.99550212852225073"/>
    <n v="0.10675013129834771"/>
    <n v="1.284971939083032E-2"/>
    <n v="2.503646901297903E-2"/>
    <s v="NaN"/>
    <n v="292.84486235720971"/>
    <n v="-199.9408705905314"/>
    <n v="92.903991766678331"/>
    <n v="9.9623225657541639"/>
    <n v="1.199184"/>
    <n v="2.3364971750499999"/>
    <s v="NaN"/>
    <n v="-390.14065019413789"/>
  </r>
  <r>
    <x v="22"/>
    <x v="23"/>
    <n v="93.283666666666605"/>
    <n v="93.283666666666605"/>
    <s v="NaN"/>
    <n v="3.1379550255148678"/>
    <n v="-1.60775539425116"/>
    <n v="1.5301996312637081"/>
    <n v="0.1072199914328202"/>
    <n v="1.2233138348621241E-2"/>
    <n v="2.2472311203104521E-2"/>
    <s v="NaN"/>
    <n v="292.71995061512018"/>
    <n v="-149.97731827886039"/>
    <n v="142.74263233625979"/>
    <n v="10.001873940822049"/>
    <n v="1.1411519999999999"/>
    <n v="2.0962995874999999"/>
    <s v="NaN"/>
    <n v="-571.93384550351891"/>
  </r>
  <r>
    <x v="22"/>
    <x v="24"/>
    <n v="93.243583333333262"/>
    <n v="93.243583333333262"/>
    <s v="NaN"/>
    <n v="3.137964333985781"/>
    <n v="-1.864109917671219"/>
    <n v="1.273854416314562"/>
    <n v="0.10722032116319399"/>
    <n v="1.1616027197581969E-2"/>
    <n v="1.9555281686049909E-2"/>
    <s v="NaN"/>
    <n v="292.59503887303077"/>
    <n v="-173.81628845086931"/>
    <n v="118.77875042216149"/>
    <n v="9.9976069514070325"/>
    <n v="1.0831200000000001"/>
    <n v="1.8234045375000001"/>
    <s v="NaN"/>
    <n v="-482.83723367396192"/>
  </r>
  <r>
    <x v="22"/>
    <x v="25"/>
    <n v="93.203499999999948"/>
    <n v="93.203499999999948"/>
    <s v="NaN"/>
    <n v="3.1379736504631439"/>
    <n v="-2.0287118568742688"/>
    <n v="1.1092617935888749"/>
    <n v="0.10772485641218139"/>
    <n v="1.0998385253772671E-2"/>
    <n v="1.6827159529416821E-2"/>
    <s v="NaN"/>
    <n v="292.47012713094148"/>
    <n v="-189.08304555218081"/>
    <n v="103.3870815787606"/>
    <n v="10.04033365461274"/>
    <n v="1.025088"/>
    <n v="1.5683501632000001"/>
    <s v="NaN"/>
    <n v="-425.40979578747442"/>
  </r>
  <r>
    <x v="22"/>
    <x v="26"/>
    <n v="93.185083333333282"/>
    <n v="93.185083333333282"/>
    <s v="NaN"/>
    <n v="3.1379858766202982"/>
    <n v="-1.8084615725270889"/>
    <n v="1.329524304093209"/>
    <n v="0.1086158532446892"/>
    <n v="1.018463434330066E-2"/>
    <n v="1.4239782672655949E-2"/>
    <s v="NaN"/>
    <n v="292.41347541168528"/>
    <n v="-168.52164234106769"/>
    <n v="123.89183307061769"/>
    <n v="10.121377335927461"/>
    <n v="0.94905600000000023"/>
    <n v="1.3269353349999999"/>
    <s v="NaN"/>
    <n v="-499.72707305237759"/>
  </r>
  <r>
    <x v="22"/>
    <x v="27"/>
    <n v="93.166666666666615"/>
    <n v="93.166666666666615"/>
    <s v="NaN"/>
    <n v="3.1379981076110499"/>
    <n v="-1.994209884629973"/>
    <n v="1.143788222981077"/>
    <n v="0.1089131285577797"/>
    <n v="9.3705617173524252E-3"/>
    <n v="1.1943409421109131E-2"/>
    <s v="NaN"/>
    <n v="292.35682369242932"/>
    <n v="-185.79388758469241"/>
    <n v="106.5629361077369"/>
    <n v="10.14707314396647"/>
    <n v="0.87302400000000047"/>
    <n v="1.1127276444"/>
    <s v="NaN"/>
    <n v="-435.21778995241863"/>
  </r>
  <r>
    <x v="22"/>
    <x v="28"/>
    <n v="93.148249999999948"/>
    <n v="93.148249999999948"/>
    <s v="NaN"/>
    <n v="3.1380103434382649"/>
    <n v="-2.392341188836216"/>
    <n v="0.74566915460204863"/>
    <n v="0.1084867354505523"/>
    <n v="8.5561671851054691E-3"/>
    <n v="1.082430922642133E-2"/>
    <s v="NaN"/>
    <n v="292.30017197317318"/>
    <n v="-222.84239514301299"/>
    <n v="69.457776830160242"/>
    <n v="10.1053495554319"/>
    <n v="0.79699200000000003"/>
    <n v="1.0082654619"/>
    <s v="NaN"/>
    <n v="-298.35074077416499"/>
  </r>
  <r>
    <x v="22"/>
    <x v="29"/>
    <n v="93.141999999999939"/>
    <n v="93.141999999999939"/>
    <s v="NaN"/>
    <n v="3.1380201740711562"/>
    <n v="-2.0315372116477168"/>
    <n v="1.1064829624234389"/>
    <n v="0.10833940014644471"/>
    <n v="7.9010543041807182E-3"/>
    <n v="9.8381796343217955E-3"/>
    <s v="NaN"/>
    <n v="292.28147505333538"/>
    <n v="-189.2214389672915"/>
    <n v="103.06003608604389"/>
    <n v="10.09094840844014"/>
    <n v="0.73591999999999991"/>
    <n v="0.91634772750000004"/>
    <s v="NaN"/>
    <n v="-420.94525814731293"/>
  </r>
  <r>
    <x v="22"/>
    <x v="30"/>
    <n v="93.135749999999959"/>
    <n v="93.135749999999959"/>
    <s v="NaN"/>
    <n v="3.1380290527276489"/>
    <n v="-1.814033394988342"/>
    <n v="1.3239956577393071"/>
    <n v="0.10828621925349929"/>
    <n v="7.3094381051314892E-3"/>
    <n v="8.7258548949248841E-3"/>
    <s v="NaN"/>
    <n v="292.262689347579"/>
    <n v="-168.95136076728539"/>
    <n v="123.3113285802936"/>
    <n v="10.085318244839099"/>
    <n v="0.68076999999999976"/>
    <n v="0.81268904002999998"/>
    <s v="NaN"/>
    <n v="-494.59705483897483"/>
  </r>
  <r>
    <x v="22"/>
    <x v="31"/>
    <n v="93.129499999999965"/>
    <n v="93.129499999999965"/>
    <s v="NaN"/>
    <n v="3.1380379325758518"/>
    <n v="-1.362856876328252"/>
    <n v="1.7751810562476"/>
    <n v="0.10823824760235549"/>
    <n v="6.7177424983490743E-3"/>
    <n v="7.6021498561680279E-3"/>
    <s v="NaN"/>
    <n v="292.24390364182273"/>
    <n v="-126.9221794640119"/>
    <n v="165.32172417781081"/>
    <n v="10.08017388008356"/>
    <n v="0.62561999999999984"/>
    <n v="0.70798441503000009"/>
    <s v="NaN"/>
    <n v="-648.03017573411489"/>
  </r>
  <r>
    <x v="22"/>
    <x v="32"/>
    <n v="93.12324999999997"/>
    <n v="93.12324999999997"/>
    <s v="NaN"/>
    <n v="3.1380468136160031"/>
    <n v="-1.2289477144652181"/>
    <n v="1.909099099150785"/>
    <n v="0.1088098738940554"/>
    <n v="6.1259674678450348E-3"/>
    <n v="6.4546465567943594E-3"/>
    <s v="NaN"/>
    <n v="292.22511793606628"/>
    <n v="-114.443605251073"/>
    <n v="177.78151268499329"/>
    <n v="10.1327290891046"/>
    <n v="0.57046999999999992"/>
    <n v="0.60107766497000004"/>
    <s v="NaN"/>
    <n v="-693.31456127664535"/>
  </r>
  <r>
    <x v="22"/>
    <x v="33"/>
    <n v="93.116999999999976"/>
    <n v="93.116999999999976"/>
    <s v="NaN"/>
    <n v="3.1380556958483421"/>
    <n v="-1.444332228038802"/>
    <n v="1.6937234678095401"/>
    <n v="0.1083729842141838"/>
    <n v="5.5341129976266418E-3"/>
    <n v="5.1161385942416551E-3"/>
    <s v="NaN"/>
    <n v="292.20633223031001"/>
    <n v="-134.4918840782891"/>
    <n v="157.71444815202091"/>
    <n v="10.09136717107215"/>
    <n v="0.51531999999999989"/>
    <n v="0.47639947748000011"/>
    <s v="NaN"/>
    <n v="-618.92429426882404"/>
  </r>
  <r>
    <x v="23"/>
    <x v="0"/>
    <n v="3177.5271710000002"/>
    <n v="2772.5500299999999"/>
    <n v="404.97714100000002"/>
    <n v="2.721918505665549"/>
    <n v="-1.1937281020342221"/>
    <n v="1.5281904036313281"/>
    <n v="4.6554935185074142E-2"/>
    <n v="5.5349078240816702E-4"/>
    <n v="-1.6425836277577209E-5"/>
    <n v="-0.51999999920983186"/>
    <n v="8648.9700090000006"/>
    <n v="-3793.1034789999999"/>
    <n v="4855.8665300000011"/>
    <n v="147.92957149471701"/>
    <n v="1.758732"/>
    <n v="-4.55414528641718E-2"/>
    <n v="-210.58811299999999"/>
    <n v="-17581.377656488399"/>
  </r>
  <r>
    <x v="23"/>
    <x v="1"/>
    <n v="3178.924254"/>
    <n v="2761.9630520000001"/>
    <n v="416.96120200000001"/>
    <n v="2.7208305146360998"/>
    <n v="-1.104726825617532"/>
    <n v="1.616103689018568"/>
    <n v="2.540393948650313E-2"/>
    <n v="5.8880547331216786E-4"/>
    <n v="-3.2977597460034049E-5"/>
    <n v="-0.51999999990406787"/>
    <n v="8649.3141140000007"/>
    <n v="-3511.8429000000001"/>
    <n v="5137.4712140000011"/>
    <n v="80.757199380793097"/>
    <n v="1.8717680000000001"/>
    <n v="-9.10829057283431E-2"/>
    <n v="-216.81982500000001"/>
    <n v="-18345.02733607691"/>
  </r>
  <r>
    <x v="23"/>
    <x v="2"/>
    <n v="3180.3213380000002"/>
    <n v="2763.1947060000002"/>
    <n v="417.12663199999997"/>
    <n v="2.7197729369823822"/>
    <n v="-1.0492989365969529"/>
    <n v="1.670474000385429"/>
    <n v="9.5828520077193835E-3"/>
    <n v="6.24089766114068E-4"/>
    <n v="-4.7492759538528872E-5"/>
    <n v="-0.52000000041439154"/>
    <n v="8649.7519059999995"/>
    <n v="-3337.107798"/>
    <n v="5312.6441080000004"/>
    <n v="30.4765487190461"/>
    <n v="1.9848060000000001"/>
    <n v="-0.131231741730194"/>
    <n v="-216.9058488128538"/>
    <n v="-18802.917401271399"/>
  </r>
  <r>
    <x v="23"/>
    <x v="3"/>
    <n v="3181.7184240000001"/>
    <n v="2764.1922009999998"/>
    <n v="417.52622300000002"/>
    <n v="2.7187419203252539"/>
    <n v="-1.156842572942903"/>
    <n v="1.561899347382351"/>
    <n v="3.9201641881143723E-2"/>
    <n v="6.5934275772983975E-4"/>
    <n v="-5.9238843789569748E-5"/>
    <n v="-0.51999999961780419"/>
    <n v="8650.2712580000007"/>
    <n v="-3680.7473279999999"/>
    <n v="4969.5239300000012"/>
    <n v="124.728586224285"/>
    <n v="2.0978430000000001"/>
    <n v="-0.16374754999938601"/>
    <n v="-217.11363580042331"/>
    <n v="-17889.93424487246"/>
  </r>
  <r>
    <x v="23"/>
    <x v="4"/>
    <n v="3183.1155079999999"/>
    <n v="2765.589285"/>
    <n v="417.52622300000002"/>
    <n v="3.030432179654349"/>
    <n v="-1.3336270372001851"/>
    <n v="1.696805142454165"/>
    <n v="0.1109975231776754"/>
    <n v="6.9456543265347323E-4"/>
    <n v="-7.5676096952898413E-5"/>
    <n v="-0.51999999961780419"/>
    <n v="9646.2156670000004"/>
    <n v="-4245.0889040000002"/>
    <n v="5401.1267630000002"/>
    <n v="353.31793737644801"/>
    <n v="2.2108819999999998"/>
    <n v="-0.20928900286355701"/>
    <n v="-217.11363580042331"/>
    <n v="-20310.886411103442"/>
  </r>
  <r>
    <x v="23"/>
    <x v="5"/>
    <n v="3184.512592"/>
    <n v="2766.9863690000002"/>
    <n v="417.52622300000002"/>
    <n v="3.0293117911464669"/>
    <n v="-1.500980476261216"/>
    <n v="1.5283313148852511"/>
    <n v="0.1518719137969623"/>
    <n v="7.2975626029491922E-4"/>
    <n v="-9.2096751390873574E-5"/>
    <n v="-0.51999999961780419"/>
    <n v="9646.8815439999998"/>
    <n v="-4779.8912270000001"/>
    <n v="4866.9903169999998"/>
    <n v="483.63802185756498"/>
    <n v="2.3239179999999999"/>
    <n v="-0.254830455727729"/>
    <n v="-217.11363580042331"/>
    <n v="-18830.473898873559"/>
  </r>
  <r>
    <x v="23"/>
    <x v="6"/>
    <n v="3193.1680470000001"/>
    <n v="2775.011951"/>
    <n v="418.15609599999999"/>
    <n v="3.0201300977755898"/>
    <n v="-1.478560980038518"/>
    <n v="1.5415691177370729"/>
    <n v="0.1349236254821283"/>
    <n v="9.7956228859883733E-4"/>
    <n v="-1.06921773543585E-4"/>
    <n v="-0.51999999965458399"/>
    <n v="9643.7829260000017"/>
    <n v="-4721.2936769999997"/>
    <n v="4922.489249000002"/>
    <n v="430.83380967492701"/>
    <n v="3.127907"/>
    <n v="-0.29670919940556401"/>
    <n v="-217.4411697755622"/>
    <n v="-18841.94798456824"/>
  </r>
  <r>
    <x v="23"/>
    <x v="7"/>
    <n v="3201.8235"/>
    <n v="2783.625728"/>
    <n v="418.19777199999999"/>
    <n v="3.0110603314017781"/>
    <n v="-1.786498167060115"/>
    <n v="1.224562164341664"/>
    <n v="0.21729150457694341"/>
    <n v="1.228017409454331E-3"/>
    <n v="-1.2260401734745819E-4"/>
    <n v="-0.51999999967718358"/>
    <n v="9640.883729000001"/>
    <n v="-5720.0518140000004"/>
    <n v="3920.8319150000011"/>
    <n v="695.72904570481501"/>
    <n v="3.9318949999999999"/>
    <n v="-0.34128369704454298"/>
    <n v="-217.4628413049989"/>
    <n v="-16143.1920125783"/>
  </r>
  <r>
    <x v="23"/>
    <x v="8"/>
    <n v="3210.4789559999999"/>
    <n v="2791.4882769999999"/>
    <n v="418.990679"/>
    <n v="3.0021102595883198"/>
    <n v="-1.9409112096357251"/>
    <n v="1.061199049952595"/>
    <n v="0.2490976331296102"/>
    <n v="1.4751325471700121E-3"/>
    <n v="-1.369933204445856E-4"/>
    <n v="-0.52000000069468411"/>
    <n v="9638.2118119999996"/>
    <n v="-6231.254594"/>
    <n v="3406.957218"/>
    <n v="799.72270915202205"/>
    <n v="4.7358820000000001"/>
    <n v="-0.38241524804836502"/>
    <n v="-217.87515337106609"/>
    <n v="-14641.580215288661"/>
  </r>
  <r>
    <x v="23"/>
    <x v="9"/>
    <n v="3219.1344100000001"/>
    <n v="2800.3130390000001"/>
    <n v="418.821371"/>
    <n v="3.059926529442428"/>
    <n v="-2.4432053301558172"/>
    <n v="0.61672119928661184"/>
    <n v="0.39395239805406262"/>
    <n v="1.720919133662393E-3"/>
    <n v="-1.5282459316239859E-4"/>
    <n v="-0.5200000010769894"/>
    <n v="9850.3147829999998"/>
    <n v="-7865.0063490000002"/>
    <n v="1985.308434"/>
    <n v="1268.1857204778501"/>
    <n v="5.5398700000000014"/>
    <n v="-0.42795670091253502"/>
    <n v="-217.7871133710662"/>
    <n v="-11149.66949948921"/>
  </r>
  <r>
    <x v="23"/>
    <x v="10"/>
    <n v="3227.7898650000002"/>
    <n v="2808.7382109999999"/>
    <n v="419.05165399999998"/>
    <n v="3.0510276235098099"/>
    <n v="-2.0554303732532482"/>
    <n v="0.99559725025656232"/>
    <n v="0.25234466575519687"/>
    <n v="1.965387545449772E-3"/>
    <n v="-1.67928359195715E-4"/>
    <n v="-0.52000000066491958"/>
    <n v="9848.0760410000003"/>
    <n v="-6634.497327"/>
    <n v="3213.5787140000002"/>
    <n v="814.5155546114371"/>
    <n v="6.343858"/>
    <n v="-0.47166679918353799"/>
    <n v="-217.90686035863561"/>
    <n v="-13992.218531331209"/>
  </r>
  <r>
    <x v="23"/>
    <x v="11"/>
    <n v="3228.0279740000001"/>
    <n v="2809.634849"/>
    <n v="418.393125"/>
    <n v="3.046599635818398"/>
    <n v="-1.9568289878147129"/>
    <n v="1.089770648003684"/>
    <n v="0.23032331499178879"/>
    <n v="2.0961361098787061E-3"/>
    <n v="-1.9526973326315441E-4"/>
    <n v="-0.52000000085717391"/>
    <n v="9834.5088500000002"/>
    <n v="-6316.6987129999998"/>
    <n v="3517.8101369999999"/>
    <n v="743.49010385790791"/>
    <n v="6.7663859999999998"/>
    <n v="-0.54863664753109298"/>
    <n v="-217.56442535863559"/>
    <n v="-14849.829737791069"/>
  </r>
  <r>
    <x v="23"/>
    <x v="12"/>
    <n v="3228.266083"/>
    <n v="2810.5314870000002"/>
    <n v="417.73459600000001"/>
    <n v="3.042242453841745"/>
    <n v="-2.0671416867219858"/>
    <n v="0.97510076711975902"/>
    <n v="0.24332442907957941"/>
    <n v="2.226865077156033E-3"/>
    <n v="-2.2259366200747641E-4"/>
    <n v="-0.5200000010500343"/>
    <n v="9821.16813"/>
    <n v="-6673.2833959999998"/>
    <n v="3147.8847340000002"/>
    <n v="785.51600156294501"/>
    <n v="7.1889130000000003"/>
    <n v="-0.62560649587864803"/>
    <n v="-217.22199035863571"/>
    <n v="-13650.054189598821"/>
  </r>
  <r>
    <x v="23"/>
    <x v="13"/>
    <n v="3228.5041919999999"/>
    <n v="2811.4281249999999"/>
    <n v="417.07606700000002"/>
    <n v="3.037955290968382"/>
    <n v="-2.1228958989686828"/>
    <n v="0.91505939199969888"/>
    <n v="0.24008422430798601"/>
    <n v="2.357575071099675E-3"/>
    <n v="-2.4990016211999132E-4"/>
    <n v="-0.52000000124350376"/>
    <n v="9808.0513919999994"/>
    <n v="-6853.7783090000003"/>
    <n v="2954.2730829999991"/>
    <n v="775.11292461140101"/>
    <n v="7.6114410000000001"/>
    <n v="-0.70257634422620296"/>
    <n v="-216.8795553586356"/>
    <n v="-12904.522828665809"/>
  </r>
  <r>
    <x v="23"/>
    <x v="14"/>
    <n v="3228.742303"/>
    <n v="2812.1138729999998"/>
    <n v="416.62842999999998"/>
    <n v="2.6734035150404512"/>
    <n v="-2.025032969935352"/>
    <n v="0.64837054510509806"/>
    <n v="0.20040044326960429"/>
    <n v="2.4882654749297278E-3"/>
    <n v="-2.75480109866775E-4"/>
    <n v="-0.52000000061152041"/>
    <n v="8631.7310219999999"/>
    <n v="-6538.3096150000001"/>
    <n v="2093.4214069999998"/>
    <n v="647.04138872452302"/>
    <n v="8.0339679999999998"/>
    <n v="-0.77468143869192196"/>
    <n v="-216.6467838547768"/>
    <n v="-9280.6094275813757"/>
  </r>
  <r>
    <x v="23"/>
    <x v="15"/>
    <n v="3228.9804100000001"/>
    <n v="2813.0105090000002"/>
    <n v="415.96990099999999"/>
    <n v="2.6698583699366569"/>
    <n v="-2.088250805151215"/>
    <n v="0.58160756478544229"/>
    <n v="0.22472987579653789"/>
    <n v="2.618936607298897E-3"/>
    <n v="-3.0275439224798038E-4"/>
    <n v="-0.52000000080481013"/>
    <n v="8620.9203739999994"/>
    <n v="-6742.9209410000003"/>
    <n v="1877.999432999999"/>
    <n v="725.64836648875405"/>
    <n v="8.4564950000000003"/>
    <n v="-0.85165128703947701"/>
    <n v="-216.3043488547768"/>
    <n v="-8781.4770792728996"/>
  </r>
  <r>
    <x v="23"/>
    <x v="16"/>
    <n v="3229.2185199999999"/>
    <n v="2813.9071479999998"/>
    <n v="415.31137200000001"/>
    <n v="2.6663843192005472"/>
    <n v="-1.8804177076873689"/>
    <n v="0.78596661151317804"/>
    <n v="0.1365036261368503"/>
    <n v="2.749588776667861E-3"/>
    <n v="-3.3001129267788899E-4"/>
    <n v="-0.52000000099871291"/>
    <n v="8610.3376250000001"/>
    <n v="-6072.2796870000002"/>
    <n v="2538.0579379999999"/>
    <n v="440.80003756827301"/>
    <n v="8.8790230000000001"/>
    <n v="-0.92862113538703195"/>
    <n v="-215.96191385477681"/>
    <n v="-10159.770366453989"/>
  </r>
  <r>
    <x v="23"/>
    <x v="17"/>
    <n v="3229.4566289999998"/>
    <n v="2814.8037859999999"/>
    <n v="414.65284300000002"/>
    <n v="2.6629821056500709"/>
    <n v="-1.9250330675365139"/>
    <n v="0.73794903811355717"/>
    <n v="0.13167066671724759"/>
    <n v="2.8802216807848019E-3"/>
    <n v="-3.5725082818777691E-4"/>
    <n v="-0.51999999878157555"/>
    <n v="8599.9852140000003"/>
    <n v="-6216.8108009999996"/>
    <n v="2383.1744130000011"/>
    <n v="425.224707474865"/>
    <n v="9.3015509999999999"/>
    <n v="-1.00559098373459"/>
    <n v="-215.61947785477679"/>
    <n v="-9537.277209667498"/>
  </r>
  <r>
    <x v="23"/>
    <x v="18"/>
    <n v="3229.6947380000001"/>
    <n v="2815.7004229999998"/>
    <n v="413.99431499999997"/>
    <n v="2.6596525377253779"/>
    <n v="-1.763218476346293"/>
    <n v="0.89643406137908488"/>
    <n v="6.0089634324266283E-2"/>
    <n v="3.010835013473029E-3"/>
    <n v="-3.8447301539583568E-4"/>
    <n v="-0.51999999771682082"/>
    <n v="8589.8658059999998"/>
    <n v="-5694.6574350000001"/>
    <n v="2895.2083710000002"/>
    <n v="194.07117578542699"/>
    <n v="9.7240780000000004"/>
    <n v="-1.08256083208214"/>
    <n v="-215.27704285477679"/>
    <n v="-10569.694744029041"/>
  </r>
  <r>
    <x v="23"/>
    <x v="19"/>
    <n v="3234.0635139999999"/>
    <n v="2824.311322"/>
    <n v="409.75219199999998"/>
    <n v="2.6040540720809111"/>
    <n v="-2.2686347359101369"/>
    <n v="0.33541933617077357"/>
    <n v="0.3743790545110241"/>
    <n v="3.2772470157492401E-3"/>
    <n v="-4.745708941785101E-4"/>
    <n v="-0.52000000003606284"/>
    <n v="8421.6762629999994"/>
    <n v="-7336.9088259999999"/>
    <n v="1084.767437"/>
    <n v="1210.7656405999201"/>
    <n v="10.598825"/>
    <n v="-1.34033594952003"/>
    <n v="-213.07113985477679"/>
    <n v="-7669.6415649179808"/>
  </r>
  <r>
    <x v="23"/>
    <x v="20"/>
    <n v="3238.4322900000002"/>
    <n v="2829.4629479999999"/>
    <n v="408.96934199999998"/>
    <n v="2.6145902469988029"/>
    <n v="-2.5731100386847992"/>
    <n v="4.1480208314004598E-2"/>
    <n v="0.45532060503776672"/>
    <n v="2.9998592312702019E-3"/>
    <n v="-5.481496106969308E-4"/>
    <n v="-0.52000000006549574"/>
    <n v="8467.1734809999998"/>
    <n v="-8332.8426350000009"/>
    <n v="134.3308459999989"/>
    <n v="1474.52494965664"/>
    <n v="9.7148409999999998"/>
    <n v="-1.55096901342759"/>
    <n v="-212.6640578667857"/>
    <n v="-5149.3039025140288"/>
  </r>
  <r>
    <x v="23"/>
    <x v="21"/>
    <n v="3242.8010669999999"/>
    <n v="2834.6759219999999"/>
    <n v="408.12514499999997"/>
    <n v="2.6082509679894592"/>
    <n v="-2.4549256668910551"/>
    <n v="0.1533253010984035"/>
    <n v="0.37805572278977861"/>
    <n v="3.23071035920564E-3"/>
    <n v="-6.2201208410352451E-4"/>
    <n v="-0.519999998693503"/>
    <n v="8458.039021999999"/>
    <n v="-7960.835572"/>
    <n v="497.20344999999912"/>
    <n v="1225.95950124815"/>
    <n v="10.476551000000001"/>
    <n v="-1.7632026780012999"/>
    <n v="-212.22507486678569"/>
    <n v="-5572.0544905795005"/>
  </r>
  <r>
    <x v="23"/>
    <x v="22"/>
    <n v="3247.169844"/>
    <n v="2839.8888969999998"/>
    <n v="407.28094700000003"/>
    <n v="2.6020390795425241"/>
    <n v="-2.3217148708529329"/>
    <n v="0.28032420868959018"/>
    <n v="0.29806219790431632"/>
    <n v="3.4609396920723561E-3"/>
    <n v="-6.9750227254659404E-4"/>
    <n v="-0.51999999905208427"/>
    <n v="8449.2628320000003"/>
    <n v="-7539.0025150000001"/>
    <n v="910.26031700000021"/>
    <n v="967.85858067125594"/>
    <n v="11.238258999999999"/>
    <n v="-1.9808289594373401"/>
    <n v="-211.78609205393201"/>
    <n v="-6143.8308640794767"/>
  </r>
  <r>
    <x v="23"/>
    <x v="23"/>
    <n v="3251.5386210000001"/>
    <n v="2845.1018709999998"/>
    <n v="406.43675000000002"/>
    <n v="2.59595858541703"/>
    <n v="-2.3520317094212979"/>
    <n v="0.24392687599573179"/>
    <n v="0.27127498152180191"/>
    <n v="3.6905506588476109E-3"/>
    <n v="-7.7539869172791047E-4"/>
    <n v="-0.52000000016327874"/>
    <n v="8440.8595989999994"/>
    <n v="-7647.7219409999998"/>
    <n v="793.13765799999965"/>
    <n v="882.06107932919997"/>
    <n v="11.999968000000001"/>
    <n v="-2.2060882686060301"/>
    <n v="-211.34711006636249"/>
    <n v="-5403.3668589793388"/>
  </r>
  <r>
    <x v="23"/>
    <x v="24"/>
    <n v="3250.2154580000001"/>
    <n v="2858.7766670000001"/>
    <n v="391.43879099999998"/>
    <n v="2.392400443441618"/>
    <n v="-2.5349407885315638"/>
    <n v="-0.1425403450899467"/>
    <n v="0.30260738907470702"/>
    <n v="3.7046857833263058E-3"/>
    <n v="-7.8116310725501311E-4"/>
    <n v="-0.51999999935203789"/>
    <n v="7775.8169029999999"/>
    <n v="-8239.1037359999991"/>
    <n v="-463.28683299999921"/>
    <n v="983.53921367563305"/>
    <n v="12.041027"/>
    <n v="-2.23317086414185"/>
    <n v="-203.5481710663625"/>
    <n v="-1197.2109077322509"/>
  </r>
  <r>
    <x v="23"/>
    <x v="25"/>
    <n v="3248.892296"/>
    <n v="2857.8611369999999"/>
    <n v="391.031159"/>
    <n v="2.5828757122332129"/>
    <n v="-2.455522878927717"/>
    <n v="0.12735283330549649"/>
    <n v="0.16973965830052001"/>
    <n v="3.7188318045739241E-3"/>
    <n v="-7.9088988279197485E-4"/>
    <n v="-0.52000000098806065"/>
    <n v="8391.4850029999998"/>
    <n v="-7977.7293639999998"/>
    <n v="413.75563899999997"/>
    <n v="551.46586817823197"/>
    <n v="12.082084"/>
    <n v="-2.2602534596776702"/>
    <n v="-203.33620306636249"/>
    <n v="-2829.592827058294"/>
  </r>
  <r>
    <x v="23"/>
    <x v="26"/>
    <n v="3247.5691360000001"/>
    <n v="2856.9108160000001"/>
    <n v="390.65832"/>
    <n v="2.7437813671844178"/>
    <n v="-2.543075769026522"/>
    <n v="0.2007055981578956"/>
    <n v="0.20009296993646111"/>
    <n v="3.5202305235850721E-3"/>
    <n v="-8.0143866950316788E-4"/>
    <n v="-0.51999999913880834"/>
    <n v="8910.6196839999993"/>
    <n v="-8258.8143779999991"/>
    <n v="651.8053060000002"/>
    <n v="649.81575349622699"/>
    <n v="11.432192000000001"/>
    <n v="-2.2896388032642498"/>
    <n v="-203.14232606356831"/>
    <n v="-4061.2780509748159"/>
  </r>
  <r>
    <x v="23"/>
    <x v="27"/>
    <n v="3246.245973"/>
    <n v="2855.960493"/>
    <n v="390.28548000000001"/>
    <n v="2.9148215537886468"/>
    <n v="-2.560601780375316"/>
    <n v="0.35421977341333127"/>
    <n v="0.1942484226131006"/>
    <n v="3.3214670390597661E-3"/>
    <n v="-8.1105057250162728E-4"/>
    <n v="-0.51999999976037137"/>
    <n v="9462.227730999999"/>
    <n v="-8312.343218"/>
    <n v="1149.8845129999991"/>
    <n v="630.57815966938006"/>
    <n v="10.782299"/>
    <n v="-2.3163283928896798"/>
    <n v="-202.94844950647641"/>
    <n v="-5815.2607104905755"/>
  </r>
  <r>
    <x v="23"/>
    <x v="28"/>
    <n v="3244.9228119999998"/>
    <n v="2855.0101709999999"/>
    <n v="389.91264100000001"/>
    <n v="2.9059711319259569"/>
    <n v="-2.5898561370771991"/>
    <n v="0.31611499484875832"/>
    <n v="0.17987819831503099"/>
    <n v="3.1225414553867049E-3"/>
    <n v="-8.2187480555573475E-4"/>
    <n v="-0.52000000023788373"/>
    <n v="9429.6520169999985"/>
    <n v="-8403.8832590000002"/>
    <n v="1025.7687579999979"/>
    <n v="583.69086909390398"/>
    <n v="10.132406"/>
    <n v="-2.34646092915027"/>
    <n v="-202.7545734127539"/>
    <n v="-5186.4669954244646"/>
  </r>
  <r>
    <x v="23"/>
    <x v="29"/>
    <n v="3253.5087010000002"/>
    <n v="2869.0706839999998"/>
    <n v="384.438017"/>
    <n v="2.9239821064796958"/>
    <n v="-2.4960635926696422"/>
    <n v="0.42791851381005402"/>
    <n v="0.13997004337502769"/>
    <n v="3.2724489093044532E-3"/>
    <n v="-9.7760493091674904E-4"/>
    <n v="-0.51999999917314121"/>
    <n v="9513.2012249999989"/>
    <n v="-8120.9646169999996"/>
    <n v="1392.236607999999"/>
    <n v="455.393754"/>
    <n v="10.646941"/>
    <n v="-2.8048176478270901"/>
    <n v="-199.907768522124"/>
    <n v="-6070.4039617107273"/>
  </r>
  <r>
    <x v="23"/>
    <x v="30"/>
    <n v="3262.0945879999999"/>
    <n v="2880.7078689999998"/>
    <n v="381.38671900000003"/>
    <n v="2.834722432640878"/>
    <n v="-2.5910639575237231"/>
    <n v="0.24365847511715399"/>
    <n v="0.1109199811027908"/>
    <n v="3.4215669407805659E-3"/>
    <n v="-1.133403965126976E-3"/>
    <n v="-0.51999999938100816"/>
    <n v="9247.1327060000003"/>
    <n v="-8452.2957129999995"/>
    <n v="794.8369930000008"/>
    <n v="361.83147005647601"/>
    <n v="11.161474999999999"/>
    <n v="-3.2650057210970802"/>
    <n v="-198.32109364392471"/>
    <n v="-3542.8940752023241"/>
  </r>
  <r>
    <x v="23"/>
    <x v="31"/>
    <n v="3270.6804750000001"/>
    <n v="2891.409619"/>
    <n v="379.27085599999998"/>
    <n v="2.7414840060155981"/>
    <n v="-2.59428684240395"/>
    <n v="0.14719716361164881"/>
    <n v="5.8568125276246677E-2"/>
    <n v="3.6865322345497531E-3"/>
    <n v="-1.27686302903266E-3"/>
    <n v="-0.51999999903313132"/>
    <n v="8966.5182110000005"/>
    <n v="-8485.0833220000004"/>
    <n v="481.43488900000011"/>
    <n v="191.55762379837401"/>
    <n v="12.057468999999999"/>
    <n v="-3.6919340442905102"/>
    <n v="-197.2208447532949"/>
    <n v="-1775.1697443363871"/>
  </r>
  <r>
    <x v="23"/>
    <x v="32"/>
    <n v="3281.9908500000001"/>
    <n v="2912.6717100000001"/>
    <n v="369.31914"/>
    <n v="2.6675074246474511"/>
    <n v="-2.7623614627079172"/>
    <n v="-9.4854038060465939E-2"/>
    <n v="0.1230688366611994"/>
    <n v="4.0775503685514542E-3"/>
    <n v="-1.485245963685372E-3"/>
    <n v="-0.52000000053760376"/>
    <n v="8754.7349599999998"/>
    <n v="-9066.0450450000008"/>
    <n v="-311.31008500000098"/>
    <n v="403.91079584220103"/>
    <n v="13.382483000000001"/>
    <n v="-4.3260339008180697"/>
    <n v="-192.04595299854739"/>
    <n v="331.42557454297008"/>
  </r>
  <r>
    <x v="23"/>
    <x v="33"/>
    <n v="3289.1398239999999"/>
    <n v="2975.0619780000002"/>
    <n v="314.07784600000002"/>
    <n v="2.732831204806816"/>
    <n v="-2.802099317198258"/>
    <n v="-6.9268112391442371E-2"/>
    <n v="0.13888330367313689"/>
    <n v="4.2963801346743843E-3"/>
    <n v="-1.5824442477624951E-3"/>
    <n v="-0.52000000025471405"/>
    <n v="8988.6639479999994"/>
    <n v="-9216.4964550000004"/>
    <n v="-227.83250700000099"/>
    <n v="456.80660499999999"/>
    <n v="14.131394999999999"/>
    <n v="-4.7078697138230101"/>
    <n v="-163.32048"/>
    <n v="-275.2828587160036"/>
  </r>
  <r>
    <x v="24"/>
    <x v="0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1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2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3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4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5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6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7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8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9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10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11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12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13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14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15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16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17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18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19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20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21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22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23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24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25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26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27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28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29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30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31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32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4"/>
    <x v="33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x v="25"/>
    <x v="0"/>
    <n v="1.4336397000000001"/>
    <n v="1.4336397000000001"/>
    <s v="NaN"/>
    <n v="2.5184110066148418E-3"/>
    <s v="NaN"/>
    <n v="2.5184110066148418E-3"/>
    <s v="NaN"/>
    <s v="NaN"/>
    <s v="NaN"/>
    <s v="NaN"/>
    <n v="3.6104940000000001E-3"/>
    <s v="NaN"/>
    <n v="3.6104940000000001E-3"/>
    <s v="NaN"/>
    <s v="NaN"/>
    <s v="NaN"/>
    <s v="NaN"/>
    <n v="-1.32384780000012E-2"/>
  </r>
  <r>
    <x v="25"/>
    <x v="1"/>
    <n v="1.4336397000000001"/>
    <n v="1.4336397000000001"/>
    <s v="NaN"/>
    <n v="2.422976498209418E-3"/>
    <s v="NaN"/>
    <n v="2.422976498209418E-3"/>
    <s v="NaN"/>
    <s v="NaN"/>
    <s v="NaN"/>
    <s v="NaN"/>
    <n v="3.4736753E-3"/>
    <s v="NaN"/>
    <n v="3.4736753E-3"/>
    <s v="NaN"/>
    <s v="NaN"/>
    <s v="NaN"/>
    <s v="NaN"/>
    <n v="-1.273680943333449E-2"/>
  </r>
  <r>
    <x v="25"/>
    <x v="2"/>
    <n v="1.4336397000000001"/>
    <n v="1.4336397000000001"/>
    <s v="NaN"/>
    <n v="2.3275419898039929E-3"/>
    <s v="NaN"/>
    <n v="2.3275419898039929E-3"/>
    <s v="NaN"/>
    <s v="NaN"/>
    <s v="NaN"/>
    <s v="NaN"/>
    <n v="3.3368565999999998E-3"/>
    <s v="NaN"/>
    <n v="3.3368565999999998E-3"/>
    <s v="NaN"/>
    <s v="NaN"/>
    <s v="NaN"/>
    <s v="NaN"/>
    <n v="-1.2235140866667779E-2"/>
  </r>
  <r>
    <x v="25"/>
    <x v="3"/>
    <n v="1.4336397000000001"/>
    <n v="1.4336397000000001"/>
    <s v="NaN"/>
    <n v="2.2321074116460359E-3"/>
    <s v="NaN"/>
    <n v="2.2321074116460359E-3"/>
    <s v="NaN"/>
    <s v="NaN"/>
    <s v="NaN"/>
    <s v="NaN"/>
    <n v="3.2000378E-3"/>
    <s v="NaN"/>
    <n v="3.2000378E-3"/>
    <s v="NaN"/>
    <s v="NaN"/>
    <s v="NaN"/>
    <s v="NaN"/>
    <n v="-1.17334719333344E-2"/>
  </r>
  <r>
    <x v="25"/>
    <x v="4"/>
    <n v="1.4336397000000001"/>
    <n v="1.4336397000000001"/>
    <s v="NaN"/>
    <n v="2.1366729032406121E-3"/>
    <s v="NaN"/>
    <n v="2.1366729032406121E-3"/>
    <s v="NaN"/>
    <s v="NaN"/>
    <s v="NaN"/>
    <s v="NaN"/>
    <n v="3.0632190999999999E-3"/>
    <s v="NaN"/>
    <n v="3.0632190999999999E-3"/>
    <s v="NaN"/>
    <s v="NaN"/>
    <s v="NaN"/>
    <s v="NaN"/>
    <n v="-1.123180336666769E-2"/>
  </r>
  <r>
    <x v="25"/>
    <x v="5"/>
    <n v="1.4336397000000001"/>
    <n v="1.4336397000000001"/>
    <s v="NaN"/>
    <n v="2.041238394835187E-3"/>
    <s v="NaN"/>
    <n v="2.041238394835187E-3"/>
    <s v="NaN"/>
    <s v="NaN"/>
    <s v="NaN"/>
    <s v="NaN"/>
    <n v="2.9264004000000001E-3"/>
    <s v="NaN"/>
    <n v="2.9264004000000001E-3"/>
    <s v="NaN"/>
    <s v="NaN"/>
    <s v="NaN"/>
    <s v="NaN"/>
    <n v="-1.0730134800000979E-2"/>
  </r>
  <r>
    <x v="25"/>
    <x v="6"/>
    <n v="1.4336397000000001"/>
    <n v="1.4336397000000001"/>
    <s v="NaN"/>
    <n v="1.945803886429763E-3"/>
    <s v="NaN"/>
    <n v="1.945803886429763E-3"/>
    <s v="NaN"/>
    <s v="NaN"/>
    <s v="NaN"/>
    <s v="NaN"/>
    <n v="2.7895817E-3"/>
    <s v="NaN"/>
    <n v="2.7895817E-3"/>
    <s v="NaN"/>
    <s v="NaN"/>
    <s v="NaN"/>
    <s v="NaN"/>
    <n v="-1.022846623333426E-2"/>
  </r>
  <r>
    <x v="25"/>
    <x v="7"/>
    <n v="1.4336397000000001"/>
    <n v="1.4336397000000001"/>
    <s v="NaN"/>
    <n v="1.850369378024339E-3"/>
    <s v="NaN"/>
    <n v="1.850369378024339E-3"/>
    <s v="NaN"/>
    <s v="NaN"/>
    <s v="NaN"/>
    <s v="NaN"/>
    <n v="2.6527629999999998E-3"/>
    <s v="NaN"/>
    <n v="2.6527629999999998E-3"/>
    <s v="NaN"/>
    <s v="NaN"/>
    <s v="NaN"/>
    <s v="NaN"/>
    <n v="-9.7267976666675499E-3"/>
  </r>
  <r>
    <x v="25"/>
    <x v="8"/>
    <n v="1.4336397000000001"/>
    <n v="1.4336397000000001"/>
    <s v="NaN"/>
    <n v="1.754934799866382E-3"/>
    <s v="NaN"/>
    <n v="1.754934799866382E-3"/>
    <s v="NaN"/>
    <s v="NaN"/>
    <s v="NaN"/>
    <s v="NaN"/>
    <n v="2.5159442000000001E-3"/>
    <s v="NaN"/>
    <n v="2.5159442000000001E-3"/>
    <s v="NaN"/>
    <s v="NaN"/>
    <s v="NaN"/>
    <s v="NaN"/>
    <n v="-9.225128733334172E-3"/>
  </r>
  <r>
    <x v="25"/>
    <x v="9"/>
    <n v="1.4336397000000001"/>
    <n v="1.4336397000000001"/>
    <s v="NaN"/>
    <n v="1.659500291460958E-3"/>
    <s v="NaN"/>
    <n v="1.659500291460958E-3"/>
    <s v="NaN"/>
    <s v="NaN"/>
    <s v="NaN"/>
    <s v="NaN"/>
    <n v="2.3791254999999999E-3"/>
    <s v="NaN"/>
    <n v="2.3791254999999999E-3"/>
    <s v="NaN"/>
    <s v="NaN"/>
    <s v="NaN"/>
    <s v="NaN"/>
    <n v="-8.7234601666674599E-3"/>
  </r>
  <r>
    <x v="25"/>
    <x v="10"/>
    <n v="1.4336397000000001"/>
    <n v="1.4336397000000001"/>
    <s v="NaN"/>
    <n v="1.5640657830555339E-3"/>
    <s v="NaN"/>
    <n v="1.5640657830555339E-3"/>
    <s v="NaN"/>
    <s v="NaN"/>
    <s v="NaN"/>
    <s v="NaN"/>
    <n v="2.2423068000000002E-3"/>
    <s v="NaN"/>
    <n v="2.2423068000000002E-3"/>
    <s v="NaN"/>
    <s v="NaN"/>
    <s v="NaN"/>
    <s v="NaN"/>
    <n v="-8.2217916000007479E-3"/>
  </r>
  <r>
    <x v="25"/>
    <x v="11"/>
    <n v="1.4336397000000001"/>
    <n v="1.4336397000000001"/>
    <s v="NaN"/>
    <n v="1.534021553672098E-3"/>
    <s v="NaN"/>
    <n v="1.534021553672098E-3"/>
    <s v="NaN"/>
    <s v="NaN"/>
    <s v="NaN"/>
    <s v="NaN"/>
    <n v="2.1992342000000001E-3"/>
    <s v="NaN"/>
    <n v="2.1992342000000001E-3"/>
    <s v="NaN"/>
    <s v="NaN"/>
    <s v="NaN"/>
    <s v="NaN"/>
    <n v="-8.0638587333340672E-3"/>
  </r>
  <r>
    <x v="25"/>
    <x v="12"/>
    <n v="1.4336397000000001"/>
    <n v="1.4336397000000001"/>
    <s v="NaN"/>
    <n v="1.5039773940411949E-3"/>
    <s v="NaN"/>
    <n v="1.5039773940411949E-3"/>
    <s v="NaN"/>
    <s v="NaN"/>
    <s v="NaN"/>
    <s v="NaN"/>
    <n v="2.1561617E-3"/>
    <s v="NaN"/>
    <n v="2.1561617E-3"/>
    <s v="NaN"/>
    <s v="NaN"/>
    <s v="NaN"/>
    <s v="NaN"/>
    <n v="-7.9059262333340524E-3"/>
  </r>
  <r>
    <x v="25"/>
    <x v="13"/>
    <n v="1.4336397000000001"/>
    <n v="1.4336397000000001"/>
    <s v="NaN"/>
    <n v="1.473933164657759E-3"/>
    <s v="NaN"/>
    <n v="1.473933164657759E-3"/>
    <s v="NaN"/>
    <s v="NaN"/>
    <s v="NaN"/>
    <s v="NaN"/>
    <n v="2.1130890999999999E-3"/>
    <s v="NaN"/>
    <n v="2.1130890999999999E-3"/>
    <s v="NaN"/>
    <s v="NaN"/>
    <s v="NaN"/>
    <s v="NaN"/>
    <n v="-7.7479933666673708E-3"/>
  </r>
  <r>
    <x v="25"/>
    <x v="14"/>
    <n v="1.4471396999999999"/>
    <n v="1.4471396999999999"/>
    <s v="NaN"/>
    <n v="1.6741495067822409E-3"/>
    <s v="NaN"/>
    <n v="1.6741495067822409E-3"/>
    <s v="NaN"/>
    <n v="1.364070103252644E-2"/>
    <s v="NaN"/>
    <s v="NaN"/>
    <n v="2.4227282149999999E-3"/>
    <s v="NaN"/>
    <n v="2.4227282149999999E-3"/>
    <s v="NaN"/>
    <n v="1.9740000000000001E-2"/>
    <s v="NaN"/>
    <s v="NaN"/>
    <n v="-8.1263336788340718E-2"/>
  </r>
  <r>
    <x v="25"/>
    <x v="15"/>
    <n v="1.4471396999999999"/>
    <n v="1.4471396999999999"/>
    <s v="NaN"/>
    <n v="1.7662506408330861E-3"/>
    <s v="NaN"/>
    <n v="1.7662506408330861E-3"/>
    <s v="NaN"/>
    <n v="1.364070103252644E-2"/>
    <s v="NaN"/>
    <s v="NaN"/>
    <n v="2.5560114224999998E-3"/>
    <s v="NaN"/>
    <n v="2.5560114224999998E-3"/>
    <s v="NaN"/>
    <n v="1.9740000000000001E-2"/>
    <s v="NaN"/>
    <s v="NaN"/>
    <n v="-8.175204188250744E-2"/>
  </r>
  <r>
    <x v="25"/>
    <x v="16"/>
    <n v="1.4471396999999999"/>
    <n v="1.4471396999999999"/>
    <s v="NaN"/>
    <n v="1.8583517748839309E-3"/>
    <s v="NaN"/>
    <n v="1.8583517748839309E-3"/>
    <s v="NaN"/>
    <n v="1.364070103252644E-2"/>
    <s v="NaN"/>
    <s v="NaN"/>
    <n v="2.6892946300000001E-3"/>
    <s v="NaN"/>
    <n v="2.6892946300000001E-3"/>
    <s v="NaN"/>
    <n v="1.9740000000000001E-2"/>
    <s v="NaN"/>
    <s v="NaN"/>
    <n v="-8.2240746976674134E-2"/>
  </r>
  <r>
    <x v="25"/>
    <x v="17"/>
    <n v="1.4471396999999999"/>
    <n v="1.4471396999999999"/>
    <s v="NaN"/>
    <n v="1.950452978036606E-3"/>
    <s v="NaN"/>
    <n v="1.950452978036606E-3"/>
    <s v="NaN"/>
    <n v="1.364070103252644E-2"/>
    <s v="NaN"/>
    <s v="NaN"/>
    <n v="2.8225779375000001E-3"/>
    <s v="NaN"/>
    <n v="2.8225779375000001E-3"/>
    <s v="NaN"/>
    <n v="1.9740000000000001E-2"/>
    <s v="NaN"/>
    <s v="NaN"/>
    <n v="-8.2729452437507525E-2"/>
  </r>
  <r>
    <x v="25"/>
    <x v="18"/>
    <n v="1.4471396999999999"/>
    <n v="1.4471396999999999"/>
    <s v="NaN"/>
    <n v="2.0425541120874511E-3"/>
    <s v="NaN"/>
    <n v="2.0425541120874511E-3"/>
    <s v="NaN"/>
    <n v="1.364070103252644E-2"/>
    <s v="NaN"/>
    <s v="NaN"/>
    <n v="2.955861145E-3"/>
    <s v="NaN"/>
    <n v="2.955861145E-3"/>
    <s v="NaN"/>
    <n v="1.9740000000000001E-2"/>
    <s v="NaN"/>
    <s v="NaN"/>
    <n v="-8.3218157531674233E-2"/>
  </r>
  <r>
    <x v="25"/>
    <x v="19"/>
    <n v="1.4471396999999999"/>
    <n v="1.4471396999999999"/>
    <s v="NaN"/>
    <n v="2.1346553152401249E-3"/>
    <s v="NaN"/>
    <n v="2.1346553152401249E-3"/>
    <s v="NaN"/>
    <n v="1.364070103252644E-2"/>
    <s v="NaN"/>
    <s v="NaN"/>
    <n v="3.0891444525E-3"/>
    <s v="NaN"/>
    <n v="3.0891444525E-3"/>
    <s v="NaN"/>
    <n v="1.9740000000000001E-2"/>
    <s v="NaN"/>
    <s v="NaN"/>
    <n v="-8.3706862992507611E-2"/>
  </r>
  <r>
    <x v="25"/>
    <x v="20"/>
    <n v="1.4471396999999999"/>
    <n v="1.4471396999999999"/>
    <s v="NaN"/>
    <n v="2.2267564492909702E-3"/>
    <s v="NaN"/>
    <n v="2.2267564492909702E-3"/>
    <s v="NaN"/>
    <n v="1.364070103252644E-2"/>
    <s v="NaN"/>
    <s v="NaN"/>
    <n v="3.2224276599999999E-3"/>
    <s v="NaN"/>
    <n v="3.2224276599999999E-3"/>
    <s v="NaN"/>
    <n v="1.9740000000000001E-2"/>
    <s v="NaN"/>
    <s v="NaN"/>
    <n v="-8.4195568086674319E-2"/>
  </r>
  <r>
    <x v="25"/>
    <x v="21"/>
    <n v="1.4471396999999999"/>
    <n v="1.4471396999999999"/>
    <s v="NaN"/>
    <n v="2.3249854644302832E-3"/>
    <s v="NaN"/>
    <n v="2.3249854644302832E-3"/>
    <s v="NaN"/>
    <n v="1.364070103252644E-2"/>
    <s v="NaN"/>
    <s v="NaN"/>
    <n v="3.3645787675000002E-3"/>
    <s v="NaN"/>
    <n v="3.3645787675000002E-3"/>
    <s v="NaN"/>
    <n v="1.9740000000000001E-2"/>
    <s v="NaN"/>
    <s v="NaN"/>
    <n v="-8.4716788814174382E-2"/>
  </r>
  <r>
    <x v="25"/>
    <x v="22"/>
    <n v="1.4471396999999999"/>
    <n v="1.4471396999999999"/>
    <s v="NaN"/>
    <n v="2.4232144795695949E-3"/>
    <s v="NaN"/>
    <n v="2.4232144795695949E-3"/>
    <s v="NaN"/>
    <n v="1.364070103252644E-2"/>
    <s v="NaN"/>
    <s v="NaN"/>
    <n v="3.5067298750000001E-3"/>
    <s v="NaN"/>
    <n v="3.5067298750000001E-3"/>
    <s v="NaN"/>
    <n v="1.9740000000000001E-2"/>
    <s v="NaN"/>
    <s v="NaN"/>
    <n v="-8.5238009541674417E-2"/>
  </r>
  <r>
    <x v="25"/>
    <x v="23"/>
    <n v="1.4471396999999999"/>
    <n v="1.4471396999999999"/>
    <s v="NaN"/>
    <n v="2.5214435638107359E-3"/>
    <s v="NaN"/>
    <n v="2.5214435638107359E-3"/>
    <s v="NaN"/>
    <n v="1.364070103252644E-2"/>
    <s v="NaN"/>
    <s v="NaN"/>
    <n v="3.6488810825E-3"/>
    <s v="NaN"/>
    <n v="3.6488810825E-3"/>
    <s v="NaN"/>
    <n v="1.9740000000000001E-2"/>
    <s v="NaN"/>
    <s v="NaN"/>
    <n v="-8.5759230635841135E-2"/>
  </r>
  <r>
    <x v="25"/>
    <x v="24"/>
    <n v="1.4471396999999999"/>
    <n v="1.4471396999999999"/>
    <s v="NaN"/>
    <n v="2.619672578950048E-3"/>
    <s v="NaN"/>
    <n v="2.619672578950048E-3"/>
    <s v="NaN"/>
    <n v="1.364070103252644E-2"/>
    <s v="NaN"/>
    <s v="NaN"/>
    <n v="3.7910321899999998E-3"/>
    <s v="NaN"/>
    <n v="3.7910321899999998E-3"/>
    <s v="NaN"/>
    <n v="1.9740000000000001E-2"/>
    <s v="NaN"/>
    <s v="NaN"/>
    <n v="-8.6280451363341185E-2"/>
  </r>
  <r>
    <x v="25"/>
    <x v="25"/>
    <n v="1.4511396999999999"/>
    <n v="1.4511396999999999"/>
    <s v="NaN"/>
    <n v="2.7768537119479261E-3"/>
    <s v="NaN"/>
    <n v="2.7768537119479261E-3"/>
    <s v="NaN"/>
    <n v="1.7489701370584788E-2"/>
    <s v="NaN"/>
    <s v="NaN"/>
    <n v="4.0296026625000004E-3"/>
    <s v="NaN"/>
    <n v="4.0296026625000004E-3"/>
    <s v="NaN"/>
    <n v="2.538000000000001E-2"/>
    <s v="NaN"/>
    <s v="NaN"/>
    <n v="-0.10783520976250981"/>
  </r>
  <r>
    <x v="25"/>
    <x v="26"/>
    <n v="1.4511396999999999"/>
    <n v="1.4511396999999999"/>
    <s v="NaN"/>
    <n v="2.908033907762292E-3"/>
    <s v="NaN"/>
    <n v="2.908033907762292E-3"/>
    <s v="NaN"/>
    <n v="1.7489701370584788E-2"/>
    <s v="NaN"/>
    <s v="NaN"/>
    <n v="4.2199634525000003E-3"/>
    <s v="NaN"/>
    <n v="4.2199634525000003E-3"/>
    <s v="NaN"/>
    <n v="2.538000000000001E-2"/>
    <s v="NaN"/>
    <s v="NaN"/>
    <n v="-0.1085331993258432"/>
  </r>
  <r>
    <x v="25"/>
    <x v="27"/>
    <n v="1.4511396999999999"/>
    <n v="1.4511396999999999"/>
    <s v="NaN"/>
    <n v="3.039214103576657E-3"/>
    <s v="NaN"/>
    <n v="3.039214103576657E-3"/>
    <s v="NaN"/>
    <n v="1.7489701370584788E-2"/>
    <s v="NaN"/>
    <s v="NaN"/>
    <n v="4.4103242424999986E-3"/>
    <s v="NaN"/>
    <n v="4.4103242424999986E-3"/>
    <s v="NaN"/>
    <n v="2.538000000000001E-2"/>
    <s v="NaN"/>
    <s v="NaN"/>
    <n v="-0.1092311888891766"/>
  </r>
  <r>
    <x v="25"/>
    <x v="28"/>
    <n v="1.4511396999999999"/>
    <n v="1.4511396999999999"/>
    <s v="NaN"/>
    <n v="3.5721839410085741E-3"/>
    <s v="NaN"/>
    <n v="3.5721839410085741E-3"/>
    <s v="NaN"/>
    <n v="1.7489701370584788E-2"/>
    <s v="NaN"/>
    <s v="NaN"/>
    <n v="5.1837379325000007E-3"/>
    <s v="NaN"/>
    <n v="5.1837379325000007E-3"/>
    <s v="NaN"/>
    <n v="2.538000000000001E-2"/>
    <s v="NaN"/>
    <s v="NaN"/>
    <n v="-0.11206703908584351"/>
  </r>
  <r>
    <x v="25"/>
    <x v="29"/>
    <n v="1.4048677000000001"/>
    <n v="1.4048677000000001"/>
    <s v="NaN"/>
    <n v="4.3921871079232429E-3"/>
    <s v="NaN"/>
    <n v="4.3921871079232429E-3"/>
    <s v="NaN"/>
    <n v="1.8065758078145009E-2"/>
    <s v="NaN"/>
    <s v="NaN"/>
    <n v="6.1704418002777777E-3"/>
    <s v="NaN"/>
    <n v="6.1704418002777777E-3"/>
    <s v="NaN"/>
    <n v="2.538000000000001E-2"/>
    <s v="NaN"/>
    <s v="NaN"/>
    <n v="-0.11568495326769571"/>
  </r>
  <r>
    <x v="25"/>
    <x v="30"/>
    <n v="1.3585955999999999"/>
    <n v="1.3585955999999999"/>
    <s v="NaN"/>
    <n v="5.7543940258356994E-3"/>
    <s v="NaN"/>
    <n v="5.7543940258356994E-3"/>
    <s v="NaN"/>
    <n v="1.868105564304787E-2"/>
    <s v="NaN"/>
    <s v="NaN"/>
    <n v="7.8178944041666677E-3"/>
    <s v="NaN"/>
    <n v="7.8178944041666677E-3"/>
    <s v="NaN"/>
    <n v="2.538000000000001E-2"/>
    <s v="NaN"/>
    <s v="NaN"/>
    <n v="-0.1217256128152889"/>
  </r>
  <r>
    <x v="25"/>
    <x v="31"/>
    <n v="1.3585955999999999"/>
    <n v="1.3585955999999999"/>
    <s v="NaN"/>
    <n v="6.6892490087230912E-3"/>
    <s v="NaN"/>
    <n v="6.6892490087230912E-3"/>
    <s v="NaN"/>
    <n v="1.868105564304787E-2"/>
    <s v="NaN"/>
    <s v="NaN"/>
    <n v="9.087984270555554E-3"/>
    <s v="NaN"/>
    <n v="9.087984270555554E-3"/>
    <s v="NaN"/>
    <n v="2.538000000000001E-2"/>
    <s v="NaN"/>
    <s v="NaN"/>
    <n v="-0.12638260899204851"/>
  </r>
  <r>
    <x v="25"/>
    <x v="32"/>
    <n v="1.3585955999999999"/>
    <n v="1.3585955999999999"/>
    <s v="NaN"/>
    <n v="7.6241039916104857E-3"/>
    <s v="NaN"/>
    <n v="7.6241039916104857E-3"/>
    <s v="NaN"/>
    <n v="1.868105564304787E-2"/>
    <s v="NaN"/>
    <s v="NaN"/>
    <n v="1.035807413694444E-2"/>
    <s v="NaN"/>
    <n v="1.035807413694444E-2"/>
    <s v="NaN"/>
    <n v="2.538000000000001E-2"/>
    <s v="NaN"/>
    <s v="NaN"/>
    <n v="-0.13103960516880819"/>
  </r>
  <r>
    <x v="25"/>
    <x v="33"/>
    <n v="1.3585959999999999"/>
    <n v="1.3585959999999999"/>
    <s v="NaN"/>
    <n v="8.6402133532215101E-3"/>
    <s v="NaN"/>
    <n v="8.6402133532215101E-3"/>
    <s v="NaN"/>
    <n v="1.8681050142941691E-2"/>
    <s v="NaN"/>
    <s v="NaN"/>
    <n v="1.173855930083333E-2"/>
    <s v="NaN"/>
    <n v="1.173855930083333E-2"/>
    <s v="NaN"/>
    <n v="2.538000000000001E-2"/>
    <s v="NaN"/>
    <s v="NaN"/>
    <n v="-0.13610138410306799"/>
  </r>
  <r>
    <x v="26"/>
    <x v="0"/>
    <n v="362.81687975900002"/>
    <n v="342.29374799999999"/>
    <n v="20.523131759000002"/>
    <n v="3.960137634595152"/>
    <n v="-2.4868404733520899"/>
    <n v="1.4732971612430621"/>
    <n v="1.807007853205421E-2"/>
    <n v="0.17608657028977501"/>
    <n v="7.1017175417413703E-2"/>
    <n v="-0.87816935356839376"/>
    <n v="1436.8047799999999"/>
    <n v="-902.26770099999999"/>
    <n v="534.53707900000018"/>
    <n v="6.5561295099999999"/>
    <n v="63.887179999999987"/>
    <n v="24.308735146"/>
    <n v="-18.022785349999999"/>
    <n v="-2241.3099071222041"/>
  </r>
  <r>
    <x v="26"/>
    <x v="1"/>
    <n v="363.38453404500012"/>
    <n v="342.73570799999999"/>
    <n v="20.648826045"/>
    <n v="3.567253860725601"/>
    <n v="-2.0752999986141711"/>
    <n v="1.491953862111429"/>
    <n v="1.823531088744523E-2"/>
    <n v="0.1811519116326733"/>
    <n v="6.8735590798143495E-2"/>
    <n v="-0.87803815686607467"/>
    <n v="1296.2848819999999"/>
    <n v="-754.13192299999992"/>
    <n v="542.15295900000001"/>
    <n v="6.6264299500000003"/>
    <n v="65.827803000000003"/>
    <n v="23.558141376999998"/>
    <n v="-18.130457161999999"/>
    <n v="-2273.461212605207"/>
  </r>
  <r>
    <x v="26"/>
    <x v="2"/>
    <n v="363.95223135700002"/>
    <n v="343.18125680000003"/>
    <n v="20.770974556999999"/>
    <n v="3.694134392271919"/>
    <n v="-2.21362595853887"/>
    <n v="1.4805084337330481"/>
    <n v="6.5148920866875612E-2"/>
    <n v="0.18622641149166949"/>
    <n v="6.6510941756653633E-2"/>
    <n v="-0.87790966129004422"/>
    <n v="1344.4884549999999"/>
    <n v="-805.65410699999995"/>
    <n v="538.83434799999998"/>
    <n v="23.71109512"/>
    <n v="67.777518000000001"/>
    <n v="22.825308582999991"/>
    <n v="-18.235039237999999"/>
    <n v="-2328.0151783718779"/>
  </r>
  <r>
    <x v="26"/>
    <x v="3"/>
    <n v="364.51985919399999"/>
    <n v="343.63029169999999"/>
    <n v="20.889567494000001"/>
    <n v="3.426649117998342"/>
    <n v="-1.927956777317793"/>
    <n v="1.498692340680549"/>
    <n v="6.5669809000063445E-2"/>
    <n v="0.19131003220015469"/>
    <n v="6.4343924831583757E-2"/>
    <n v="-0.87778430464233925"/>
    <n v="1249.0816540000001"/>
    <n v="-702.77853300000004"/>
    <n v="546.30312100000003"/>
    <n v="23.937949530000001"/>
    <n v="69.736305999999999"/>
    <n v="22.110521659"/>
    <n v="-18.336534477000001"/>
    <n v="-2360.4216669442148"/>
  </r>
  <r>
    <x v="26"/>
    <x v="4"/>
    <n v="365.08756405700001"/>
    <n v="344.08296430000001"/>
    <n v="21.004599757000001"/>
    <n v="3.3893118359046852"/>
    <n v="-1.8720243149484399"/>
    <n v="1.517287520956246"/>
    <n v="6.6217531162539409E-2"/>
    <n v="0.19640269091391199"/>
    <n v="6.2235186591014867E-2"/>
    <n v="-0.87766203547184307"/>
    <n v="1237.3956020000001"/>
    <n v="-683.45279699999992"/>
    <n v="553.94280499999991"/>
    <n v="24.175197149999999"/>
    <n v="71.704179999999994"/>
    <n v="21.414067486"/>
    <n v="-18.434939777"/>
    <n v="-2393.604802816551"/>
  </r>
  <r>
    <x v="26"/>
    <x v="5"/>
    <n v="365.65516794600001"/>
    <n v="344.5390835"/>
    <n v="21.116084445999999"/>
    <n v="3.524182193947019"/>
    <n v="-1.9878553886795991"/>
    <n v="1.5363268052674199"/>
    <n v="6.6791979359106898E-2"/>
    <n v="0.2015044535371677"/>
    <n v="6.0185386654399681E-2"/>
    <n v="-0.87754238662888895"/>
    <n v="1288.635432"/>
    <n v="-726.869596"/>
    <n v="561.76583600000004"/>
    <n v="24.42283243"/>
    <n v="73.681144799999998"/>
    <n v="20.736217958000001"/>
    <n v="-18.530259140999998"/>
    <n v="-2427.6111641725538"/>
  </r>
  <r>
    <x v="26"/>
    <x v="6"/>
    <n v="366.222884561"/>
    <n v="344.99887109999997"/>
    <n v="21.224013460999998"/>
    <n v="3.3795574721760651"/>
    <n v="-1.823804008863755"/>
    <n v="1.55575346331231"/>
    <n v="6.7392921853000776E-2"/>
    <n v="0.2066150860307488"/>
    <n v="5.8195141079694958E-2"/>
    <n v="-0.87742531365331011"/>
    <n v="1237.671286"/>
    <n v="-667.91876500000001"/>
    <n v="569.752521"/>
    <n v="24.680830239999999"/>
    <n v="75.667172800000003"/>
    <n v="20.077257975999999"/>
    <n v="-18.622486668000001"/>
    <n v="-2462.369416276224"/>
  </r>
  <r>
    <x v="26"/>
    <x v="7"/>
    <n v="366.790566802"/>
    <n v="345.462176"/>
    <n v="21.328390802000001"/>
    <n v="3.623919078915506"/>
    <n v="-2.048333226098396"/>
    <n v="1.5755858528171089"/>
    <n v="6.8020243834318692E-2"/>
    <n v="0.2117347427365095"/>
    <n v="5.6265107321039967E-2"/>
    <n v="-0.8773108356231627"/>
    <n v="1329.219333"/>
    <n v="-751.30930499999999"/>
    <n v="577.91002800000001"/>
    <n v="24.949183789999999"/>
    <n v="77.662306299999983"/>
    <n v="19.437466407999999"/>
    <n v="-18.711628356999999"/>
    <n v="-2497.9069725172271"/>
  </r>
  <r>
    <x v="26"/>
    <x v="8"/>
    <n v="367.35821626799998"/>
    <n v="345.92900770000011"/>
    <n v="21.429208568"/>
    <n v="3.4814292953420072"/>
    <n v="-1.8855833361697929"/>
    <n v="1.5958459591722141"/>
    <n v="6.8673709291955626E-2"/>
    <n v="0.2168632783263533"/>
    <n v="5.4395941783288597E-2"/>
    <n v="-0.87719894317844138"/>
    <n v="1278.931656"/>
    <n v="-692.68453099999999"/>
    <n v="586.24712499999998"/>
    <n v="25.227851350000002"/>
    <n v="79.66650709999999"/>
    <n v="18.817134163999999"/>
    <n v="-18.797679109000001"/>
    <n v="-2534.2567745185638"/>
  </r>
  <r>
    <x v="26"/>
    <x v="9"/>
    <n v="367.92587776099998"/>
    <n v="346.39939609999999"/>
    <n v="21.526481660999998"/>
    <n v="3.512262822783645"/>
    <n v="-1.895754390108666"/>
    <n v="1.616508432674979"/>
    <n v="6.935321227004157E-2"/>
    <n v="0.2220006871956372"/>
    <n v="5.2588221371324739E-2"/>
    <n v="-0.87708912772338798"/>
    <n v="1292.2523819999999"/>
    <n v="-697.49709800000005"/>
    <n v="594.75528400000007"/>
    <n v="25.516841500000002"/>
    <n v="81.679797700000009"/>
    <n v="18.216528125"/>
    <n v="-18.880643023000001"/>
    <n v="-2571.3886304409011"/>
  </r>
  <r>
    <x v="26"/>
    <x v="10"/>
    <n v="368.49347557900001"/>
    <n v="346.87328330000003"/>
    <n v="21.620192279000001"/>
    <n v="3.5076584679526981"/>
    <n v="-1.889442416601848"/>
    <n v="1.618216051350849"/>
    <n v="6.9797223599651001E-2"/>
    <n v="0.2198549395554534"/>
    <n v="5.0842636311506317E-2"/>
    <n v="-0.87698225600040691"/>
    <n v="1292.54926"/>
    <n v="-696.24720300000001"/>
    <n v="596.30205699999999"/>
    <n v="25.719821509999999"/>
    <n v="81.015110800000002"/>
    <n v="17.635952189000001"/>
    <n v="-18.960525000000001"/>
    <n v="-2572.9455271632341"/>
  </r>
  <r>
    <x v="26"/>
    <x v="11"/>
    <n v="369.06121922300002"/>
    <n v="347.35086619999998"/>
    <n v="21.710353023"/>
    <n v="3.294988757042006"/>
    <n v="-1.6749913830054219"/>
    <n v="1.6199973740365841"/>
    <n v="7.0223561485445993E-2"/>
    <n v="0.21746072120220861"/>
    <n v="4.9159722625156943E-2"/>
    <n v="-0.87687709729232988"/>
    <n v="1216.0525680000001"/>
    <n v="-618.17436200000009"/>
    <n v="597.87820599999998"/>
    <n v="25.916793219999999"/>
    <n v="80.256318899999997"/>
    <n v="17.075672235999999"/>
    <n v="-19.037311339999999"/>
    <n v="-2574.328823058901"/>
  </r>
  <r>
    <x v="26"/>
    <x v="12"/>
    <n v="369.62885509300003"/>
    <n v="347.83189779999998"/>
    <n v="21.796957292999998"/>
    <n v="3.2578385734983302"/>
    <n v="-1.6359601439878271"/>
    <n v="1.6218784295105031"/>
    <n v="7.0634664178019807E-2"/>
    <n v="0.2152757383618748"/>
    <n v="4.7540131510618457E-2"/>
    <n v="-0.8767744133323333"/>
    <n v="1204.1911419999999"/>
    <n v="-604.6980749999999"/>
    <n v="599.493067"/>
    <n v="26.108610049999999"/>
    <n v="79.572124700000003"/>
    <n v="16.535974164999999"/>
    <n v="-19.111014442999998"/>
    <n v="-2576.195458730901"/>
  </r>
  <r>
    <x v="26"/>
    <x v="13"/>
    <n v="370.196504989"/>
    <n v="348.31649609999999"/>
    <n v="21.880008888999999"/>
    <n v="3.4791219599392771"/>
    <n v="-1.855208141471804"/>
    <n v="1.6239138184674731"/>
    <n v="7.1032789385143874E-2"/>
    <n v="0.21330084924044951"/>
    <n v="4.5984448159473792E-2"/>
    <n v="-0.87667335997488594"/>
    <n v="1287.9587899999999"/>
    <n v="-686.79157000000009"/>
    <n v="601.16722000000004"/>
    <n v="26.296090370000002"/>
    <n v="78.963228900000004"/>
    <n v="16.017141857999999"/>
    <n v="-19.181620908999999"/>
    <n v="-2578.6275541365681"/>
  </r>
  <r>
    <x v="26"/>
    <x v="14"/>
    <n v="370.88624023"/>
    <n v="349.02496189999999"/>
    <n v="21.861278330000001"/>
    <n v="3.475639188449275"/>
    <n v="-1.845250227065832"/>
    <n v="1.6303889613834439"/>
    <n v="7.1412883701414853E-2"/>
    <n v="0.21155890914513689"/>
    <n v="4.4062282973348563E-2"/>
    <n v="-0.87665166380963411"/>
    <n v="1289.0667510000001"/>
    <n v="-684.37791900000002"/>
    <n v="604.68883200000005"/>
    <n v="26.48605594"/>
    <n v="78.464288400000001"/>
    <n v="15.378836636000001"/>
    <n v="-19.164726021"/>
    <n v="-2588.1287188352348"/>
  </r>
  <r>
    <x v="26"/>
    <x v="15"/>
    <n v="371.57603604600001"/>
    <n v="349.73486029999998"/>
    <n v="21.841175746000001"/>
    <n v="3.59602101421466"/>
    <n v="-1.9634040956012659"/>
    <n v="1.6326169186133941"/>
    <n v="7.1776802545733251E-2"/>
    <n v="0.2099276899825244"/>
    <n v="4.2172250705429612E-2"/>
    <n v="-0.87662811286642894"/>
    <n v="1336.195234"/>
    <n v="-729.55391100000008"/>
    <n v="606.64132299999994"/>
    <n v="26.670539770000001"/>
    <n v="78.004098900000002"/>
    <n v="14.749106209000001"/>
    <n v="-19.146588677"/>
    <n v="-2592.0344237409031"/>
  </r>
  <r>
    <x v="26"/>
    <x v="16"/>
    <n v="372.26590453799997"/>
    <n v="350.44619269999998"/>
    <n v="21.819711838"/>
    <n v="3.6969861279882932"/>
    <n v="-1.9572999034232601"/>
    <n v="1.739686224565032"/>
    <n v="6.3809328575175073E-2"/>
    <n v="0.28422948384519398"/>
    <n v="4.0314397132270523E-2"/>
    <n v="-0.87660264791806708"/>
    <n v="1376.2618849999999"/>
    <n v="-728.63601900000003"/>
    <n v="647.62586599999986"/>
    <n v="23.75403742"/>
    <n v="105.8089459"/>
    <n v="14.128026986"/>
    <n v="-19.127217173999998"/>
    <n v="-2831.3620834842568"/>
  </r>
  <r>
    <x v="26"/>
    <x v="17"/>
    <n v="372.95563370500003"/>
    <n v="351.15875879999999"/>
    <n v="21.796874904999999"/>
    <n v="3.5931492137211669"/>
    <n v="-1.8431162472899369"/>
    <n v="1.75003296643123"/>
    <n v="6.4114321460856993E-2"/>
    <n v="0.28621950455488959"/>
    <n v="3.8488743422452273E-2"/>
    <n v="-0.87657534381761881"/>
    <n v="1340.0852420000001"/>
    <n v="-687.40058799999997"/>
    <n v="652.68465400000014"/>
    <n v="23.91179739"/>
    <n v="106.7471767"/>
    <n v="13.515659368"/>
    <n v="-19.106603113999999"/>
    <n v="-2851.7598425949259"/>
  </r>
  <r>
    <x v="26"/>
    <x v="18"/>
    <n v="373.64543444899999"/>
    <n v="351.87275779999999"/>
    <n v="21.772676649000001"/>
    <n v="3.744020825687207"/>
    <n v="-1.98361623792613"/>
    <n v="1.7604045877610759"/>
    <n v="6.4409670937073615E-2"/>
    <n v="0.28823431887724549"/>
    <n v="3.6695286741518812E-2"/>
    <n v="-0.87654618697864806"/>
    <n v="1398.9362880000001"/>
    <n v="-741.16915099999994"/>
    <n v="657.76713699999993"/>
    <n v="24.066379479999998"/>
    <n v="107.6974373"/>
    <n v="12.912071744"/>
    <n v="-19.084756697"/>
    <n v="-2872.3136523659268"/>
  </r>
  <r>
    <x v="26"/>
    <x v="19"/>
    <n v="374.21203055500001"/>
    <n v="352.54644929999989"/>
    <n v="21.665581254999999"/>
    <n v="3.609757393412993"/>
    <n v="-1.851763592347021"/>
    <n v="1.7579938010659719"/>
    <n v="6.4687214288911568E-2"/>
    <n v="0.2905803905842575"/>
    <n v="3.5046524123367478E-2"/>
    <n v="-0.87644280688835841"/>
    <n v="1350.814644"/>
    <n v="-692.95221400000003"/>
    <n v="657.86243000000002"/>
    <n v="24.206733809999999"/>
    <n v="108.73867799999999"/>
    <n v="12.35552764"/>
    <n v="-18.988642848000001"/>
    <n v="-2875.307330874261"/>
  </r>
  <r>
    <x v="26"/>
    <x v="20"/>
    <n v="374.77862868300002"/>
    <n v="353.22099639999999"/>
    <n v="21.557632283"/>
    <n v="3.7189183782912481"/>
    <n v="-1.94984203493124"/>
    <n v="1.769076343360009"/>
    <n v="6.4956452120943101E-2"/>
    <n v="0.29296686789702331"/>
    <n v="3.4625283985524703E-2"/>
    <n v="-0.8763374783462532"/>
    <n v="1393.7711300000001"/>
    <n v="-730.75912400000004"/>
    <n v="663.01200600000004"/>
    <n v="24.344290050000001"/>
    <n v="109.797721"/>
    <n v="12.23037731"/>
    <n v="-18.891761114000001"/>
    <n v="-2898.4729885689298"/>
  </r>
  <r>
    <x v="26"/>
    <x v="21"/>
    <n v="375.34523582499997"/>
    <n v="353.89640919999999"/>
    <n v="21.448826624999999"/>
    <n v="3.5950712602867232"/>
    <n v="-1.814821073998109"/>
    <n v="1.780250186288614"/>
    <n v="6.5218489282792544E-2"/>
    <n v="0.29540672004611829"/>
    <n v="3.4262749959543808E-2"/>
    <n v="-0.87622970694789704"/>
    <n v="1349.3928699999999"/>
    <n v="-681.18444399999998"/>
    <n v="668.20842599999992"/>
    <n v="24.479449240000001"/>
    <n v="110.87950499999999"/>
    <n v="12.12546418"/>
    <n v="-18.794099068000001"/>
    <n v="-2921.9620662909319"/>
  </r>
  <r>
    <x v="26"/>
    <x v="22"/>
    <n v="375.91184587200001"/>
    <n v="354.5726828"/>
    <n v="21.339163072000002"/>
    <n v="3.573471375673019"/>
    <n v="-1.781939599285967"/>
    <n v="1.791531776387052"/>
    <n v="6.5474417420675612E-2"/>
    <n v="0.29791273467379048"/>
    <n v="3.3958295616336752E-2"/>
    <n v="-0.87611931137689936"/>
    <n v="1343.310221"/>
    <n v="-669.85220400000003"/>
    <n v="673.45801699999993"/>
    <n v="24.612609110000001"/>
    <n v="111.98892600000001"/>
    <n v="12.040683980000001"/>
    <n v="-18.695652855999999"/>
    <n v="-2945.8168051916009"/>
  </r>
  <r>
    <x v="26"/>
    <x v="23"/>
    <n v="373.36538984999999"/>
    <n v="352.34883930000001"/>
    <n v="21.016550550000002"/>
    <n v="3.800570490934057"/>
    <n v="-1.9892413013921459"/>
    <n v="1.811329189541911"/>
    <n v="6.572617440480738E-2"/>
    <n v="0.29315147299532163"/>
    <n v="3.2099141017377542E-2"/>
    <n v="-0.87617598355121129"/>
    <n v="1419.001483"/>
    <n v="-742.71385399999997"/>
    <n v="676.28762900000004"/>
    <n v="24.539878730000002"/>
    <n v="109.452614"/>
    <n v="11.31009508"/>
    <n v="-18.414196849"/>
    <n v="-2944.978739857268"/>
  </r>
  <r>
    <x v="26"/>
    <x v="24"/>
    <n v="370.81907801699998"/>
    <n v="350.06811340000002"/>
    <n v="20.750964617000001"/>
    <n v="3.3133708561339792"/>
    <n v="-1.8153244099515811"/>
    <n v="1.4980464461823979"/>
    <n v="0.1131950679411259"/>
    <n v="0.20251135244060259"/>
    <n v="3.029516991421018E-2"/>
    <n v="-0.87630388286156258"/>
    <n v="1228.661126"/>
    <n v="-673.15692399999989"/>
    <n v="555.5042020000003"/>
    <n v="41.974890729999998"/>
    <n v="75.095072999999999"/>
    <n v="10.605372977"/>
    <n v="-18.184150867"/>
    <n v="-2438.3164220802232"/>
  </r>
  <r>
    <x v="26"/>
    <x v="25"/>
    <n v="368.27264020099989"/>
    <n v="347.78604560000002"/>
    <n v="20.486594601"/>
    <n v="3.2619828188820699"/>
    <n v="-1.770818431268925"/>
    <n v="1.4911643876131451"/>
    <n v="0.1138382220767704"/>
    <n v="0.19386903670343891"/>
    <n v="2.8541915207882629E-2"/>
    <n v="-0.8764338160000279"/>
    <n v="1201.299025"/>
    <n v="-652.14397899999994"/>
    <n v="549.15504600000008"/>
    <n v="41.923502599999999"/>
    <n v="71.396662000000006"/>
    <n v="9.9264798239999994"/>
    <n v="-17.955144282999999"/>
    <n v="-2399.6373358505521"/>
  </r>
  <r>
    <x v="26"/>
    <x v="26"/>
    <n v="365.726242904"/>
    <n v="345.5028001"/>
    <n v="20.223442804000001"/>
    <n v="3.4322779301607249"/>
    <n v="-1.9486569963946261"/>
    <n v="1.483620933766099"/>
    <n v="0.1143809700880026"/>
    <n v="0.18544452118466839"/>
    <n v="2.684026247056745E-2"/>
    <n v="-0.87656521032579771"/>
    <n v="1255.2741120000001"/>
    <n v="-712.67500200000006"/>
    <n v="542.59910999999977"/>
    <n v="41.83212245"/>
    <n v="67.821928"/>
    <n v="9.2733858389999995"/>
    <n v="-17.727166395000001"/>
    <n v="-2360.597726278213"/>
  </r>
  <r>
    <x v="26"/>
    <x v="27"/>
    <n v="365.24491748000003"/>
    <n v="345.13211799999999"/>
    <n v="20.11279948"/>
    <n v="3.2174948281500728"/>
    <n v="-1.7324154484220811"/>
    <n v="1.485079379727992"/>
    <n v="0.11489846919580469"/>
    <n v="0.17994086667502721"/>
    <n v="2.664999593286186E-2"/>
    <n v="-0.87655475885050693"/>
    <n v="1175.1736330000001"/>
    <n v="-632.75593750000007"/>
    <n v="542.41769550000004"/>
    <n v="41.966081899999999"/>
    <n v="65.722487000000001"/>
    <n v="9.1977695409999995"/>
    <n v="-17.629970098000001"/>
    <n v="-2352.8049007578802"/>
  </r>
  <r>
    <x v="26"/>
    <x v="28"/>
    <n v="364.76365134399998"/>
    <n v="344.76149199999998"/>
    <n v="20.002159343999999"/>
    <n v="3.1465948451030599"/>
    <n v="-1.6627251461742349"/>
    <n v="1.4838696989288249"/>
    <n v="0.11536248977921131"/>
    <n v="0.17459662651512051"/>
    <n v="2.6493397536984788E-2"/>
    <n v="-0.87654180278587035"/>
    <n v="1147.7634250000001"/>
    <n v="-606.50169549999998"/>
    <n v="541.26172950000011"/>
    <n v="42.080043000000003"/>
    <n v="63.686503000000002"/>
    <n v="9.1339032630000005"/>
    <n v="-17.532728810999998"/>
    <n v="-2341.6413164908799"/>
  </r>
  <r>
    <x v="26"/>
    <x v="29"/>
    <n v="364.28235779699997"/>
    <n v="344.39085399999999"/>
    <n v="19.891503796999999"/>
    <n v="3.1192708943462262"/>
    <n v="-1.6368375183084709"/>
    <n v="1.482433376037755"/>
    <n v="0.115774410419025"/>
    <n v="0.169410394654331"/>
    <n v="2.636858137934173E-2"/>
    <n v="-0.87652614462610812"/>
    <n v="1136.2953560000001"/>
    <n v="-596.27103050000005"/>
    <n v="540.02432550000003"/>
    <n v="42.1745752"/>
    <n v="61.713217999999998"/>
    <n v="9.0810982599999992"/>
    <n v="-17.435423134000001"/>
    <n v="-2330.3785773622121"/>
  </r>
  <r>
    <x v="26"/>
    <x v="30"/>
    <n v="363.80111343800002"/>
    <n v="344.02026999999998"/>
    <n v="19.780843438000002"/>
    <n v="3.011853019484326"/>
    <n v="-1.5250459248375909"/>
    <n v="1.4868070946467351"/>
    <n v="0.1162870225992582"/>
    <n v="0.16633529905430811"/>
    <n v="2.6273814749346019E-2"/>
    <n v="-0.87650794675886778"/>
    <n v="1095.7154820000001"/>
    <n v="-554.81340549999993"/>
    <n v="540.90207650000013"/>
    <n v="42.305348299999999"/>
    <n v="60.512967000000003"/>
    <n v="9.0387248440000008"/>
    <n v="-17.338066467000001"/>
    <n v="-2329.8771839825458"/>
  </r>
  <r>
    <x v="26"/>
    <x v="31"/>
    <n v="363.31765266000002"/>
    <n v="343.64772599999998"/>
    <n v="19.669926660000002"/>
    <n v="3.002904725416653"/>
    <n v="-1.5087902805894999"/>
    <n v="1.4941144448271519"/>
    <n v="0.1168178176569859"/>
    <n v="0.16400709837174471"/>
    <n v="2.6431174798462079E-2"/>
    <n v="-0.87649400330809357"/>
    <n v="1091.008296"/>
    <n v="-548.1701430999999"/>
    <n v="542.83815290000007"/>
    <n v="42.441975300000003"/>
    <n v="59.586674000000002"/>
    <n v="9.083013115"/>
    <n v="-17.240572762999999"/>
    <n v="-2334.600556024212"/>
  </r>
  <r>
    <x v="26"/>
    <x v="32"/>
    <n v="362.834238056"/>
    <n v="343.27505100000002"/>
    <n v="19.559187055999999"/>
    <n v="2.7687092165898419"/>
    <n v="-1.4672904738880559"/>
    <n v="1.301418742701786"/>
    <n v="0.1022521479747286"/>
    <n v="0.17392613866351869"/>
    <n v="2.6602152951103918E-2"/>
    <n v="-0.87648211645591412"/>
    <n v="1004.582499"/>
    <n v="-532.38322110000001"/>
    <n v="472.19927790000008"/>
    <n v="37.100580200000003"/>
    <n v="63.106358"/>
    <n v="9.1318554110000001"/>
    <n v="-17.143277667"/>
    <n v="-2069.4475774281891"/>
  </r>
  <r>
    <x v="26"/>
    <x v="33"/>
    <n v="362.35090712599998"/>
    <n v="342.90227800000002"/>
    <n v="19.448629126"/>
    <n v="2.7422534136349661"/>
    <n v="-1.437275196109564"/>
    <n v="1.3049782175254021"/>
    <n v="0.10270277862740231"/>
    <n v="0.17261476312035429"/>
    <n v="2.6786683636438251E-2"/>
    <n v="-0.87647221665673725"/>
    <n v="993.65801199999999"/>
    <n v="-520.79797110000004"/>
    <n v="472.86004089999989"/>
    <n v="37.214444999999998"/>
    <n v="62.547116000000003"/>
    <n v="9.1852148390000004"/>
    <n v="-17.046183080999999"/>
    <n v="-2070.7889900795221"/>
  </r>
  <r>
    <x v="27"/>
    <x v="0"/>
    <n v="12207.08640770985"/>
    <n v="11495.01250624651"/>
    <n v="712.07390146333296"/>
    <n v="0.86341293391377305"/>
    <n v="-0.60062267962477855"/>
    <n v="0.2627902542889945"/>
    <n v="-8.2489925310434047E-4"/>
    <n v="6.7425941831971994E-2"/>
    <n v="9.9741672371122885E-4"/>
    <n v="-0.46643638710788199"/>
    <n v="10539.756289819699"/>
    <n v="-7331.8529486099014"/>
    <n v="3207.9033412097988"/>
    <n v="-10.069616460300001"/>
    <n v="823.07429806410005"/>
    <n v="11.465317712999999"/>
    <n v="-332.13717795237102"/>
    <n v="-13567.532596106739"/>
  </r>
  <r>
    <x v="27"/>
    <x v="1"/>
    <n v="12204.980443389701"/>
    <n v="11492.778866543031"/>
    <n v="712.20157684666697"/>
    <n v="0.86356191545789873"/>
    <n v="-0.57750414259158267"/>
    <n v="0.28605777286631612"/>
    <n v="-8.3195621800438713E-4"/>
    <n v="6.7390389791707611E-2"/>
    <n v="9.9758785812683378E-4"/>
    <n v="-0.46719247891266891"/>
    <n v="10539.756289819799"/>
    <n v="-7048.4267663068003"/>
    <n v="3491.329523512999"/>
    <n v="-10.154009370500001"/>
    <n v="822.49838948019999"/>
    <n v="11.4650566534"/>
    <n v="-332.73522017250599"/>
    <n v="-14602.14704704784"/>
  </r>
  <r>
    <x v="27"/>
    <x v="2"/>
    <n v="12202.87447906954"/>
    <n v="11490.54522683954"/>
    <n v="712.32925223000007"/>
    <n v="0.86371094842429652"/>
    <n v="-0.58260750794139871"/>
    <n v="0.28110344048289793"/>
    <n v="-8.390156186774666E-4"/>
    <n v="6.7354825480321651E-2"/>
    <n v="9.9775905906715392E-4"/>
    <n v="-0.4679483225518371"/>
    <n v="10539.756289819799"/>
    <n v="-7109.4862899724003"/>
    <n v="3430.269999847399"/>
    <n v="-10.238402280700001"/>
    <n v="821.92248089600002"/>
    <n v="11.4647955937"/>
    <n v="-333.33327868563299"/>
    <n v="-14373.64718302745"/>
  </r>
  <r>
    <x v="27"/>
    <x v="3"/>
    <n v="12200.76851474939"/>
    <n v="11488.311587136061"/>
    <n v="712.45692761333294"/>
    <n v="0.86386003283960289"/>
    <n v="-0.54921351543133823"/>
    <n v="0.3146465174082646"/>
    <n v="-8.4607745637669228E-4"/>
    <n v="6.7319248891500746E-2"/>
    <n v="9.9793032657969683E-4"/>
    <n v="-0.4687039181747425"/>
    <n v="10539.756289819799"/>
    <n v="-6700.8269669495003"/>
    <n v="3838.9293228703009"/>
    <n v="-10.322795190800001"/>
    <n v="821.34657231200003"/>
    <n v="11.464534534"/>
    <n v="-333.93135350310803"/>
    <n v="-15867.44969708355"/>
  </r>
  <r>
    <x v="27"/>
    <x v="4"/>
    <n v="12198.662550429241"/>
    <n v="11486.07794743257"/>
    <n v="712.58460299666706"/>
    <n v="0.86400916873046352"/>
    <n v="-0.58139676812809638"/>
    <n v="0.28261240060236709"/>
    <n v="-8.5314173238883477E-4"/>
    <n v="6.7283660018878005E-2"/>
    <n v="9.9810166070330017E-4"/>
    <n v="-0.46945926593064302"/>
    <n v="10539.756289819799"/>
    <n v="-7092.2629823048001"/>
    <n v="3447.4933075150011"/>
    <n v="-10.407188101099999"/>
    <n v="820.77066372809998"/>
    <n v="11.464273474300001"/>
    <n v="-334.52944463629399"/>
    <n v="-14427.56924392801"/>
  </r>
  <r>
    <x v="27"/>
    <x v="5"/>
    <n v="12195.79954618909"/>
    <n v="11483.26751540909"/>
    <n v="712.53203078000001"/>
    <n v="0.84950266077603598"/>
    <n v="-0.51272810304115424"/>
    <n v="0.33677455773488169"/>
    <n v="-3.7518522329516279E-4"/>
    <n v="7.7226035055438555E-2"/>
    <n v="1.057167940885293E-3"/>
    <n v="-0.4703331393034797"/>
    <n v="10360.364164778801"/>
    <n v="-6253.1291663877"/>
    <n v="4107.2349983911008"/>
    <n v="-4.5756837759999982"/>
    <n v="941.83324328310005"/>
    <n v="12.1397422739"/>
    <n v="-335.12742689104101"/>
    <n v="-17312.184535365461"/>
  </r>
  <r>
    <x v="27"/>
    <x v="6"/>
    <n v="12192.75329022227"/>
    <n v="11480.673380505599"/>
    <n v="712.07990971666663"/>
    <n v="0.8498289742108619"/>
    <n v="-0.59050256348724584"/>
    <n v="0.25932641072361601"/>
    <n v="-1.649043657942617E-3"/>
    <n v="7.0092954876479804E-2"/>
    <n v="1.065454431450893E-3"/>
    <n v="-0.47006868719748951"/>
    <n v="10361.7550214357"/>
    <n v="-7199.8520738438001"/>
    <n v="3161.9029475919001"/>
    <n v="-20.106382486099999"/>
    <n v="854.6261061916"/>
    <n v="12.232134329300001"/>
    <n v="-334.72646834022032"/>
    <n v="-13471.07057005165"/>
  </r>
  <r>
    <x v="27"/>
    <x v="7"/>
    <n v="12189.07874262113"/>
    <n v="11477.811449167801"/>
    <n v="711.26729345333331"/>
    <n v="0.87044742898591221"/>
    <n v="-0.53053173686301969"/>
    <n v="0.33991569212289252"/>
    <n v="3.4453896524725498E-4"/>
    <n v="6.3648142274357791E-2"/>
    <n v="1.1255802760147891E-3"/>
    <n v="-0.47102863823763758"/>
    <n v="10609.9522532214"/>
    <n v="-6466.6931160829008"/>
    <n v="4143.2591371384988"/>
    <n v="4.1996125772999973"/>
    <n v="775.81221800369997"/>
    <n v="12.919198179"/>
    <n v="-335.02726465829369"/>
    <n v="-16870.930637882291"/>
  </r>
  <r>
    <x v="27"/>
    <x v="8"/>
    <n v="12185.760184029999"/>
    <n v="11475.41816159"/>
    <n v="710.34202244000005"/>
    <n v="0.89680083208165451"/>
    <n v="-0.51551349709279948"/>
    <n v="0.38128733498885509"/>
    <n v="-3.5571503134295801E-4"/>
    <n v="5.1562528786636849E-2"/>
    <n v="1.137954309770499E-3"/>
    <n v="-0.47593668319401189"/>
    <n v="10928.199872585599"/>
    <n v="-6281.9238472035004"/>
    <n v="4646.2760253820989"/>
    <n v="-4.3346580658000011"/>
    <n v="628.32861027609999"/>
    <n v="13.058501553399999"/>
    <n v="-338.07782609342001"/>
    <n v="-18132.585727860369"/>
  </r>
  <r>
    <x v="27"/>
    <x v="9"/>
    <n v="12182.317454870001"/>
    <n v="11472.93074471"/>
    <n v="709.38671016000001"/>
    <n v="0.94785977207994387"/>
    <n v="-0.43484127337596362"/>
    <n v="0.5130184987039802"/>
    <n v="-9.0334958756149361E-4"/>
    <n v="3.7750450365989709E-2"/>
    <n v="1.150192920713351E-3"/>
    <n v="-0.47416965197578892"/>
    <n v="11547.1286461786"/>
    <n v="-5297.3744347458996"/>
    <n v="6249.7542114327007"/>
    <n v="-11.0048914484"/>
    <n v="459.88797042279998"/>
    <n v="13.196083722399999"/>
    <n v="-336.369649472817"/>
    <n v="-23376.700323743298"/>
  </r>
  <r>
    <x v="27"/>
    <x v="10"/>
    <n v="12179.10904759"/>
    <n v="11470.497402110001"/>
    <n v="708.61164547999999"/>
    <n v="1.0014201092189521"/>
    <n v="-0.52479845870260644"/>
    <n v="0.47662165051634542"/>
    <n v="-1.328943950592409E-3"/>
    <n v="2.503876463551687E-2"/>
    <n v="1.1967461908996961E-3"/>
    <n v="-0.47227745292310691"/>
    <n v="12196.4047126271"/>
    <n v="-6391.5776565462002"/>
    <n v="5804.8270560808996"/>
    <n v="-16.185353292399999"/>
    <n v="304.94984491290001"/>
    <n v="13.7272740737"/>
    <n v="-334.66130303894602"/>
    <n v="-21166.410902034491"/>
  </r>
  <r>
    <x v="27"/>
    <x v="11"/>
    <n v="12175.93668983"/>
    <n v="11467.86578715"/>
    <n v="708.07090268000002"/>
    <n v="1.043655300402323"/>
    <n v="-0.47547139912988751"/>
    <n v="0.56818390127243612"/>
    <n v="-9.2446452960796084E-4"/>
    <n v="3.5323406554186428E-2"/>
    <n v="1.2488381486769379E-3"/>
    <n v="-0.4710847757190626"/>
    <n v="12707.480863704201"/>
    <n v="-5789.3096536304001"/>
    <n v="6918.1712100737996"/>
    <n v="-11.2562215845"/>
    <n v="430.09556187290002"/>
    <n v="14.3215082789"/>
    <n v="-333.56142238220201"/>
    <n v="-25731.825666284971"/>
  </r>
  <r>
    <x v="27"/>
    <x v="12"/>
    <n v="12173.41322343"/>
    <n v="11465.57664263"/>
    <n v="707.83658079999998"/>
    <n v="1.069002938728258"/>
    <n v="-0.48114304928355828"/>
    <n v="0.58785988944469936"/>
    <n v="-5.337026078516213E-4"/>
    <n v="4.2739887295356438E-2"/>
    <n v="1.2971843150218049E-3"/>
    <n v="-0.47100995823096908"/>
    <n v="13013.4145102001"/>
    <n v="-5857.1531585099001"/>
    <n v="7156.2613516902002"/>
    <n v="-6.4969823838000016"/>
    <n v="520.29030916919999"/>
    <n v="14.872966183500001"/>
    <n v="-333.39807835696001"/>
    <n v="-26955.60840977696"/>
  </r>
  <r>
    <x v="27"/>
    <x v="13"/>
    <n v="12170.024568549999"/>
    <n v="11462.49440867"/>
    <n v="707.53015987999993"/>
    <n v="1.082463206712045"/>
    <n v="-0.5234788064783048"/>
    <n v="0.55898440023373985"/>
    <n v="7.9370778532050876E-4"/>
    <n v="5.030949855645598E-2"/>
    <n v="1.324205779548223E-3"/>
    <n v="-0.47098308307059589"/>
    <n v="13173.603820237"/>
    <n v="-6370.7499359561998"/>
    <n v="6802.8538842808002"/>
    <n v="9.6594432476000005"/>
    <n v="612.26783346349998"/>
    <n v="15.178701344"/>
    <n v="-333.234736065714"/>
    <n v="-26057.99212965972"/>
  </r>
  <r>
    <x v="27"/>
    <x v="14"/>
    <n v="12166.78011175"/>
    <n v="11459.862793709999"/>
    <n v="706.91731803999994"/>
    <n v="1.0891073781690019"/>
    <n v="-0.53937291394118059"/>
    <n v="0.54973446422782157"/>
    <n v="1.3620180550971161E-3"/>
    <n v="6.1201354487995081E-2"/>
    <n v="1.3692634798483511E-3"/>
    <n v="-0.470696453721274"/>
    <n v="13250.9299882668"/>
    <n v="-6562.4316421561998"/>
    <n v="6688.4983461106003"/>
    <n v="16.5713741846"/>
    <n v="744.62342259670004"/>
    <n v="15.6915716075"/>
    <n v="-332.74347467558198"/>
    <n v="-26153.017879356379"/>
  </r>
  <r>
    <x v="27"/>
    <x v="15"/>
    <n v="12163.10306071"/>
    <n v="11456.85265879"/>
    <n v="706.25040192000006"/>
    <n v="1.076916493110714"/>
    <n v="-0.50505630258071743"/>
    <n v="0.57186019052999615"/>
    <n v="3.7698262477374278E-3"/>
    <n v="7.3115316127789862E-2"/>
    <n v="1.426748694577902E-3"/>
    <n v="-0.47044531504240422"/>
    <n v="13098.646293484"/>
    <n v="-6143.0518597503997"/>
    <n v="6955.5944337336005"/>
    <n v="45.852785172200001"/>
    <n v="889.30912537870006"/>
    <n v="16.3460495749"/>
    <n v="-332.25219283007903"/>
    <n v="-27774.45073711003"/>
  </r>
  <r>
    <x v="27"/>
    <x v="16"/>
    <n v="12159.20971255"/>
    <n v="11453.085483950001"/>
    <n v="706.12422859999992"/>
    <n v="1.070699840846286"/>
    <n v="-0.60480341201968224"/>
    <n v="0.4658964288266037"/>
    <n v="4.095490206464783E-3"/>
    <n v="7.5250017636377495E-2"/>
    <n v="1.516956550987693E-3"/>
    <n v="-0.47110317421578712"/>
    <n v="13018.863904043899"/>
    <n v="-7353.9315216130999"/>
    <n v="5664.9323824307994"/>
    <n v="49.7979242961"/>
    <n v="914.98074531380007"/>
    <n v="17.3738330539"/>
    <n v="-332.657365484134"/>
    <n v="-23152.90090524048"/>
  </r>
  <r>
    <x v="27"/>
    <x v="17"/>
    <n v="12155.909166269999"/>
    <n v="11449.983210029999"/>
    <n v="705.92595624"/>
    <n v="1.077407834589762"/>
    <n v="-0.57680458365780807"/>
    <n v="0.5006032509319539"/>
    <n v="1.9447156770054899E-3"/>
    <n v="7.6132041497285433E-2"/>
    <n v="1.576972865915032E-3"/>
    <n v="-0.47185900992378371"/>
    <n v="13096.871772300799"/>
    <n v="-7011.5841256325002"/>
    <n v="6085.2876466682992"/>
    <n v="23.6397871239"/>
    <n v="925.45418108369995"/>
    <n v="18.0563128374"/>
    <n v="-333.09752279090662"/>
    <n v="-24637.581484717681"/>
  </r>
  <r>
    <x v="27"/>
    <x v="18"/>
    <n v="12152.987139950001"/>
    <n v="11447.187357029999"/>
    <n v="705.79978291999998"/>
    <n v="1.0929961712239129"/>
    <n v="-0.49036797465309567"/>
    <n v="0.60262819657081701"/>
    <n v="2.3822816546911212E-3"/>
    <n v="9.2675804054799124E-2"/>
    <n v="1.6992435914621701E-3"/>
    <n v="-0.47259799080543469"/>
    <n v="13283.1684128988"/>
    <n v="-5959.4356898023998"/>
    <n v="7323.7327230964002"/>
    <n v="28.9518383132"/>
    <n v="1126.2878548624999"/>
    <n v="19.4515597567"/>
    <n v="-333.55955931890401"/>
    <n v="-29937.836194605679"/>
  </r>
  <r>
    <x v="27"/>
    <x v="19"/>
    <n v="12151.18264875"/>
    <n v="11445.094469670001"/>
    <n v="706.08817907999992"/>
    <n v="1.1063674834773269"/>
    <n v="-0.54396663532534906"/>
    <n v="0.56240084815197811"/>
    <n v="4.1600282741943682E-3"/>
    <n v="0.1129557115631864"/>
    <n v="1.8345763852926421E-3"/>
    <n v="-0.47387643038574351"/>
    <n v="13443.673368370901"/>
    <n v="-6609.8379406642998"/>
    <n v="6833.8354277065991"/>
    <n v="50.549263383700008"/>
    <n v="1372.5454824238"/>
    <n v="20.996900041499998"/>
    <n v="-334.59854583999999"/>
    <n v="-29125.537934959852"/>
  </r>
  <r>
    <x v="27"/>
    <x v="20"/>
    <n v="12148.567043349991"/>
    <n v="11441.829972909991"/>
    <n v="706.73707044000002"/>
    <n v="1.1168393544894659"/>
    <n v="-0.51385556169899449"/>
    <n v="0.60298379279047176"/>
    <n v="2.3633096881591521E-3"/>
    <n v="0.1181240726350872"/>
    <n v="1.905011435216813E-3"/>
    <n v="-0.47476755839495188"/>
    <n v="13567.997774666999"/>
    <n v="-6242.6087418984998"/>
    <n v="7325.3890327685012"/>
    <n v="28.710826190799999"/>
    <n v="1435.0382158409"/>
    <n v="21.796816938199999"/>
    <n v="-335.53583336000003"/>
    <n v="-31076.463214056959"/>
  </r>
  <r>
    <x v="27"/>
    <x v="21"/>
    <n v="12149.23266804997"/>
    <n v="11442.026953849971"/>
    <n v="707.20571419999999"/>
    <n v="1.1169473190234469"/>
    <n v="-0.5446982805519418"/>
    <n v="0.57224903847150543"/>
    <n v="4.2670285568183813E-3"/>
    <n v="0.1164369025141203"/>
    <n v="1.950903116557427E-3"/>
    <n v="-0.47445294434528479"/>
    <n v="13570.052856770501"/>
    <n v="-6617.6661443123003"/>
    <n v="6952.3867124581984"/>
    <n v="51.841122738000003"/>
    <n v="1414.6190197911001"/>
    <n v="22.322286043999998"/>
    <n v="-335.53583336000003"/>
    <n v="-29720.655461464139"/>
  </r>
  <r>
    <x v="27"/>
    <x v="22"/>
    <n v="12150.13462982996"/>
    <n v="11442.33409854996"/>
    <n v="707.80053127999997"/>
    <n v="1.1028554360765901"/>
    <n v="-0.55853717026338623"/>
    <n v="0.54431826581320419"/>
    <n v="9.2897576103714054E-3"/>
    <n v="0.1268708940470295"/>
    <n v="2.0442166126720769E-3"/>
    <n v="-0.47570950837108289"/>
    <n v="13399.8420255704"/>
    <n v="-6786.3018144644002"/>
    <n v="6613.5402111060002"/>
    <n v="112.8718056445"/>
    <n v="1541.4984432783001"/>
    <n v="23.390609452"/>
    <n v="-336.70744275999999"/>
    <n v="-29166.843297978921"/>
  </r>
  <r>
    <x v="27"/>
    <x v="23"/>
    <n v="12151.01856685004"/>
    <n v="11442.33482233004"/>
    <n v="708.68374452"/>
    <n v="1.0901933544048861"/>
    <n v="-0.61254572115173656"/>
    <n v="0.47764763325314952"/>
    <n v="1.188148459223581E-2"/>
    <n v="0.12062218970306909"/>
    <n v="2.1403440672270861E-3"/>
    <n v="-0.47511664457332231"/>
    <n v="13246.959690830299"/>
    <n v="-7443.0544307593"/>
    <n v="5803.9052600709992"/>
    <n v="144.372139882"/>
    <n v="1465.6824666560999"/>
    <n v="24.490533452200001"/>
    <n v="-336.70744275999999"/>
    <n v="-26039.724176773801"/>
  </r>
  <r>
    <x v="27"/>
    <x v="24"/>
    <n v="12150.35237451003"/>
    <n v="11441.07381291003"/>
    <n v="709.27856159999999"/>
    <n v="1.069757174886333"/>
    <n v="-0.63421854205333272"/>
    <n v="0.43553863283300048"/>
    <n v="1.601145862025628E-2"/>
    <n v="0.11368753442013679"/>
    <n v="2.268506721739135E-3"/>
    <n v="-0.47471820098502748"/>
    <n v="12997.9266300293"/>
    <n v="-7705.9787683960003"/>
    <n v="5291.9478616332999"/>
    <n v="194.54486426599999"/>
    <n v="1381.3436037939"/>
    <n v="25.954152848500001"/>
    <n v="-336.70744275999999"/>
    <n v="-24042.637812535089"/>
  </r>
  <r>
    <x v="27"/>
    <x v="25"/>
    <n v="12148.803157270009"/>
    <n v="11439.380397590019"/>
    <n v="709.42275968000001"/>
    <n v="1.0440072255793651"/>
    <n v="-0.70892373421474164"/>
    <n v="0.33508349136462351"/>
    <n v="2.4367945550458989E-2"/>
    <n v="0.12650906088698771"/>
    <n v="2.4400762071939272E-3"/>
    <n v="-0.47462170922156338"/>
    <n v="12683.438278331299"/>
    <n v="-8612.5749004917016"/>
    <n v="4070.8633778395979"/>
    <n v="296.0413738396"/>
    <n v="1536.9336783271001"/>
    <n v="27.9129599332"/>
    <n v="-336.70744275999999"/>
    <n v="-20515.16113966002"/>
  </r>
  <r>
    <x v="27"/>
    <x v="26"/>
    <n v="12145.793210690001"/>
    <n v="11436.40650053"/>
    <n v="709.38671016000035"/>
    <n v="1.0395353559757929"/>
    <n v="-0.76283600109599936"/>
    <n v="0.27669935487979369"/>
    <n v="2.8545621054732542E-2"/>
    <n v="0.14041810585970871"/>
    <n v="2.5375832903591772E-3"/>
    <n v="-0.47464582848479953"/>
    <n v="12625.981468882999"/>
    <n v="-9265.2483229816989"/>
    <n v="3360.7331459013021"/>
    <n v="346.7092104015"/>
    <n v="1705.4892768088"/>
    <n v="29.020834037499998"/>
    <n v="-336.70744275999971"/>
    <n v="-18719.23175609508"/>
  </r>
  <r>
    <x v="27"/>
    <x v="27"/>
    <n v="12143.269932630001"/>
    <n v="11434.09951959"/>
    <n v="709.17041303999963"/>
    <n v="1.0350679578782509"/>
    <n v="-0.72392238979995094"/>
    <n v="0.31114556807830013"/>
    <n v="3.0773035842222029E-2"/>
    <n v="0.14095488942616199"/>
    <n v="2.6500225466015979E-3"/>
    <n v="-0.47412976178552901"/>
    <n v="12569.1096111317"/>
    <n v="-8790.7849896153984"/>
    <n v="3778.3246215163022"/>
    <n v="373.6852808786"/>
    <n v="1711.6532706258999"/>
    <n v="30.300621527000001"/>
    <n v="-336.23879900000031"/>
    <n v="-20378.324983677121"/>
  </r>
  <r>
    <x v="27"/>
    <x v="28"/>
    <n v="12141.015615329999"/>
    <n v="11432.16964797"/>
    <n v="708.84596736000003"/>
    <n v="1.0322543264584181"/>
    <n v="-0.80878281695175158"/>
    <n v="0.2234715095066663"/>
    <n v="3.6027928216622332E-2"/>
    <n v="0.15174620421948321"/>
    <n v="2.7716173788959108E-3"/>
    <n v="-0.47368563933646979"/>
    <n v="12532.615896523601"/>
    <n v="-9819.4448100217996"/>
    <n v="2713.1710865018008"/>
    <n v="437.41563906599998"/>
    <n v="1842.3530349958"/>
    <n v="31.6856000748"/>
    <n v="-335.77015524000001"/>
    <n v="-17192.46908646237"/>
  </r>
  <r>
    <x v="27"/>
    <x v="29"/>
    <n v="12139.211917029999"/>
    <n v="11430.54619727"/>
    <n v="708.66571976"/>
    <n v="1.0430719707467491"/>
    <n v="-0.90189073041662626"/>
    <n v="0.14118124033012261"/>
    <n v="3.6496573022764628E-2"/>
    <n v="0.15016679401921959"/>
    <n v="2.8425268145419072E-3"/>
    <n v="-0.47380612025894731"/>
    <n v="12662.071697608901"/>
    <n v="-10948.2427025324"/>
    <n v="1713.8289950765011"/>
    <n v="443.03963416869999"/>
    <n v="1822.9065355002999"/>
    <n v="32.4916340706"/>
    <n v="-335.77015524000001"/>
    <n v="-13480.4876931136"/>
  </r>
  <r>
    <x v="27"/>
    <x v="30"/>
    <n v="12137.84973118"/>
    <n v="11429.13894952"/>
    <n v="708.71078165999995"/>
    <n v="1.043189030844752"/>
    <n v="-0.74712917224345032"/>
    <n v="0.29605985860130191"/>
    <n v="3.2184566594442597E-2"/>
    <n v="0.1438033518091521"/>
    <n v="2.7406584139757538E-3"/>
    <n v="-0.47582590758126891"/>
    <n v="12662.071697608901"/>
    <n v="-9068.5416224718992"/>
    <n v="3593.5300751370009"/>
    <n v="390.65143298650003"/>
    <n v="1745.4634750995001"/>
    <n v="31.323365826500002"/>
    <n v="-337.22295089599999"/>
    <n v="-19887.066459897978"/>
  </r>
  <r>
    <x v="27"/>
    <x v="31"/>
    <n v="12137.217909999999"/>
    <n v="11428.37194264"/>
    <n v="708.84596736000003"/>
    <n v="1.0432433356227759"/>
    <n v="-0.85079296941985949"/>
    <n v="0.19245036620291681"/>
    <n v="3.0028239490066139E-2"/>
    <n v="0.13711068745962721"/>
    <n v="2.6799018916709369E-3"/>
    <n v="-0.48201595600313862"/>
    <n v="12662.071697608901"/>
    <n v="-10326.259666144801"/>
    <n v="2335.8120314641001"/>
    <n v="364.45928614460001"/>
    <n v="1664.1422914873999"/>
    <n v="30.626915587799999"/>
    <n v="-341.67506661599998"/>
    <n v="-14862.34001291698"/>
  </r>
  <r>
    <x v="27"/>
    <x v="32"/>
    <n v="12136.342754560001"/>
    <n v="11427.2714777"/>
    <n v="709.07127686000001"/>
    <n v="1.0433185642232601"/>
    <n v="-0.88946027724190302"/>
    <n v="0.1538582869813567"/>
    <n v="2.886519686022173E-2"/>
    <n v="0.13700550181999879"/>
    <n v="2.601901980662874E-3"/>
    <n v="-0.47260982768896642"/>
    <n v="12662.071697608901"/>
    <n v="-10794.794791173699"/>
    <n v="1867.276906435201"/>
    <n v="350.31792277350002"/>
    <n v="1662.7457293479999"/>
    <n v="29.732640291399999"/>
    <n v="-335.11405397599998"/>
    <n v="-13108.1835311989"/>
  </r>
  <r>
    <x v="27"/>
    <x v="33"/>
    <n v="12135.33311874"/>
    <n v="11425.982458099999"/>
    <n v="709.35066064"/>
    <n v="1.043405366273422"/>
    <n v="-0.73719153138189752"/>
    <n v="0.30621383489152459"/>
    <n v="2.6175957900188378E-2"/>
    <n v="0.13194646544470409"/>
    <n v="2.5231214963193568E-3"/>
    <n v="-0.47209335336892511"/>
    <n v="12662.071697608901"/>
    <n v="-8946.0648056333994"/>
    <n v="3716.0068919755008"/>
    <n v="317.65396882089999"/>
    <n v="1601.2143120118001"/>
    <n v="28.829141956600001"/>
    <n v="-334.879732096"/>
    <n v="-19539.023469787378"/>
  </r>
  <r>
    <x v="28"/>
    <x v="0"/>
    <n v="8690.7240000000002"/>
    <n v="8376.2780000000002"/>
    <n v="314.44600000000003"/>
    <n v="1.034360528150388"/>
    <n v="-9.5498808844924777E-3"/>
    <n v="1.024810647265896"/>
    <s v="NaN"/>
    <s v="NaN"/>
    <n v="6.8698655100725634E-2"/>
    <n v="-0.67999999999999994"/>
    <n v="8989.3418666492544"/>
    <n v="-82.995379"/>
    <n v="8906.3464876492544"/>
    <s v="NaN"/>
    <s v="NaN"/>
    <n v="575.43903334979598"/>
    <n v="-213.82328000000001"/>
    <n v="-33982.528216999614"/>
  </r>
  <r>
    <x v="28"/>
    <x v="1"/>
    <n v="8703.1239999999998"/>
    <n v="8387.3760000000002"/>
    <n v="315.74799999999988"/>
    <n v="0.79843597773020925"/>
    <n v="-7.598409145957245E-3"/>
    <n v="0.79083756858425203"/>
    <s v="NaN"/>
    <s v="NaN"/>
    <n v="6.6993078978760071E-2"/>
    <n v="-0.68"/>
    <n v="6948.8873202472496"/>
    <n v="-66.129897"/>
    <n v="6882.7574232472498"/>
    <s v="NaN"/>
    <s v="NaN"/>
    <n v="561.8961427925567"/>
    <n v="-214.70864"/>
    <n v="-26509.798062148369"/>
  </r>
  <r>
    <x v="28"/>
    <x v="2"/>
    <n v="8715.0239999999994"/>
    <n v="8397.9740000000002"/>
    <n v="317.04999999999978"/>
    <n v="0.13796849889162399"/>
    <n v="-7.3923709217553514E-3"/>
    <n v="0.13057612796986859"/>
    <s v="NaN"/>
    <s v="NaN"/>
    <n v="6.7791079381251493E-2"/>
    <n v="-0.68000000000000016"/>
    <n v="1202.398779084476"/>
    <n v="-64.424689999999998"/>
    <n v="1137.974089084476"/>
    <s v="NaN"/>
    <s v="NaN"/>
    <n v="569.30772207568612"/>
    <n v="-215.59399999999991"/>
    <n v="-5469.5219742544268"/>
  </r>
  <r>
    <x v="28"/>
    <x v="3"/>
    <n v="8715.0240000000013"/>
    <n v="8396.6720000000005"/>
    <n v="318.35199999999992"/>
    <n v="0.35570601276354619"/>
    <n v="-3.4017990082414002E-4"/>
    <n v="0.35536583286272211"/>
    <s v="NaN"/>
    <s v="NaN"/>
    <n v="6.3788463110601629E-2"/>
    <n v="-0.67999999999999994"/>
    <n v="3099.9864381786119"/>
    <n v="-2.9646759999999999"/>
    <n v="3097.0217621786119"/>
    <s v="NaN"/>
    <s v="NaN"/>
    <n v="535.6108021238216"/>
    <n v="-216.4793599999999"/>
    <n v="-12525.8950824434"/>
  </r>
  <r>
    <x v="28"/>
    <x v="4"/>
    <n v="8724.2170000000006"/>
    <n v="8404.5630000000001"/>
    <n v="319.65399999999983"/>
    <n v="0.33290736252045489"/>
    <n v="-5.8613257785770341E-3"/>
    <n v="0.32704603674187788"/>
    <s v="NaN"/>
    <s v="NaN"/>
    <n v="6.4573708987567022E-2"/>
    <n v="-0.68"/>
    <n v="2904.356071526116"/>
    <n v="-51.135477999999999"/>
    <n v="2853.2205935261159"/>
    <s v="NaN"/>
    <s v="NaN"/>
    <n v="542.71380532967328"/>
    <n v="-217.36471999999989"/>
    <n v="-11654.75548913895"/>
  </r>
  <r>
    <x v="28"/>
    <x v="5"/>
    <n v="8741.5300000000007"/>
    <n v="8420.5740000000005"/>
    <n v="320.95599999999968"/>
    <n v="0.66780853214670677"/>
    <n v="-1.050352112273252E-2"/>
    <n v="0.65730501102397421"/>
    <s v="NaN"/>
    <s v="NaN"/>
    <n v="6.55755144731201E-2"/>
    <n v="-0.68000000000000016"/>
    <n v="5837.6683180164018"/>
    <n v="-91.816845000000001"/>
    <n v="5745.8514730164025"/>
    <s v="NaN"/>
    <s v="NaN"/>
    <n v="552.18347220897886"/>
    <n v="-218.2500799999998"/>
    <n v="-22292.54450582842"/>
  </r>
  <r>
    <x v="28"/>
    <x v="6"/>
    <n v="8778.7060000000001"/>
    <n v="8456.4480000000003"/>
    <n v="322.25799999999958"/>
    <n v="1.214077868101918"/>
    <n v="-2.219512978336443E-2"/>
    <n v="1.191882738318554"/>
    <s v="NaN"/>
    <s v="NaN"/>
    <n v="7.2211863513231098E-2"/>
    <n v="-0.68000000000000027"/>
    <n v="10658.032665173519"/>
    <n v="-194.84451899999999"/>
    <n v="10463.188146173519"/>
    <s v="NaN"/>
    <s v="NaN"/>
    <n v="610.65586878273609"/>
    <n v="-219.13543999999979"/>
    <n v="-39800.598108176549"/>
  </r>
  <r>
    <x v="28"/>
    <x v="7"/>
    <n v="8809.4290000000001"/>
    <n v="8485.8690000000006"/>
    <n v="323.5599999999996"/>
    <n v="1.1864443012852799"/>
    <n v="-1.8417022147519439E-2"/>
    <n v="1.1680272791377599"/>
    <s v="NaN"/>
    <s v="NaN"/>
    <n v="7.7494405389319176E-2"/>
    <n v="-0.68"/>
    <n v="10451.89683462728"/>
    <n v="-162.243449"/>
    <n v="10289.65338562728"/>
    <s v="NaN"/>
    <s v="NaN"/>
    <n v="657.60737236665659"/>
    <n v="-220.02079999999981"/>
    <n v="-39333.213179314676"/>
  </r>
  <r>
    <x v="28"/>
    <x v="8"/>
    <n v="8861.2450000000008"/>
    <n v="8535.5045000000009"/>
    <n v="325.74049999999949"/>
    <n v="1.332214685102171"/>
    <n v="-3.0591196045250971E-2"/>
    <n v="1.30162348905692"/>
    <s v="NaN"/>
    <s v="NaN"/>
    <n v="9.0723354138060847E-2"/>
    <n v="-0.67999999999999994"/>
    <n v="11805.08071728819"/>
    <n v="-271.07608299999998"/>
    <n v="11534.004634288191"/>
    <s v="NaN"/>
    <s v="NaN"/>
    <n v="774.3695975005121"/>
    <n v="-221.5035399999997"/>
    <n v="-44318.525869895937"/>
  </r>
  <r>
    <x v="28"/>
    <x v="9"/>
    <n v="8877.1419999999998"/>
    <n v="8549.2209999999995"/>
    <n v="327.92099999999948"/>
    <n v="1.2099969525992491"/>
    <n v="-9.5157353571678812E-3"/>
    <n v="1.2004812172420809"/>
    <s v="NaN"/>
    <s v="NaN"/>
    <n v="8.7486708900672491E-2"/>
    <n v="-0.68"/>
    <n v="10741.3147677908"/>
    <n v="-84.472533999999996"/>
    <n v="10656.8422337908"/>
    <s v="NaN"/>
    <s v="NaN"/>
    <n v="747.94320895451619"/>
    <n v="-222.98627999999971"/>
    <n v="-40999.930263403228"/>
  </r>
  <r>
    <x v="28"/>
    <x v="10"/>
    <n v="8903.5549999999985"/>
    <n v="8573.4534999999996"/>
    <n v="330.10149999999942"/>
    <n v="1.0955850197836201"/>
    <n v="-1.579368836380525E-2"/>
    <n v="1.079791331419814"/>
    <s v="NaN"/>
    <s v="NaN"/>
    <n v="8.9598376995120493E-2"/>
    <n v="-0.67999999999999994"/>
    <n v="9754.6014808195432"/>
    <n v="-140.61997299999999"/>
    <n v="9613.9815078195425"/>
    <s v="NaN"/>
    <s v="NaN"/>
    <n v="768.16751884313521"/>
    <n v="-224.4690199999996"/>
    <n v="-37244.826691099857"/>
  </r>
  <r>
    <x v="28"/>
    <x v="11"/>
    <n v="8915.628999999999"/>
    <n v="8584.9793200000004"/>
    <n v="330.64967999999942"/>
    <n v="0.83959252463218592"/>
    <n v="-7.3242860374741941E-3"/>
    <n v="0.83226823859471177"/>
    <s v="NaN"/>
    <s v="NaN"/>
    <n v="9.3391797553513914E-2"/>
    <n v="-0.68"/>
    <n v="7485.4954607939308"/>
    <n v="-65.300617000000003"/>
    <n v="7420.1948437939309"/>
    <s v="NaN"/>
    <s v="NaN"/>
    <n v="801.76665065454358"/>
    <n v="-224.8417823999996"/>
    <n v="-29322.772277513741"/>
  </r>
  <r>
    <x v="28"/>
    <x v="12"/>
    <n v="8968.1570000000011"/>
    <n v="8636.9591400000008"/>
    <n v="331.19785999999942"/>
    <n v="1.1054929378675959"/>
    <n v="-3.0598120884815019E-2"/>
    <n v="1.074894816982781"/>
    <s v="NaN"/>
    <s v="NaN"/>
    <n v="0.1032765122571228"/>
    <n v="-0.68"/>
    <n v="9914.2342291878504"/>
    <n v="-274.40875199999999"/>
    <n v="9639.825477187851"/>
    <s v="NaN"/>
    <s v="NaN"/>
    <n v="891.99501648647856"/>
    <n v="-225.2145447999996"/>
    <n v="-37790.888479209323"/>
  </r>
  <r>
    <x v="28"/>
    <x v="13"/>
    <n v="9031.0889999999999"/>
    <n v="8699.3429599999999"/>
    <n v="331.74603999999943"/>
    <n v="1.1507640207145939"/>
    <n v="-3.6512500651914741E-2"/>
    <n v="1.114251520062679"/>
    <s v="NaN"/>
    <s v="NaN"/>
    <n v="0.11551487727312031"/>
    <n v="-0.67999999999999994"/>
    <n v="10392.65228907134"/>
    <n v="-329.74764299999998"/>
    <n v="10062.90464607134"/>
    <s v="NaN"/>
    <s v="NaN"/>
    <n v="1004.903534381183"/>
    <n v="-225.5873071999996"/>
    <n v="-39754.809868596203"/>
  </r>
  <r>
    <x v="28"/>
    <x v="14"/>
    <n v="9106.3649999999998"/>
    <n v="8774.393610000001"/>
    <n v="331.97138999999942"/>
    <n v="1.451852408058981"/>
    <n v="-4.321535804901297E-2"/>
    <n v="1.408637050009969"/>
    <s v="NaN"/>
    <s v="NaN"/>
    <n v="0.12558206272722139"/>
    <n v="-0.67999999999999994"/>
    <n v="13221.09795391403"/>
    <n v="-393.53482400000001"/>
    <n v="12827.56312991403"/>
    <s v="NaN"/>
    <s v="NaN"/>
    <n v="1101.90644872435"/>
    <n v="-225.74054519999959"/>
    <n v="-50247.00645594528"/>
  </r>
  <r>
    <x v="28"/>
    <x v="15"/>
    <n v="9152.9049999999988"/>
    <n v="8820.7082599999994"/>
    <n v="332.19673999999941"/>
    <n v="1.4202527158100491"/>
    <n v="-2.6621405553755889E-2"/>
    <n v="1.3936313102562929"/>
    <s v="NaN"/>
    <s v="NaN"/>
    <n v="0.13088124943616139"/>
    <n v="-0.68"/>
    <n v="12999.43818380138"/>
    <n v="-243.663196"/>
    <n v="12755.77498780138"/>
    <s v="NaN"/>
    <s v="NaN"/>
    <n v="1154.4653179806701"/>
    <n v="-225.8937831999996"/>
    <n v="-50175.937249472066"/>
  </r>
  <r>
    <x v="28"/>
    <x v="16"/>
    <n v="9164.0840000000007"/>
    <n v="8831.6619100000007"/>
    <n v="332.4220899999994"/>
    <n v="1.217180126230212"/>
    <n v="-6.654585226412154E-3"/>
    <n v="1.2105255410038001"/>
    <s v="NaN"/>
    <s v="NaN"/>
    <n v="0.1332300036196738"/>
    <n v="-0.68"/>
    <n v="11154.340919904271"/>
    <n v="-60.983178000000002"/>
    <n v="11093.35774190427"/>
    <s v="NaN"/>
    <s v="NaN"/>
    <n v="1176.6423482370351"/>
    <n v="-226.04702119999959"/>
    <n v="-44161.161252788806"/>
  </r>
  <r>
    <x v="28"/>
    <x v="17"/>
    <n v="9224.11"/>
    <n v="8890.4742300000016"/>
    <n v="333.63576999999941"/>
    <n v="1.0075704178042619"/>
    <n v="-3.4063883561666113E-2"/>
    <n v="0.97350653424259626"/>
    <s v="NaN"/>
    <s v="NaN"/>
    <n v="0.1423188798454936"/>
    <n v="-0.68"/>
    <n v="9293.9403665724749"/>
    <n v="-314.20900899999998"/>
    <n v="8979.7313575724747"/>
    <s v="NaN"/>
    <s v="NaN"/>
    <n v="1265.2823337088271"/>
    <n v="-226.87232359999959"/>
    <n v="-36733.18501483478"/>
  </r>
  <r>
    <x v="28"/>
    <x v="18"/>
    <n v="9251.4030000000002"/>
    <n v="8916.5535500000005"/>
    <n v="334.84944999999942"/>
    <n v="0.99904504996563959"/>
    <n v="-1.5638521205918719E-2"/>
    <n v="0.9834065287597209"/>
    <s v="NaN"/>
    <s v="NaN"/>
    <n v="0.1401131513911027"/>
    <n v="-0.68"/>
    <n v="9242.568372387268"/>
    <n v="-144.67826199999999"/>
    <n v="9097.8901103872686"/>
    <s v="NaN"/>
    <s v="NaN"/>
    <n v="1249.326417438024"/>
    <n v="-227.69762599999959"/>
    <n v="-37104.902640029453"/>
  </r>
  <r>
    <x v="28"/>
    <x v="19"/>
    <n v="9275.7839999999997"/>
    <n v="8939.720870000001"/>
    <n v="336.06312999999932"/>
    <n v="0.94701559804124757"/>
    <n v="-1.398202125017141E-2"/>
    <n v="0.93303357679107624"/>
    <n v="3.6303859699769847E-2"/>
    <s v="NaN"/>
    <n v="0.14302785321416589"/>
    <n v="-0.68"/>
    <n v="8784.3121320614355"/>
    <n v="-129.694209"/>
    <n v="8654.6179230614362"/>
    <n v="336.74676094136998"/>
    <s v="NaN"/>
    <n v="1278.629084369976"/>
    <n v="-228.52292839999961"/>
    <n v="-36818.72641323688"/>
  </r>
  <r>
    <x v="28"/>
    <x v="20"/>
    <n v="9304.7609999999986"/>
    <n v="8969.1498599999995"/>
    <n v="335.6111399999993"/>
    <n v="0.8933382568912086"/>
    <n v="-1.6447883400766559E-2"/>
    <n v="0.87689037349044197"/>
    <n v="3.640756149893265E-2"/>
    <s v="NaN"/>
    <n v="0.14067468851466189"/>
    <n v="-0.68000000000000016"/>
    <n v="8312.2989725292973"/>
    <n v="-153.04362399999999"/>
    <n v="8159.2553485292974"/>
    <n v="338.76365834037"/>
    <s v="NaN"/>
    <n v="1261.7323627968231"/>
    <n v="-228.21557519999959"/>
    <n v="-34948.96457971364"/>
  </r>
  <r>
    <x v="28"/>
    <x v="21"/>
    <n v="9329.1749999999993"/>
    <n v="8994.0158499999998"/>
    <n v="335.15914999999939"/>
    <n v="1.0896876937635911"/>
    <n v="-1.3899224100737739E-2"/>
    <n v="1.075788469662853"/>
    <n v="-3.8752337784948832E-3"/>
    <s v="NaN"/>
    <n v="0.1382000459575255"/>
    <n v="-0.68"/>
    <n v="10165.88719046695"/>
    <n v="-129.668294"/>
    <n v="10036.218896466949"/>
    <n v="-36.152734085490003"/>
    <s v="NaN"/>
    <n v="1242.9734038127131"/>
    <n v="-227.9082219999996"/>
    <n v="-40388.814928715627"/>
  </r>
  <r>
    <x v="28"/>
    <x v="22"/>
    <n v="9353.7309999999998"/>
    <n v="9019.0238399999998"/>
    <n v="334.70715999999942"/>
    <n v="1.073934215625328"/>
    <n v="-1.38810206323017E-2"/>
    <n v="1.060053194993027"/>
    <n v="2.2448460201048119E-2"/>
    <s v="NaN"/>
    <n v="0.1382964418287273"/>
    <n v="-0.67999999999999994"/>
    <n v="10045.29176465532"/>
    <n v="-129.83933300000001"/>
    <n v="9915.4524316553197"/>
    <n v="209.97685808481"/>
    <s v="NaN"/>
    <n v="1247.2989058404651"/>
    <n v="-227.60086879999949"/>
    <n v="-40865.466864865899"/>
  </r>
  <r>
    <x v="28"/>
    <x v="23"/>
    <n v="9369.4030000000002"/>
    <n v="9034.6395000000011"/>
    <n v="334.7634999999994"/>
    <n v="1.1274976472384459"/>
    <n v="-8.9444254879419739E-3"/>
    <n v="1.1185532217505041"/>
    <n v="2.347613211747003E-2"/>
    <s v="NaN"/>
    <n v="0.1437066608826556"/>
    <n v="-0.68"/>
    <n v="10563.97983852884"/>
    <n v="-83.803927000000002"/>
    <n v="10480.175911528841"/>
    <n v="219.95734268982011"/>
    <s v="NaN"/>
    <n v="1298.337874823545"/>
    <n v="-227.63917999999961"/>
    <n v="-43159.717146492003"/>
  </r>
  <r>
    <x v="28"/>
    <x v="24"/>
    <n v="9382.5780000000013"/>
    <n v="9047.7581600000012"/>
    <n v="334.81983999999937"/>
    <n v="0.91159969208842484"/>
    <n v="-7.7055226186235814E-3"/>
    <n v="0.90389416946980117"/>
    <n v="4.2368630276109598E-2"/>
    <s v="NaN"/>
    <n v="0.14421539513218229"/>
    <n v="-0.68"/>
    <n v="8553.1552157956303"/>
    <n v="-72.297667000000004"/>
    <n v="8480.8575487956296"/>
    <n v="397.52697831875997"/>
    <s v="NaN"/>
    <n v="1304.826018104827"/>
    <n v="-227.67749119999959"/>
    <n v="-36503.621198073772"/>
  </r>
  <r>
    <x v="28"/>
    <x v="25"/>
    <n v="9395.1710000000003"/>
    <n v="9060.294820000001"/>
    <n v="334.87617999999952"/>
    <n v="0.79146082455137579"/>
    <n v="-7.3542645471806733E-3"/>
    <n v="0.7841065600041951"/>
    <n v="4.1817683122809569E-2"/>
    <s v="NaN"/>
    <n v="0.14451357671203979"/>
    <n v="-0.67999999999999994"/>
    <n v="7435.909786461174"/>
    <n v="-69.094572999999997"/>
    <n v="7366.8152134611737"/>
    <n v="392.88428376260993"/>
    <s v="NaN"/>
    <n v="1309.3356105037669"/>
    <n v="-227.7158023999996"/>
    <n v="-32418.170786203958"/>
  </r>
  <r>
    <x v="28"/>
    <x v="26"/>
    <n v="9381.9790000000012"/>
    <n v="9047.0464800000009"/>
    <n v="334.93251999999939"/>
    <n v="0.97066032448439254"/>
    <n v="-2.4693608565953942E-4"/>
    <n v="0.97041338839873303"/>
    <n v="0.17517164670673641"/>
    <s v="NaN"/>
    <n v="0.14069294542018251"/>
    <n v="-0.67999999999999994"/>
    <n v="9106.7147804457582"/>
    <n v="-2.31674917"/>
    <n v="9104.3980312757576"/>
    <n v="1643.4567107980199"/>
    <s v="NaN"/>
    <n v="1272.8556166244939"/>
    <n v="-227.75411359999961"/>
    <n v="-43240.839565364273"/>
  </r>
  <r>
    <x v="28"/>
    <x v="27"/>
    <n v="9425.7299999999977"/>
    <n v="9091.619639999999"/>
    <n v="334.11035999999939"/>
    <n v="0.96301425060029622"/>
    <n v="-2.465872160564752E-2"/>
    <n v="0.9383555289946488"/>
    <n v="0.1328082995126659"/>
    <s v="NaN"/>
    <n v="0.14113990137254259"/>
    <n v="-0.68"/>
    <n v="9077.1123123107282"/>
    <n v="-232.42645200000001"/>
    <n v="8844.6858603107285"/>
    <n v="1251.8151729655201"/>
    <s v="NaN"/>
    <n v="1283.1902993062711"/>
    <n v="-227.19504479999961"/>
    <n v="-40892.486388539633"/>
  </r>
  <r>
    <x v="28"/>
    <x v="28"/>
    <n v="9434.0779999999995"/>
    <n v="9100.7898000000005"/>
    <n v="333.28819999999951"/>
    <n v="0.96795720080109637"/>
    <n v="-4.8593656953016514E-3"/>
    <n v="0.96309783510579483"/>
    <n v="8.0467924570452987E-2"/>
    <s v="NaN"/>
    <n v="0.12606452580527561"/>
    <n v="-0.67999999999999994"/>
    <n v="9131.7837330192051"/>
    <n v="-45.843635000000013"/>
    <n v="9085.9400980192058"/>
    <n v="759.14067689576996"/>
    <s v="NaN"/>
    <n v="1147.286750590489"/>
    <n v="-226.6359759999996"/>
    <n v="-39474.349014856962"/>
  </r>
  <r>
    <x v="28"/>
    <x v="29"/>
    <n v="9439.1219999999994"/>
    <n v="9106.6559600000001"/>
    <n v="332.46603999999951"/>
    <n v="0.40265781514332522"/>
    <n v="-3.058474082653027E-3"/>
    <n v="0.39959934106067208"/>
    <n v="0.1230455642143559"/>
    <s v="NaN"/>
    <n v="0.12399031365471511"/>
    <n v="-0.68"/>
    <n v="3800.7362413912929"/>
    <n v="-28.869309999999999"/>
    <n v="3771.8669313912928"/>
    <n v="1161.44209217814"/>
    <s v="NaN"/>
    <n v="1129.13712882598"/>
    <n v="-226.07690719999971"/>
    <n v="-21400.02056571846"/>
  </r>
  <r>
    <x v="28"/>
    <x v="30"/>
    <n v="9442.8739999999998"/>
    <n v="9110.3516199999995"/>
    <n v="332.5223799999996"/>
    <n v="0.42284437192603141"/>
    <n v="-2.2509548470095011E-3"/>
    <n v="0.42059341707902193"/>
    <n v="0.1296294936115297"/>
    <n v="3.1769988670822042E-4"/>
    <n v="0.1175584362009824"/>
    <n v="-0.67999999999999994"/>
    <n v="3992.8661257066519"/>
    <n v="-21.255483000000002"/>
    <n v="3971.610642706652"/>
    <n v="1224.0749748574799"/>
    <n v="3"/>
    <n v="1070.998689688287"/>
    <n v="-226.11521839999969"/>
    <n v="-22159.75332579422"/>
  </r>
  <r>
    <x v="28"/>
    <x v="31"/>
    <n v="9450.1119999999992"/>
    <n v="9115.15128"/>
    <n v="334.96071999999958"/>
    <n v="0.43143216025001419"/>
    <n v="-4.2077782781833701E-3"/>
    <n v="0.42722438197183082"/>
    <n v="0.12809355198195749"/>
    <s v="NaN"/>
    <n v="0.11179764243155289"/>
    <n v="-0.67999999999999994"/>
    <n v="4077.0822347645822"/>
    <n v="-39.763976"/>
    <n v="4037.318258764582"/>
    <n v="1210.4984127073201"/>
    <s v="NaN"/>
    <n v="1019.0524235109521"/>
    <n v="-227.77328959999971"/>
    <n v="-22143.35128640581"/>
  </r>
  <r>
    <x v="28"/>
    <x v="32"/>
    <n v="9464.0629999999983"/>
    <n v="9126.6639399999985"/>
    <n v="337.39905999999962"/>
    <n v="0.76685344666281352"/>
    <n v="-8.1627325388683499E-3"/>
    <n v="0.75869071412394518"/>
    <n v="0.1592856669929554"/>
    <s v="NaN"/>
    <n v="0.1054961176358061"/>
    <n v="-0.67999999999999994"/>
    <n v="7257.5493309840058"/>
    <n v="-77.252614999999992"/>
    <n v="7180.2967159840045"/>
    <n v="1507.4895874183501"/>
    <s v="NaN"/>
    <n v="962.82761263670966"/>
    <n v="-229.43136079999971"/>
    <n v="-34544.336035879707"/>
  </r>
  <r>
    <x v="28"/>
    <x v="33"/>
    <n v="9434.9319145664304"/>
    <n v="9095.09451456643"/>
    <n v="339.83739999999972"/>
    <n v="1.02029081758623"/>
    <n v="-3.5166647836403289E-4"/>
    <n v="1.019939151107865"/>
    <n v="8.1882963679069845E-2"/>
    <s v="NaN"/>
    <n v="9.0895480620385397E-2"/>
    <n v="-0.67999999999999994"/>
    <n v="9626.3743969833922"/>
    <n v="-3.3179492800000001"/>
    <n v="9623.0564477033913"/>
    <n v="772.56018727493995"/>
    <s v="NaN"/>
    <n v="826.70298718934646"/>
    <n v="-231.08943199999979"/>
    <n v="-40301.177363951807"/>
  </r>
  <r>
    <x v="29"/>
    <x v="0"/>
    <n v="4147.9945877601631"/>
    <n v="4147.9945877601631"/>
    <s v="NaN"/>
    <n v="1.474501001095927"/>
    <n v="-1.4633964013125691"/>
    <n v="1.1104599783358151E-2"/>
    <s v="NaN"/>
    <n v="3.0890832058952651E-3"/>
    <n v="0.1060220737103096"/>
    <s v="NaN"/>
    <n v="6116.2221721928463"/>
    <n v="-6070.160352392234"/>
    <n v="46.061819800612277"/>
    <s v="NaN"/>
    <n v="12.813500419194369"/>
    <n v="439.77898793347322"/>
    <s v="NaN"/>
    <n v="-1828.3991298955259"/>
  </r>
  <r>
    <x v="29"/>
    <x v="1"/>
    <n v="4156.8622523663744"/>
    <n v="4156.8622523663744"/>
    <s v="NaN"/>
    <n v="1.4881509700503319"/>
    <n v="-1.430958261964457"/>
    <n v="5.7192708085875683E-2"/>
    <s v="NaN"/>
    <n v="3.0843911086654882E-3"/>
    <n v="0.10583450433574031"/>
    <s v="NaN"/>
    <n v="6186.0385932246299"/>
    <n v="-5948.2963838718442"/>
    <n v="237.74220935278569"/>
    <s v="NaN"/>
    <n v="12.821388971146041"/>
    <n v="439.93945607114438"/>
    <s v="NaN"/>
    <n v="-2531.844532782176"/>
  </r>
  <r>
    <x v="29"/>
    <x v="2"/>
    <n v="4165.7299169725957"/>
    <n v="4165.7299169725957"/>
    <s v="NaN"/>
    <n v="1.5017428251332201"/>
    <n v="-1.3823132109143621"/>
    <n v="0.1194296142188582"/>
    <s v="NaN"/>
    <n v="3.0797189877401531E-3"/>
    <n v="0.10564773352580981"/>
    <s v="NaN"/>
    <n v="6255.8550142564009"/>
    <n v="-5758.3434973324074"/>
    <n v="497.51151692399338"/>
    <s v="NaN"/>
    <n v="12.82927752309771"/>
    <n v="440.09992420881463"/>
    <s v="NaN"/>
    <n v="-3484.949301738638"/>
  </r>
  <r>
    <x v="29"/>
    <x v="3"/>
    <n v="4174.597581578817"/>
    <n v="4174.597581578817"/>
    <s v="NaN"/>
    <n v="1.5152769366804071"/>
    <n v="-1.3732528276408911"/>
    <n v="0.14202410903951551"/>
    <s v="NaN"/>
    <n v="3.0750667158184909E-3"/>
    <n v="0.1054617561915947"/>
    <s v="NaN"/>
    <n v="6325.6714352881836"/>
    <n v="-5732.7779331659358"/>
    <n v="592.89350212224781"/>
    <s v="NaN"/>
    <n v="12.837166075049391"/>
    <n v="440.2603923464859"/>
    <s v="NaN"/>
    <n v="-3835.300555327553"/>
  </r>
  <r>
    <x v="29"/>
    <x v="4"/>
    <n v="4183.4652461850274"/>
    <n v="4183.4652461850274"/>
    <s v="NaN"/>
    <n v="1.5287536718877039"/>
    <n v="-1.336429466544087"/>
    <n v="0.19232420534361661"/>
    <s v="NaN"/>
    <n v="3.070434166679091E-3"/>
    <n v="0.10527656728731841"/>
    <s v="NaN"/>
    <n v="6395.4878563199563"/>
    <n v="-5590.9062272647834"/>
    <n v="804.58162905517293"/>
    <s v="NaN"/>
    <n v="12.84505462700106"/>
    <n v="440.42086048415621"/>
    <s v="NaN"/>
    <n v="-4612.1076619436299"/>
  </r>
  <r>
    <x v="29"/>
    <x v="5"/>
    <n v="4192.3329107912487"/>
    <n v="4192.3329107912487"/>
    <s v="NaN"/>
    <n v="1.542173394844137"/>
    <n v="-1.2903512016941669"/>
    <n v="0.25182219314996979"/>
    <s v="NaN"/>
    <n v="3.0658212151684571E-3"/>
    <n v="0.10509216180989631"/>
    <s v="NaN"/>
    <n v="6465.3042773517409"/>
    <n v="-5409.5818093414919"/>
    <n v="1055.722468010249"/>
    <s v="NaN"/>
    <n v="12.85294317895274"/>
    <n v="440.58132862182742"/>
    <s v="NaN"/>
    <n v="-5533.5747126409433"/>
  </r>
  <r>
    <x v="29"/>
    <x v="6"/>
    <n v="4204.36160494466"/>
    <n v="4204.36160494466"/>
    <s v="NaN"/>
    <n v="1.5506016254756301"/>
    <n v="-1.3983967808989779"/>
    <n v="0.15220484457665179"/>
    <s v="NaN"/>
    <n v="3.2742710586031892E-3"/>
    <n v="0.1022969206447958"/>
    <s v="NaN"/>
    <n v="6519.2899387145189"/>
    <n v="-5879.3657340898744"/>
    <n v="639.92420462464452"/>
    <s v="NaN"/>
    <n v="13.76621952297276"/>
    <n v="430.09324546305038"/>
    <s v="NaN"/>
    <n v="-3973.8734552394758"/>
  </r>
  <r>
    <x v="29"/>
    <x v="7"/>
    <n v="4216.3902990980723"/>
    <n v="4216.3902990980723"/>
    <s v="NaN"/>
    <n v="1.5589817672911821"/>
    <n v="-1.3934321027368"/>
    <n v="0.16554966455438161"/>
    <s v="NaN"/>
    <n v="3.481531553218154E-3"/>
    <n v="9.9517628240922515E-2"/>
    <s v="NaN"/>
    <n v="6573.275600077307"/>
    <n v="-5875.2536004312724"/>
    <n v="698.0219996460346"/>
    <s v="NaN"/>
    <n v="14.67949586699287"/>
    <n v="419.60516230427407"/>
    <s v="NaN"/>
    <n v="-4151.7910786638167"/>
  </r>
  <r>
    <x v="29"/>
    <x v="8"/>
    <n v="4228.4189932514728"/>
    <n v="4228.4189932514728"/>
    <s v="NaN"/>
    <n v="1.56731423068933"/>
    <n v="-1.3488908333864209"/>
    <n v="0.21842339730290941"/>
    <s v="NaN"/>
    <n v="3.6876128491284462E-3"/>
    <n v="9.6754148488701106E-2"/>
    <s v="NaN"/>
    <n v="6627.2612614400841"/>
    <n v="-5703.6756197139493"/>
    <n v="923.58564172613478"/>
    <s v="NaN"/>
    <n v="15.5927722110129"/>
    <n v="409.11707914549697"/>
    <s v="NaN"/>
    <n v="-4943.7501413034797"/>
  </r>
  <r>
    <x v="29"/>
    <x v="9"/>
    <n v="4240.4476874048842"/>
    <n v="4240.4476874048842"/>
    <s v="NaN"/>
    <n v="1.575599421411972"/>
    <n v="-1.3836965694968639"/>
    <n v="0.19190285191510831"/>
    <s v="NaN"/>
    <n v="3.892524981279644E-3"/>
    <n v="9.4006346822940595E-2"/>
    <s v="NaN"/>
    <n v="6681.2469228028713"/>
    <n v="-5867.4929181930484"/>
    <n v="813.75400460982291"/>
    <s v="NaN"/>
    <n v="16.506048555033001"/>
    <n v="398.62899598671987"/>
    <s v="NaN"/>
    <n v="-4505.9265135561873"/>
  </r>
  <r>
    <x v="29"/>
    <x v="10"/>
    <n v="4252.4763815582965"/>
    <n v="4252.4763815582965"/>
    <s v="NaN"/>
    <n v="1.5838377406102311"/>
    <n v="-1.5400436610507879"/>
    <n v="4.3794079559442242E-2"/>
    <s v="NaN"/>
    <n v="4.0962778710765743E-3"/>
    <n v="9.1274090200992933E-2"/>
    <s v="NaN"/>
    <n v="6735.2325841656602"/>
    <n v="-6548.9992951870472"/>
    <n v="186.23328897861299"/>
    <s v="NaN"/>
    <n v="17.419324899053031"/>
    <n v="388.14091282794391"/>
    <s v="NaN"/>
    <n v="-2169.9095979207668"/>
  </r>
  <r>
    <x v="29"/>
    <x v="11"/>
    <n v="4264.4820979475326"/>
    <n v="4264.4820979475326"/>
    <s v="NaN"/>
    <n v="1.5920708760693041"/>
    <n v="-1.375214639804851"/>
    <n v="0.2168562362644533"/>
    <s v="NaN"/>
    <n v="4.2995022520349851E-3"/>
    <n v="8.8548109679584014E-2"/>
    <s v="NaN"/>
    <n v="6789.3577496611933"/>
    <n v="-5864.5782122831524"/>
    <n v="924.77953737804182"/>
    <s v="NaN"/>
    <n v="18.335150383888301"/>
    <n v="377.61182853568067"/>
    <s v="NaN"/>
    <n v="-4842.6638930916806"/>
  </r>
  <r>
    <x v="29"/>
    <x v="12"/>
    <n v="4276.4878143367596"/>
    <n v="4276.4878143367596"/>
    <s v="NaN"/>
    <n v="1.600257784487124"/>
    <n v="-1.358271856085848"/>
    <n v="0.24198592840127611"/>
    <s v="NaN"/>
    <n v="4.5015855778158453E-3"/>
    <n v="8.5837434871856133E-2"/>
    <s v="NaN"/>
    <n v="6843.4829151567264"/>
    <n v="-5808.6330411077024"/>
    <n v="1034.8498740490249"/>
    <s v="NaN"/>
    <n v="19.250975868723561"/>
    <n v="367.08274424341801"/>
    <s v="NaN"/>
    <n v="-5211.0065119247511"/>
  </r>
  <r>
    <x v="29"/>
    <x v="13"/>
    <n v="4288.4935307259984"/>
    <n v="4288.4935307259984"/>
    <s v="NaN"/>
    <n v="1.608398854104037"/>
    <n v="-1.4352844184093181"/>
    <n v="0.17311443569471921"/>
    <s v="NaN"/>
    <n v="4.7025374316339019E-3"/>
    <n v="8.3141937231929433E-2"/>
    <s v="NaN"/>
    <n v="6897.6080806522696"/>
    <n v="-6155.2079431001848"/>
    <n v="742.40013755208474"/>
    <s v="NaN"/>
    <n v="20.166801353558839"/>
    <n v="356.55365995115631"/>
    <s v="NaN"/>
    <n v="-4103.4421958086396"/>
  </r>
  <r>
    <x v="29"/>
    <x v="14"/>
    <n v="4300.4992471152354"/>
    <n v="4300.4992471152354"/>
    <s v="NaN"/>
    <n v="1.61649446882499"/>
    <n v="-1.527987477845393"/>
    <n v="8.8506990979597938E-2"/>
    <s v="NaN"/>
    <n v="4.9023672896899486E-3"/>
    <n v="8.0461489649371762E-2"/>
    <s v="NaN"/>
    <n v="6951.7332461478127"/>
    <n v="-6571.1089980756169"/>
    <n v="380.62424807219583"/>
    <s v="NaN"/>
    <n v="21.082626838393981"/>
    <n v="346.02457565889353"/>
    <s v="NaN"/>
    <n v="-2741.6819854216878"/>
  </r>
  <r>
    <x v="29"/>
    <x v="15"/>
    <n v="4312.5049635044606"/>
    <n v="4312.5049635044606"/>
    <s v="NaN"/>
    <n v="1.6245450082798729"/>
    <n v="-1.5181312808837579"/>
    <n v="0.1064137273961149"/>
    <s v="NaN"/>
    <n v="5.1010845226605534E-3"/>
    <n v="7.7795966429218447E-2"/>
    <s v="NaN"/>
    <n v="7005.8584116433458"/>
    <n v="-6546.9486840625896"/>
    <n v="458.90972758075623"/>
    <s v="NaN"/>
    <n v="21.998452323229419"/>
    <n v="335.49549136663092"/>
    <s v="NaN"/>
    <n v="-2993.4801279925332"/>
  </r>
  <r>
    <x v="29"/>
    <x v="16"/>
    <n v="4324.5106798936977"/>
    <n v="4324.5106798936977"/>
    <s v="NaN"/>
    <n v="1.6325508478828481"/>
    <n v="-1.6441681361812941"/>
    <n v="-1.1617288298446009E-2"/>
    <s v="NaN"/>
    <n v="5.2986983971624272E-3"/>
    <n v="7.5145243272322401E-2"/>
    <s v="NaN"/>
    <n v="7059.983577138888"/>
    <n v="-7110.2226644569218"/>
    <n v="-50.239087318033853"/>
    <s v="NaN"/>
    <n v="22.914277808064529"/>
    <n v="324.96640707436819"/>
    <s v="NaN"/>
    <n v="-1091.3525244028949"/>
  </r>
  <r>
    <x v="29"/>
    <x v="17"/>
    <n v="4336.6664890641214"/>
    <n v="4336.6664890641214"/>
    <s v="NaN"/>
    <n v="1.64057705111162"/>
    <n v="-1.63893508964074"/>
    <n v="1.6419614708802601E-3"/>
    <s v="NaN"/>
    <n v="5.4975241869403011E-3"/>
    <n v="7.2514774749286845E-2"/>
    <s v="NaN"/>
    <n v="7114.6355202834002"/>
    <n v="-7107.5148809962993"/>
    <n v="7.1206392871008566"/>
    <s v="NaN"/>
    <n v="23.840928914323481"/>
    <n v="314.47239361726542"/>
    <s v="NaN"/>
    <n v="-1266.5911933353109"/>
  </r>
  <r>
    <x v="29"/>
    <x v="18"/>
    <n v="4336.7441988095761"/>
    <n v="4336.7441988095761"/>
    <s v="NaN"/>
    <n v="1.643644296023886"/>
    <n v="-1.4873876362187251"/>
    <n v="0.15625665980516051"/>
    <s v="NaN"/>
    <n v="5.3898988114234308E-3"/>
    <n v="6.7684411620295967E-2"/>
    <s v="NaN"/>
    <n v="7128.0648656880348"/>
    <n v="-6450.4197027526434"/>
    <n v="677.64516293539145"/>
    <s v="NaN"/>
    <n v="23.374612402611191"/>
    <n v="293.52997944415802"/>
    <s v="NaN"/>
    <n v="-3646.682434201588"/>
  </r>
  <r>
    <x v="29"/>
    <x v="19"/>
    <n v="4336.8219085550309"/>
    <n v="4336.8219085550309"/>
    <s v="NaN"/>
    <n v="1.6467114310147259"/>
    <n v="-1.4307794791772339"/>
    <n v="0.21593195183749181"/>
    <s v="NaN"/>
    <n v="5.2822772928970982E-3"/>
    <n v="6.2854221597924004E-2"/>
    <s v="NaN"/>
    <n v="7141.4942110926704"/>
    <n v="-6205.0357916067851"/>
    <n v="936.45841948588441"/>
    <s v="NaN"/>
    <n v="22.908295890898891"/>
    <n v="272.58756527104958"/>
    <s v="NaN"/>
    <n v="-4517.1656957091318"/>
  </r>
  <r>
    <x v="29"/>
    <x v="20"/>
    <n v="4336.8996183004856"/>
    <n v="4336.8996183004856"/>
    <s v="NaN"/>
    <n v="1.649778456090053"/>
    <n v="-1.432361278660329"/>
    <n v="0.21741717742972391"/>
    <s v="NaN"/>
    <n v="5.1746596311539484E-3"/>
    <n v="5.8024204672866113E-2"/>
    <s v="NaN"/>
    <n v="7154.9235564973151"/>
    <n v="-6212.0070826903766"/>
    <n v="942.91647380693848"/>
    <s v="NaN"/>
    <n v="22.441979379186488"/>
    <n v="251.64515109794229"/>
    <s v="NaN"/>
    <n v="-4462.3465490419858"/>
  </r>
  <r>
    <x v="29"/>
    <x v="21"/>
    <n v="4338.7470063251549"/>
    <n v="4338.7470063251549"/>
    <s v="NaN"/>
    <n v="1.6531198727844769"/>
    <n v="-1.550423963432827"/>
    <n v="0.1026959093516501"/>
    <s v="NaN"/>
    <n v="5.0527589533993162E-3"/>
    <n v="5.2787268831967653E-2"/>
    <s v="NaN"/>
    <n v="7172.4688991402691"/>
    <n v="-6726.8973298789579"/>
    <n v="445.5715692613112"/>
    <s v="NaN"/>
    <n v="21.92264278274391"/>
    <n v="229.03060461678081"/>
    <s v="NaN"/>
    <n v="-2553.9243277566311"/>
  </r>
  <r>
    <x v="29"/>
    <x v="22"/>
    <n v="4340.5943943498351"/>
    <n v="4340.5943943498351"/>
    <s v="NaN"/>
    <n v="1.656458445217202"/>
    <n v="-1.5338287025752571"/>
    <n v="0.12262974264194521"/>
    <s v="NaN"/>
    <n v="4.930962039245629E-3"/>
    <n v="4.7554790745781658E-2"/>
    <s v="NaN"/>
    <n v="7190.0142417832312"/>
    <n v="-6657.7282682910409"/>
    <n v="532.28597349219035"/>
    <s v="NaN"/>
    <n v="21.40330618630141"/>
    <n v="206.41605813561929"/>
    <s v="NaN"/>
    <n v="-2787.0529053186601"/>
  </r>
  <r>
    <x v="29"/>
    <x v="23"/>
    <n v="4341.5779528594039"/>
    <n v="4341.5779528594039"/>
    <s v="NaN"/>
    <n v="1.659533857045062"/>
    <n v="-1.5253361493242541"/>
    <n v="0.1341977077208085"/>
    <s v="NaN"/>
    <n v="4.8057578271009987E-3"/>
    <n v="4.2308074782359137E-2"/>
    <s v="NaN"/>
    <n v="7204.9956057705731"/>
    <n v="-6622.3657966056408"/>
    <n v="582.62980916493234"/>
    <s v="NaN"/>
    <n v="20.864572228923208"/>
    <n v="183.68380470301739"/>
    <s v="NaN"/>
    <n v="-2886.320015688797"/>
  </r>
  <r>
    <x v="29"/>
    <x v="24"/>
    <n v="4342.5615113689737"/>
    <n v="4342.5615113689737"/>
    <s v="NaN"/>
    <n v="1.6626078757562259"/>
    <n v="-1.57968026653225"/>
    <n v="8.2927609223975851E-2"/>
    <s v="NaN"/>
    <n v="4.6806103306380777E-3"/>
    <n v="3.7063735504733283E-2"/>
    <s v="NaN"/>
    <n v="7219.976969757915"/>
    <n v="-6859.8587257120307"/>
    <n v="360.11824404588418"/>
    <s v="NaN"/>
    <n v="20.325838271544921"/>
    <n v="160.95155127041451"/>
    <s v="NaN"/>
    <n v="-1985.117323155607"/>
  </r>
  <r>
    <x v="29"/>
    <x v="25"/>
    <n v="4343.5450698785426"/>
    <n v="4343.5450698785426"/>
    <s v="NaN"/>
    <n v="1.665680502297068"/>
    <n v="-1.599972675604391"/>
    <n v="6.5707826692677301E-2"/>
    <s v="NaN"/>
    <n v="4.5555195113285707E-3"/>
    <n v="3.1821771298363777E-2"/>
    <s v="NaN"/>
    <n v="7234.9583337452477"/>
    <n v="-6949.5534270618346"/>
    <n v="285.40490668341232"/>
    <s v="NaN"/>
    <n v="19.787104314166729"/>
    <n v="138.2192978378105"/>
    <s v="NaN"/>
    <n v="-1625.841465729909"/>
  </r>
  <r>
    <x v="29"/>
    <x v="26"/>
    <n v="4343.0023420320204"/>
    <n v="4343.0023420320204"/>
    <s v="NaN"/>
    <n v="1.6686328029247059"/>
    <n v="-1.5869177121750271"/>
    <n v="8.1715090749679017E-2"/>
    <s v="NaN"/>
    <n v="4.1967192007464297E-3"/>
    <n v="2.9218196511586851E-2"/>
    <s v="NaN"/>
    <n v="7246.8761710934523"/>
    <n v="-6891.9873405882372"/>
    <n v="354.88883050521508"/>
    <s v="NaN"/>
    <n v="18.22636131769249"/>
    <n v="126.89469587977349"/>
    <s v="NaN"/>
    <n v="-1833.369588243331"/>
  </r>
  <r>
    <x v="29"/>
    <x v="27"/>
    <n v="4342.4596141855072"/>
    <n v="4342.4596141855072"/>
    <s v="NaN"/>
    <n v="1.671585841519255"/>
    <n v="-1.6318058937383451"/>
    <n v="3.9779947780909652E-2"/>
    <s v="NaN"/>
    <n v="3.837829203241569E-3"/>
    <n v="2.6613970926569579E-2"/>
    <s v="NaN"/>
    <n v="7258.7940084416587"/>
    <n v="-7086.0511917486501"/>
    <n v="172.74281669300851"/>
    <s v="NaN"/>
    <n v="16.66561832121825"/>
    <n v="115.57009392173561"/>
    <s v="NaN"/>
    <n v="-1118.254606098631"/>
  </r>
  <r>
    <x v="29"/>
    <x v="28"/>
    <n v="4341.916886338995"/>
    <n v="4341.916886338995"/>
    <s v="NaN"/>
    <n v="1.674539618357447"/>
    <n v="-1.583541566333595"/>
    <n v="9.0998052023851667E-2"/>
    <s v="NaN"/>
    <n v="3.478849485182164E-3"/>
    <n v="2.400909429926814E-2"/>
    <s v="NaN"/>
    <n v="7270.711845789855"/>
    <n v="-6875.6058670835391"/>
    <n v="395.10597870631591"/>
    <s v="NaN"/>
    <n v="15.10487532474415"/>
    <n v="104.2454919636976"/>
    <s v="NaN"/>
    <n v="-1886.3399353142829"/>
  </r>
  <r>
    <x v="29"/>
    <x v="29"/>
    <n v="4341.3741584924819"/>
    <n v="4341.3741584924819"/>
    <s v="NaN"/>
    <n v="1.677494133716158"/>
    <n v="-1.5995250787470541"/>
    <n v="7.7969054969103974E-2"/>
    <s v="NaN"/>
    <n v="3.119780012919481E-3"/>
    <n v="2.140356638551651E-2"/>
    <s v="NaN"/>
    <n v="7282.6296831380596"/>
    <n v="-6944.1368427331126"/>
    <n v="338.49284040494791"/>
    <s v="NaN"/>
    <n v="13.544132328269971"/>
    <n v="92.9208900056597"/>
    <s v="NaN"/>
    <n v="-1631.512163376033"/>
  </r>
  <r>
    <x v="29"/>
    <x v="30"/>
    <n v="4340.8314306459588"/>
    <n v="4340.8314306459588"/>
    <s v="NaN"/>
    <n v="1.6804493878723981"/>
    <n v="-1.5110667608373141"/>
    <n v="0.16938262703508369"/>
    <s v="NaN"/>
    <n v="2.760620752788039E-3"/>
    <n v="1.8797386941026721E-2"/>
    <s v="NaN"/>
    <n v="7294.547520486266"/>
    <n v="-6559.2860892469926"/>
    <n v="735.26143123927341"/>
    <s v="NaN"/>
    <n v="11.983389331795831"/>
    <n v="81.596288047622707"/>
    <s v="NaN"/>
    <n v="-3039.08406493548"/>
  </r>
  <r>
    <x v="29"/>
    <x v="31"/>
    <n v="4340.2887027994511"/>
    <n v="4340.2887027994511"/>
    <s v="NaN"/>
    <n v="1.6834053811033021"/>
    <n v="-1.6107391891964229"/>
    <n v="7.2666191906879438E-2"/>
    <s v="NaN"/>
    <n v="2.4007843505399898E-3"/>
    <n v="1.6200002358764579E-2"/>
    <s v="NaN"/>
    <n v="7306.4653578344669"/>
    <n v="-6991.0731060255812"/>
    <n v="315.3922518088857"/>
    <s v="NaN"/>
    <n v="10.42009719450644"/>
    <n v="70.312687223070384"/>
    <s v="NaN"/>
    <n v="-1452.458466163828"/>
  </r>
  <r>
    <x v="29"/>
    <x v="32"/>
    <n v="4339.7459749529326"/>
    <n v="4339.7459749529326"/>
    <s v="NaN"/>
    <n v="1.686362113686168"/>
    <n v="-1.6164604506926969"/>
    <n v="6.9901662993470878E-2"/>
    <s v="NaN"/>
    <n v="2.040857946141228E-3"/>
    <n v="1.3601968119610799E-2"/>
    <s v="NaN"/>
    <n v="7318.3831951826687"/>
    <n v="-7015.0277345642371"/>
    <n v="303.35546061843161"/>
    <s v="NaN"/>
    <n v="8.8568050572171018"/>
    <n v="59.02908639851907"/>
    <s v="NaN"/>
    <n v="-1361.2182909387391"/>
  </r>
  <r>
    <x v="29"/>
    <x v="33"/>
    <n v="4339.203247106414"/>
    <n v="4339.203247106414"/>
    <s v="NaN"/>
    <n v="1.6893195858984189"/>
    <n v="-1.611674860245168"/>
    <n v="7.7644725653250035E-2"/>
    <s v="NaN"/>
    <n v="1.680841505820543E-3"/>
    <n v="1.1003283979796479E-2"/>
    <s v="NaN"/>
    <n v="7330.3010325308805"/>
    <n v="-6993.3847868556113"/>
    <n v="336.91624567526918"/>
    <s v="NaN"/>
    <n v="7.2935129199277364"/>
    <n v="47.74548557396686"/>
    <s v="NaN"/>
    <n v="-1437.1692286203979"/>
  </r>
  <r>
    <x v="30"/>
    <x v="0"/>
    <n v="6869.2343749999973"/>
    <n v="6866.688374999997"/>
    <n v="2.5459999999999998"/>
    <n v="1.6314585897218841"/>
    <n v="-0.8432581585957678"/>
    <n v="0.78820043112611571"/>
    <n v="0.1649743863431902"/>
    <n v="2.7313981217999071E-2"/>
    <n v="0.1046026773396868"/>
    <n v="-2.6"/>
    <n v="11206.87142590658"/>
    <n v="-5792.537930025248"/>
    <n v="5414.3334958813321"/>
    <n v="1133.2477256631721"/>
    <n v="187.62613870078351"/>
    <n v="718.27398848230268"/>
    <n v="-6.6196000000000002"/>
    <n v="-27305.15974533698"/>
  </r>
  <r>
    <x v="30"/>
    <x v="1"/>
    <n v="6874.2428124999979"/>
    <n v="6871.6968124999976"/>
    <n v="2.5459999999999998"/>
    <n v="1.6341956978885981"/>
    <n v="-0.80372948221362239"/>
    <n v="0.83046621567497525"/>
    <n v="0.16678275727199771"/>
    <n v="2.76368970753227E-2"/>
    <n v="0.1039723703458546"/>
    <n v="-2.6"/>
    <n v="11233.85803042911"/>
    <n v="-5525.0316163013395"/>
    <n v="5708.8264141277714"/>
    <n v="1146.505170425962"/>
    <n v="189.98274107983929"/>
    <n v="714.46660589367821"/>
    <n v="-6.6196000000000002"/>
    <n v="-28428.258215602498"/>
  </r>
  <r>
    <x v="30"/>
    <x v="2"/>
    <n v="6879.2512499999984"/>
    <n v="6876.7052499999982"/>
    <n v="2.5459999999999998"/>
    <n v="1.6369721875004051"/>
    <n v="-0.77494227511734259"/>
    <n v="0.86202991238306204"/>
    <n v="0.16858794004082739"/>
    <n v="2.79601387452914E-2"/>
    <n v="0.10334428990775819"/>
    <n v="-2.6"/>
    <n v="11261.14296707739"/>
    <n v="-5331.0226147788217"/>
    <n v="5930.1203522985688"/>
    <n v="1159.758797260786"/>
    <n v="192.34481941371931"/>
    <n v="710.66822096620285"/>
    <n v="-6.6196000000000002"/>
    <n v="-29282.999496446679"/>
  </r>
  <r>
    <x v="30"/>
    <x v="3"/>
    <n v="6884.259687499999"/>
    <n v="6881.7136874999987"/>
    <n v="2.5459999999999998"/>
    <n v="1.639696253946924"/>
    <n v="-0.74083471994161298"/>
    <n v="0.89886153400531155"/>
    <n v="0.1704058038800772"/>
    <n v="2.8283705516799412E-2"/>
    <n v="0.1027179252035508"/>
    <n v="-2.6"/>
    <n v="11288.09482079157"/>
    <n v="-5100.0985975943977"/>
    <n v="6187.9962231971758"/>
    <n v="1173.117806167646"/>
    <n v="194.71237370242349"/>
    <n v="706.87535182487647"/>
    <n v="-6.6196000000000002"/>
    <n v="-30272.301234607199"/>
  </r>
  <r>
    <x v="30"/>
    <x v="4"/>
    <n v="6889.2681249999996"/>
    <n v="6886.7221249999993"/>
    <n v="2.5459999999999998"/>
    <n v="1.642380462813082"/>
    <n v="-0.72113606288069787"/>
    <n v="0.92124439993238438"/>
    <n v="0.17224688829287541"/>
    <n v="2.8607596680808822E-2"/>
    <n v="0.1020942836748621"/>
    <n v="-2.6"/>
    <n v="11314.799371580921"/>
    <n v="-4968.0996917919874"/>
    <n v="6346.6996797889278"/>
    <n v="1186.654997146542"/>
    <n v="197.08540394595201"/>
    <n v="703.09496221969903"/>
    <n v="-6.6196000000000002"/>
    <n v="-30898.68995804025"/>
  </r>
  <r>
    <x v="30"/>
    <x v="5"/>
    <n v="6894.2765625000002"/>
    <n v="6891.7305624999999"/>
    <n v="2.5459999999999998"/>
    <n v="1.64507844165687"/>
    <n v="-0.74572911805246156"/>
    <n v="0.89934932360440856"/>
    <n v="0.17410586293077429"/>
    <n v="2.8931811530342109E-2"/>
    <n v="0.10147285415957839"/>
    <n v="-2.6"/>
    <n v="11341.62574378898"/>
    <n v="-5141.2627805628817"/>
    <n v="6200.3629632261018"/>
    <n v="1200.3339701974751"/>
    <n v="199.46391014430489"/>
    <n v="699.32357027567139"/>
    <n v="-6.6196000000000002"/>
    <n v="-30407.170984095788"/>
  </r>
  <r>
    <x v="30"/>
    <x v="6"/>
    <n v="6899.2850000000008"/>
    <n v="6896.7389999999996"/>
    <n v="2.5459999999999998"/>
    <n v="1.647773532131751"/>
    <n v="-0.77554582795209681"/>
    <n v="0.8722277041796539"/>
    <n v="0.1759879647413379"/>
    <n v="2.9256349360474582E-2"/>
    <n v="0.1008536318385823"/>
    <n v="-2.6"/>
    <n v="11368.45921363361"/>
    <n v="-5350.7116976024827"/>
    <n v="6017.7475160311242"/>
    <n v="1214.1911253204421"/>
    <n v="201.84789229748191"/>
    <n v="695.56117599279241"/>
    <n v="-6.6196000000000002"/>
    <n v="-29783.336402022789"/>
  </r>
  <r>
    <x v="30"/>
    <x v="7"/>
    <n v="6904.2934375000013"/>
    <n v="6901.7474375000011"/>
    <n v="2.5459999999999998"/>
    <n v="1.6504864200019811"/>
    <n v="-0.76336704234282349"/>
    <n v="0.88711937765915716"/>
    <n v="0.17788787131274711"/>
    <n v="2.958120946832701E-2"/>
    <n v="0.1002366119067454"/>
    <n v="-2.6"/>
    <n v="11395.44255830255"/>
    <n v="-5270.5100608513421"/>
    <n v="6124.9324974512037"/>
    <n v="1228.190062515444"/>
    <n v="204.23735040548311"/>
    <n v="691.80777937106245"/>
    <n v="-6.6196000000000002"/>
    <n v="-30222.67632906112"/>
  </r>
  <r>
    <x v="30"/>
    <x v="8"/>
    <n v="6909.3018750000019"/>
    <n v="6906.7558750000017"/>
    <n v="2.5459999999999998"/>
    <n v="1.653177598277999"/>
    <n v="-0.69903642865931459"/>
    <n v="0.954141169618685"/>
    <n v="0.17980027566569201"/>
    <n v="2.990639115305823E-2"/>
    <n v="9.962178957287697E-2"/>
    <n v="-2.6"/>
    <n v="11422.303079490181"/>
    <n v="-4829.8537072291074"/>
    <n v="6592.449372261075"/>
    <n v="1242.294381782483"/>
    <n v="206.63228446830871"/>
    <n v="688.06338041048195"/>
    <n v="-6.6196000000000002"/>
    <n v="-31983.67266938485"/>
  </r>
  <r>
    <x v="30"/>
    <x v="9"/>
    <n v="6914.3103125000034"/>
    <n v="6911.7643125000022"/>
    <n v="2.5459999999999998"/>
    <n v="1.655845702708131"/>
    <n v="-0.73624866298649627"/>
    <n v="0.91959703972163465"/>
    <n v="0.1817198861974792"/>
    <n v="3.023189371585764E-2"/>
    <n v="9.9009160059673307E-2"/>
    <n v="-2.6"/>
    <n v="11449.03101814364"/>
    <n v="-5090.6517230518702"/>
    <n v="6358.3792950917732"/>
    <n v="1256.467683121557"/>
    <n v="209.0326944859585"/>
    <n v="684.32797911105058"/>
    <n v="-6.6196000000000002"/>
    <n v="-31172.48952330742"/>
  </r>
  <r>
    <x v="30"/>
    <x v="10"/>
    <n v="6919.3187500000022"/>
    <n v="6916.7727500000019"/>
    <n v="2.5459999999999998"/>
    <n v="1.6581148118439419"/>
    <n v="-0.7534316609847902"/>
    <n v="0.9046831508591523"/>
    <n v="0.18363569222796489"/>
    <n v="3.0555363342680691E-2"/>
    <n v="9.8562449019337181E-2"/>
    <n v="-2.6"/>
    <n v="11473.02490724452"/>
    <n v="-5213.233818695704"/>
    <n v="6259.7910885488127"/>
    <n v="1270.633888402187"/>
    <n v="211.42229849007319"/>
    <n v="681.73406155021587"/>
    <n v="-6.6196000000000002"/>
    <n v="-30862.193035637541"/>
  </r>
  <r>
    <x v="30"/>
    <x v="11"/>
    <n v="6924.3271875000019"/>
    <n v="6921.7811875000016"/>
    <n v="2.5459999999999998"/>
    <n v="1.6607402172578869"/>
    <n v="-0.72541549542465089"/>
    <n v="0.93532472183323589"/>
    <n v="0.1855584061696888"/>
    <n v="3.0879108310361031E-2"/>
    <n v="9.8117606184867007E-2"/>
    <n v="-2.6"/>
    <n v="11499.508637733439"/>
    <n v="-5023.014237202693"/>
    <n v="6476.4944005307516"/>
    <n v="1284.867116709944"/>
    <n v="213.81704919919011"/>
    <n v="679.14860065294624"/>
    <n v="-6.6196000000000002"/>
    <n v="-31708.261079343269"/>
  </r>
  <r>
    <x v="30"/>
    <x v="12"/>
    <n v="6929.3356250000024"/>
    <n v="6926.7896250000013"/>
    <n v="2.5459999999999998"/>
    <n v="1.6633849878642351"/>
    <n v="-0.8118372465666629"/>
    <n v="0.85154774129757271"/>
    <n v="0.1874857617457123"/>
    <n v="3.1203128021859809E-2"/>
    <n v="9.7674627503825828E-2"/>
    <n v="-2.6"/>
    <n v="11526.152854497839"/>
    <n v="-5625.4927543362874"/>
    <n v="5900.6601001615554"/>
    <n v="1299.151768044826"/>
    <n v="216.21694661330901"/>
    <n v="676.57159641924056"/>
    <n v="-6.6196000000000002"/>
    <n v="-29648.596307878779"/>
  </r>
  <r>
    <x v="30"/>
    <x v="13"/>
    <n v="6934.3440625000012"/>
    <n v="6931.7980625000009"/>
    <n v="2.5459999999999998"/>
    <n v="1.6660370892904179"/>
    <n v="-0.82442916298662738"/>
    <n v="0.84160792630379044"/>
    <n v="0.18941849878924069"/>
    <n v="3.152742188186311E-2"/>
    <n v="9.7233508935489085E-2"/>
    <n v="-2.6"/>
    <n v="11552.87439802579"/>
    <n v="-5716.8754713081653"/>
    <n v="5835.9989267176279"/>
    <n v="1313.493042406835"/>
    <n v="218.62199073243011"/>
    <n v="674.00304884909974"/>
    <n v="-6.6196000000000002"/>
    <n v="-29463.49049859132"/>
  </r>
  <r>
    <x v="30"/>
    <x v="14"/>
    <n v="6939.3525000000009"/>
    <n v="6936.8065000000006"/>
    <n v="2.5459999999999998"/>
    <n v="1.668902062561515"/>
    <n v="-0.84829169107188684"/>
    <n v="0.8206103714896279"/>
    <n v="0.19135660564814511"/>
    <n v="3.1851989296775629E-2"/>
    <n v="9.679424645080173E-2"/>
    <n v="-2.6"/>
    <n v="11581.099700091399"/>
    <n v="-5886.5950671689261"/>
    <n v="5694.5046329224788"/>
    <n v="1327.8909397959701"/>
    <n v="221.03218155655321"/>
    <n v="671.44295794252344"/>
    <n v="-6.6196000000000002"/>
    <n v="-28996.920744800231"/>
  </r>
  <r>
    <x v="30"/>
    <x v="15"/>
    <n v="6944.3609375000005"/>
    <n v="6941.8149375000003"/>
    <n v="2.5459999999999998"/>
    <n v="1.671992128216873"/>
    <n v="-0.79795975754014747"/>
    <n v="0.87403237067672557"/>
    <n v="0.19329677914018331"/>
    <n v="3.2176450726560821E-2"/>
    <n v="9.6379200176512539E-2"/>
    <n v="-2.6"/>
    <n v="11610.916822996751"/>
    <n v="-5541.3205699587716"/>
    <n v="6069.5962530379738"/>
    <n v="1342.3226024056539"/>
    <n v="223.44488753292251"/>
    <n v="669.04657144961743"/>
    <n v="-6.6196000000000002"/>
    <n v="-30425.23261956538"/>
  </r>
  <r>
    <x v="30"/>
    <x v="16"/>
    <n v="6949.3693750000002"/>
    <n v="6946.8233749999999"/>
    <n v="2.5459999999999998"/>
    <n v="1.6747246972381451"/>
    <n v="-0.8019679145139319"/>
    <n v="0.87275678272421309"/>
    <n v="0.19514100152353531"/>
    <n v="3.2483782247607888E-2"/>
    <n v="9.6967405004325186E-2"/>
    <n v="-2.6"/>
    <n v="11638.280522542909"/>
    <n v="-5573.1712648557368"/>
    <n v="6065.1092576871761"/>
    <n v="1356.106899794484"/>
    <n v="225.74180153569489"/>
    <n v="673.6154356971382"/>
    <n v="-6.6196000000000002"/>
    <n v="-30484.49724728924"/>
  </r>
  <r>
    <x v="30"/>
    <x v="17"/>
    <n v="6954.3778124999999"/>
    <n v="6951.8318124999996"/>
    <n v="2.5459999999999998"/>
    <n v="1.6779486111631461"/>
    <n v="-0.83992757076656155"/>
    <n v="0.83802104039658476"/>
    <n v="0.19698392040798421"/>
    <n v="3.2791072471071027E-2"/>
    <n v="9.7555422036432402E-2"/>
    <n v="-2.6"/>
    <n v="11669.088591988169"/>
    <n v="-5841.1736622459994"/>
    <n v="5827.9149297421754"/>
    <n v="1369.9006055045511"/>
    <n v="228.04150684089589"/>
    <n v="678.18888639473425"/>
    <n v="-6.6196000000000002"/>
    <n v="-29690.563204438011"/>
  </r>
  <r>
    <x v="30"/>
    <x v="18"/>
    <n v="6959.3862499999996"/>
    <n v="6956.8402499999993"/>
    <n v="2.5459999999999998"/>
    <n v="1.6809849611040419"/>
    <n v="-0.82922421476817221"/>
    <n v="0.85176074633587007"/>
    <n v="0.20776212578459069"/>
    <n v="3.3098321486111693E-2"/>
    <n v="9.8143251678433366E-2"/>
    <n v="-2.6"/>
    <n v="11698.623624764259"/>
    <n v="-5770.8915984246642"/>
    <n v="5927.7320263395914"/>
    <n v="1445.896881456051"/>
    <n v="230.3440034485252"/>
    <n v="682.76692354240527"/>
    <n v="-6.6196000000000002"/>
    <n v="-30360.440860886862"/>
  </r>
  <r>
    <x v="30"/>
    <x v="19"/>
    <n v="6964.3946874999992"/>
    <n v="6961.848687499999"/>
    <n v="2.5459999999999998"/>
    <n v="1.684160332052788"/>
    <n v="-0.82446815439718624"/>
    <n v="0.85969217765560135"/>
    <n v="0.2077577420589887"/>
    <n v="3.3405529381634852E-2"/>
    <n v="9.8730894334760233E-2"/>
    <n v="-2.6"/>
    <n v="11729.15726944667"/>
    <n v="-5741.9216344966926"/>
    <n v="5987.235634949976"/>
    <n v="1446.906915082616"/>
    <n v="232.6492913585829"/>
    <n v="687.34954714015157"/>
    <n v="-6.6196000000000002"/>
    <n v="-30607.579891284309"/>
  </r>
  <r>
    <x v="30"/>
    <x v="20"/>
    <n v="6969.4031249999989"/>
    <n v="6966.8571249999986"/>
    <n v="2.5459999999999998"/>
    <n v="1.687054222097629"/>
    <n v="-0.84026213166204822"/>
    <n v="0.84679209043558079"/>
    <n v="0.2077507245226515"/>
    <n v="3.3712696246289947E-2"/>
    <n v="9.9364466414828795E-2"/>
    <n v="-2.6"/>
    <n v="11757.76096753166"/>
    <n v="-5856.1255262246405"/>
    <n v="5901.6354413070176"/>
    <n v="1447.8985487091809"/>
    <n v="234.95737057106891"/>
    <n v="692.25804081397303"/>
    <n v="-6.6196000000000002"/>
    <n v="-30323.809271807309"/>
  </r>
  <r>
    <x v="30"/>
    <x v="21"/>
    <n v="6974.4115624999986"/>
    <n v="6971.8655624999983"/>
    <n v="2.5459999999999998"/>
    <n v="1.689959500312211"/>
    <n v="-0.89669950256158149"/>
    <n v="0.79325999775062983"/>
    <n v="0.20774159502230369"/>
    <n v="3.401982216847179E-2"/>
    <n v="9.9997786057118898E-2"/>
    <n v="-2.6"/>
    <n v="11786.47307913421"/>
    <n v="-6253.9513787534906"/>
    <n v="5532.5217003807156"/>
    <n v="1448.875382335747"/>
    <n v="237.26824108598339"/>
    <n v="697.17112093786977"/>
    <n v="-6.6196000000000002"/>
    <n v="-29000.461764050458"/>
  </r>
  <r>
    <x v="30"/>
    <x v="22"/>
    <n v="6979.4199999999983"/>
    <n v="6976.873999999998"/>
    <n v="2.5459999999999998"/>
    <n v="1.6942872679212291"/>
    <n v="-0.9214818286872074"/>
    <n v="0.77280543923402123"/>
    <n v="0.2077603205930515"/>
    <n v="3.4332994235236503E-2"/>
    <n v="0.1002547128583758"/>
    <n v="-2.6"/>
    <n v="11825.142443474781"/>
    <n v="-6431.4087047760677"/>
    <n v="5393.733738698711"/>
    <n v="1450.0465367535551"/>
    <n v="239.62438662529431"/>
    <n v="699.46449951906789"/>
    <n v="-6.6196000000000002"/>
    <n v="-28512.915059190229"/>
  </r>
  <r>
    <x v="30"/>
    <x v="23"/>
    <n v="6980.6759999999977"/>
    <n v="6978.1299999999974"/>
    <n v="2.5459999999999998"/>
    <n v="1.6950521861769161"/>
    <n v="-0.92551151538835308"/>
    <n v="0.76954067078856314"/>
    <n v="0.20786800499999769"/>
    <n v="3.4737509091766212E-2"/>
    <n v="9.9651656579213696E-2"/>
    <n v="-2.6"/>
    <n v="11832.610114792729"/>
    <n v="-6460.6960231951052"/>
    <n v="5371.9140915976222"/>
    <n v="1451.0591936713629"/>
    <n v="242.49129601667411"/>
    <n v="695.38221432510818"/>
    <n v="-6.6196000000000002"/>
    <n v="-28432.16638390873"/>
  </r>
  <r>
    <x v="30"/>
    <x v="24"/>
    <n v="6981.9319999999971"/>
    <n v="6979.3859999999968"/>
    <n v="2.5459999999999998"/>
    <n v="1.6939358324785241"/>
    <n v="-0.88123089530140752"/>
    <n v="0.81270493717711623"/>
    <n v="0.2079676299610439"/>
    <n v="3.5142507440445322E-2"/>
    <n v="9.9049352421829412E-2"/>
    <n v="-2.6"/>
    <n v="11826.944794728441"/>
    <n v="-6152.694187293544"/>
    <n v="5674.2506074348948"/>
    <n v="1452.01585058917"/>
    <n v="245.36259725868319"/>
    <n v="691.30366360198195"/>
    <n v="-6.6196000000000002"/>
    <n v="-29539.814769246699"/>
  </r>
  <r>
    <x v="30"/>
    <x v="25"/>
    <n v="6983.1879999999956"/>
    <n v="6980.6419999999962"/>
    <n v="2.5459999999999998"/>
    <n v="1.69251171503526"/>
    <n v="-0.89090002011276281"/>
    <n v="0.80161169492249673"/>
    <n v="0.2080265797008109"/>
    <n v="3.5546014627603963E-2"/>
    <n v="9.8549769958382674E-2"/>
    <n v="-2.6"/>
    <n v="11819.127498293639"/>
    <n v="-6221.3223296512006"/>
    <n v="5597.8051686424369"/>
    <n v="1452.688715047746"/>
    <n v="248.22450279530841"/>
    <n v="687.94066326182394"/>
    <n v="-6.6196000000000002"/>
    <n v="-29260.144649076141"/>
  </r>
  <r>
    <x v="30"/>
    <x v="26"/>
    <n v="6984.4439999999959"/>
    <n v="6981.8979999999956"/>
    <n v="2.5459999999999998"/>
    <n v="1.691117062919163"/>
    <n v="-0.86061224891195476"/>
    <n v="0.83050481400720866"/>
    <n v="0.20804963968947579"/>
    <n v="3.5949962966573518E-2"/>
    <n v="9.8051330912286114E-2"/>
    <n v="-2.6"/>
    <n v="11811.51242340337"/>
    <n v="-6010.8980582396052"/>
    <n v="5800.6143651637612"/>
    <n v="1453.1110576313199"/>
    <n v="251.09050314210651"/>
    <n v="684.5843911938282"/>
    <n v="-6.6196000000000002"/>
    <n v="-30003.529296149791"/>
  </r>
  <r>
    <x v="30"/>
    <x v="27"/>
    <n v="6985.6999999999953"/>
    <n v="6983.153999999995"/>
    <n v="2.5459999999999998"/>
    <n v="1.6896969942480251"/>
    <n v="-0.89831511130389907"/>
    <n v="0.79138188294412593"/>
    <n v="0.20804258389852071"/>
    <n v="3.635435221940217E-2"/>
    <n v="9.7554034666569797E-2"/>
    <n v="-2.6"/>
    <n v="11803.71629271842"/>
    <n v="-6275.3598730356434"/>
    <n v="5528.3564196827774"/>
    <n v="1453.3230783398949"/>
    <n v="253.96059829907759"/>
    <n v="681.23484739799505"/>
    <n v="-6.6196000000000002"/>
    <n v="-29004.2695936417"/>
  </r>
  <r>
    <x v="30"/>
    <x v="28"/>
    <n v="6986.9559999999947"/>
    <n v="6984.4099999999944"/>
    <n v="2.5459999999999998"/>
    <n v="1.688201011416012"/>
    <n v="-0.93601153650221725"/>
    <n v="0.75218947491379518"/>
    <n v="0.2201392584974928"/>
    <n v="3.67591821483092E-2"/>
    <n v="9.7057880604707422E-2"/>
    <n v="-2.6"/>
    <n v="11795.386185919169"/>
    <n v="-6539.871421033381"/>
    <n v="5255.5147648857856"/>
    <n v="1538.103312994607"/>
    <n v="256.83478826622172"/>
    <n v="677.89203187432406"/>
    <n v="-6.6196000000000002"/>
    <n v="-28312.992759412689"/>
  </r>
  <r>
    <x v="30"/>
    <x v="29"/>
    <n v="6988.2119999999941"/>
    <n v="6985.6659999999938"/>
    <n v="2.5459999999999998"/>
    <n v="1.688823165663879"/>
    <n v="-0.91719699471385518"/>
    <n v="0.77162617095002406"/>
    <n v="0.22240837072397751"/>
    <n v="3.7164452515684843E-2"/>
    <n v="9.6562868110616235E-2"/>
    <n v="-2.6"/>
    <n v="11801.854312170301"/>
    <n v="-6409.5670448232941"/>
    <n v="5392.2872673470047"/>
    <n v="1554.2368451937471"/>
    <n v="259.71307304353871"/>
    <n v="674.55594462281545"/>
    <n v="-6.6196000000000002"/>
    <n v="-28871.969610762011"/>
  </r>
  <r>
    <x v="30"/>
    <x v="30"/>
    <n v="6989.4679999999926"/>
    <n v="6986.9219999999932"/>
    <n v="2.5459999999999998"/>
    <n v="1.689317024628237"/>
    <n v="-0.93141898091137376"/>
    <n v="0.75789804371686342"/>
    <n v="0.2247155143923876"/>
    <n v="3.7573007846087463E-2"/>
    <n v="9.5907756965467314E-2"/>
    <n v="-2.6"/>
    <n v="11807.427285494259"/>
    <n v="-6510.1231616726518"/>
    <n v="5297.3041238216128"/>
    <n v="1570.641896949131"/>
    <n v="262.61533600397689"/>
    <n v="670.10001711267614"/>
    <n v="-6.6196000000000002"/>
    <n v="-28578.153170923051"/>
  </r>
  <r>
    <x v="30"/>
    <x v="31"/>
    <n v="6990.7239999999929"/>
    <n v="6988.1779999999926"/>
    <n v="2.5459999999999998"/>
    <n v="1.68961247773739"/>
    <n v="-0.94561689577721941"/>
    <n v="0.74399558196017113"/>
    <n v="0.22705286733898719"/>
    <n v="3.7982060263143318E-2"/>
    <n v="9.52539396914312E-2"/>
    <n v="-2.6"/>
    <n v="11811.61449881823"/>
    <n v="-6610.5467281152996"/>
    <n v="5201.0677707029299"/>
    <n v="1587.2639289754729"/>
    <n v="265.52210025100197"/>
    <n v="665.65148576498564"/>
    <n v="-6.6196000000000002"/>
    <n v="-28280.58084754867"/>
  </r>
  <r>
    <x v="30"/>
    <x v="32"/>
    <n v="6991.9799999999923"/>
    <n v="6989.433999999992"/>
    <n v="2.5459999999999998"/>
    <n v="1.689645405470583"/>
    <n v="-0.96286619856249878"/>
    <n v="0.72677920690808429"/>
    <n v="0.22941514662481491"/>
    <n v="3.8391609498970879E-2"/>
    <n v="9.4601415590982799E-2"/>
    <n v="-2.6"/>
    <n v="11813.966882142189"/>
    <n v="-6732.3412030250129"/>
    <n v="5081.6256791171818"/>
    <n v="1604.066116897772"/>
    <n v="268.43336578461413"/>
    <n v="661.2103505797445"/>
    <n v="-6.6196000000000002"/>
    <n v="-27898.625012060009"/>
  </r>
  <r>
    <x v="30"/>
    <x v="33"/>
    <n v="6993.2359999999899"/>
    <n v="6990.6899999999896"/>
    <n v="2.5459999999999998"/>
    <n v="1.646630201037147"/>
    <n v="-0.882609669499542"/>
    <n v="0.76402053153760541"/>
    <n v="0.23032531030593739"/>
    <n v="3.8801655285881018E-2"/>
    <n v="9.3950183967098214E-2"/>
    <n v="-2.6"/>
    <n v="11515.2736005802"/>
    <n v="-6172.2977146922904"/>
    <n v="5342.9758858879086"/>
    <n v="1610.7192517426499"/>
    <n v="271.34913260481301"/>
    <n v="656.77661155695284"/>
    <n v="-6.6196000000000002"/>
    <n v="-28875.738033241149"/>
  </r>
  <r>
    <x v="31"/>
    <x v="0"/>
    <n v="778537.5"/>
    <n v="778537.5"/>
    <s v="NaN"/>
    <n v="0.51177659401309394"/>
    <n v="-0.25990611154189958"/>
    <n v="0.25187048247119442"/>
    <n v="2.7013530379938609E-2"/>
    <n v="1.0461840561644569E-3"/>
    <n v="-1.3272494543200531E-4"/>
    <s v="NaN"/>
    <n v="398437.27006146911"/>
    <n v="-202346.65431455159"/>
    <n v="196090.61574691749"/>
    <n v="21031.04640817146"/>
    <n v="814.49351962613628"/>
    <n v="-103.3313472042698"/>
    <s v="NaN"/>
    <n v="-798720.35586761218"/>
  </r>
  <r>
    <x v="31"/>
    <x v="1"/>
    <n v="786448.33333333326"/>
    <n v="786448.33333333326"/>
    <s v="NaN"/>
    <n v="0.50744594405977472"/>
    <n v="-0.19365654539126109"/>
    <n v="0.31378939866851357"/>
    <n v="3.3294267075429991E-2"/>
    <n v="3.0603022713016951E-3"/>
    <n v="1.1719372199708851E-2"/>
    <s v="NaN"/>
    <n v="399080.01696256967"/>
    <n v="-152300.8673620483"/>
    <n v="246779.1496005214"/>
    <n v="26184.220851026788"/>
    <n v="2406.7696207614322"/>
    <n v="9216.6807341740277"/>
    <s v="NaN"/>
    <n v="-1043485.009623868"/>
  </r>
  <r>
    <x v="31"/>
    <x v="2"/>
    <n v="794359.16666666651"/>
    <n v="794359.16666666651"/>
    <s v="NaN"/>
    <n v="0.50901255875513651"/>
    <n v="-0.18024598477131551"/>
    <n v="0.32876657398382098"/>
    <n v="3.3747154823746822E-2"/>
    <n v="3.5790001683797001E-3"/>
    <n v="1.424449544465084E-2"/>
    <s v="NaN"/>
    <n v="404338.79199559783"/>
    <n v="-143180.0502579548"/>
    <n v="261158.74173764299"/>
    <n v="26807.361783162491"/>
    <n v="2843.0115912539568"/>
    <n v="11315.24553099997"/>
    <s v="NaN"/>
    <n v="-1107789.322357985"/>
  </r>
  <r>
    <x v="31"/>
    <x v="3"/>
    <n v="802270"/>
    <n v="802270"/>
    <s v="NaN"/>
    <n v="0.51605634865812799"/>
    <n v="-0.1489095856635953"/>
    <n v="0.36714676299453258"/>
    <n v="3.6295541433877261E-2"/>
    <n v="4.459329700669078E-3"/>
    <n v="1.6760194449946191E-2"/>
    <s v="NaN"/>
    <n v="414016.52683795628"/>
    <n v="-119465.69329033259"/>
    <n v="294550.83354762371"/>
    <n v="29118.824026156712"/>
    <n v="3577.586438955781"/>
    <n v="13446.20120135833"/>
    <s v="NaN"/>
    <n v="-1249209.2991184599"/>
  </r>
  <r>
    <x v="31"/>
    <x v="4"/>
    <n v="810180.83333333337"/>
    <n v="810180.83333333337"/>
    <s v="NaN"/>
    <n v="0.51972009995757662"/>
    <n v="-0.10710598324007049"/>
    <n v="0.41261411671750609"/>
    <n v="3.971277270013264E-2"/>
    <n v="5.5495172440864701E-3"/>
    <n v="2.1545746655875619E-2"/>
    <s v="NaN"/>
    <n v="421067.26368371281"/>
    <n v="-86775.214756426387"/>
    <n v="334292.04892728629"/>
    <n v="32174.527280170711"/>
    <n v="4496.1125054116801"/>
    <n v="17455.950980446189"/>
    <s v="NaN"/>
    <n v="-1424201.678875617"/>
  </r>
  <r>
    <x v="31"/>
    <x v="5"/>
    <n v="818091.66666666674"/>
    <n v="818091.66666666674"/>
    <s v="NaN"/>
    <n v="0.52337466525812204"/>
    <n v="-9.2302349588528634E-2"/>
    <n v="0.43107231566959342"/>
    <n v="4.1330951431257777E-2"/>
    <n v="6.0412992551806969E-3"/>
    <n v="2.4705717838039841E-2"/>
    <s v="NaN"/>
    <n v="428168.4521921259"/>
    <n v="-75511.783012128712"/>
    <n v="352656.66917999717"/>
    <n v="33812.506941316729"/>
    <n v="4942.3365765028684"/>
    <n v="20211.541882318412"/>
    <s v="NaN"/>
    <n v="-1509284.5334606329"/>
  </r>
  <r>
    <x v="31"/>
    <x v="6"/>
    <n v="826002.5"/>
    <n v="826002.5"/>
    <s v="NaN"/>
    <n v="0.52682502640495232"/>
    <n v="-0.1497355074601027"/>
    <n v="0.37708951894484971"/>
    <n v="3.45115163321318E-2"/>
    <n v="4.1162563308693523E-3"/>
    <n v="1.098179342077113E-2"/>
    <s v="NaN"/>
    <n v="435158.78887305659"/>
    <n v="-123681.9035008135"/>
    <n v="311476.88537224318"/>
    <n v="28506.598769131699"/>
    <n v="3400.0380199389119"/>
    <n v="9070.9888200405076"/>
    <s v="NaN"/>
    <n v="-1292333.2069317501"/>
  </r>
  <r>
    <x v="31"/>
    <x v="7"/>
    <n v="833913.33333333326"/>
    <n v="833913.33333333326"/>
    <s v="NaN"/>
    <n v="0.53029085960393696"/>
    <n v="-0.1050635291896424"/>
    <n v="0.42522733041429461"/>
    <n v="4.0701009168653712E-2"/>
    <n v="5.9266760011583109E-3"/>
    <n v="2.278147282121851E-2"/>
    <s v="NaN"/>
    <n v="442216.61836851772"/>
    <n v="-87613.877838298693"/>
    <n v="354602.74053021899"/>
    <n v="33941.11422586257"/>
    <n v="4942.3341397125969"/>
    <n v="18997.773938585069"/>
    <s v="NaN"/>
    <n v="-1512441.197059528"/>
  </r>
  <r>
    <x v="31"/>
    <x v="8"/>
    <n v="841824.16666666686"/>
    <n v="841824.16666666686"/>
    <s v="NaN"/>
    <n v="0.53211279262822087"/>
    <n v="-0.18216107976648321"/>
    <n v="0.3499517128617376"/>
    <n v="3.1164700216569578E-2"/>
    <n v="3.3431698961427061E-3"/>
    <n v="5.7078402173144759E-3"/>
    <s v="NaN"/>
    <n v="447945.40822692489"/>
    <n v="-153347.59917351999"/>
    <n v="294597.80905340501"/>
    <n v="26235.19778923018"/>
    <n v="2814.3612118454212"/>
    <n v="4804.9978344072451"/>
    <s v="NaN"/>
    <n v="-1204325.3415926979"/>
  </r>
  <r>
    <x v="31"/>
    <x v="9"/>
    <n v="849735"/>
    <n v="849735"/>
    <s v="NaN"/>
    <n v="0.5350833361987174"/>
    <n v="-0.1116112210020036"/>
    <n v="0.42347211519671379"/>
    <n v="3.9119297766369347E-2"/>
    <n v="5.7040984602445069E-3"/>
    <n v="2.1937325011576001E-2"/>
    <s v="NaN"/>
    <n v="454679.03868481709"/>
    <n v="-94839.960878137528"/>
    <n v="359839.07780667959"/>
    <n v="33241.036487505859"/>
    <n v="4846.9721051158658"/>
    <n v="18640.91286871153"/>
    <s v="NaN"/>
    <n v="-1527415.9973161861"/>
  </r>
  <r>
    <x v="31"/>
    <x v="10"/>
    <n v="857645.83333333349"/>
    <n v="857645.83333333349"/>
    <s v="NaN"/>
    <n v="0.53801787123802991"/>
    <n v="-0.1412492964485117"/>
    <n v="0.39676857478951832"/>
    <n v="3.6016713528025719E-2"/>
    <n v="4.7120019848702474E-3"/>
    <n v="1.5731887024827199E-2"/>
    <s v="NaN"/>
    <n v="461428.78552616632"/>
    <n v="-121141.87056033091"/>
    <n v="340286.91496583552"/>
    <n v="30889.584287671561"/>
    <n v="4041.228868982364"/>
    <n v="13492.387357313781"/>
    <s v="NaN"/>
    <n v="-1425270.423426074"/>
  </r>
  <r>
    <x v="31"/>
    <x v="11"/>
    <n v="865556.66666666686"/>
    <n v="865556.66666666686"/>
    <s v="NaN"/>
    <n v="0.5399008050926829"/>
    <n v="-0.1200158306834138"/>
    <n v="0.41988497440926908"/>
    <n v="3.7961430074648903E-2"/>
    <n v="5.2607665738120092E-3"/>
    <n v="1.9619631521479709E-2"/>
    <s v="NaN"/>
    <n v="467314.74118667241"/>
    <n v="-103880.5023535668"/>
    <n v="363434.23883310572"/>
    <n v="32857.768877312847"/>
    <n v="4553.4915797401454"/>
    <n v="16981.902860960239"/>
    <s v="NaN"/>
    <n v="-1532033.8078875749"/>
  </r>
  <r>
    <x v="31"/>
    <x v="12"/>
    <n v="873467.5"/>
    <n v="873467.5"/>
    <s v="NaN"/>
    <n v="0.54164686155236219"/>
    <n v="-0.13862273872556161"/>
    <n v="0.40302412282680072"/>
    <n v="3.5502120817622163E-2"/>
    <n v="4.7571120111371936E-3"/>
    <n v="1.596799956679279E-2"/>
    <s v="NaN"/>
    <n v="473110.93004298792"/>
    <n v="-121082.4570377694"/>
    <n v="352028.47300521849"/>
    <n v="31009.948715266379"/>
    <n v="4155.1827355879777"/>
    <n v="13947.528661607579"/>
    <s v="NaN"/>
    <n v="-1470850.8214316289"/>
  </r>
  <r>
    <x v="31"/>
    <x v="13"/>
    <n v="881378.3333333336"/>
    <n v="881378.3333333336"/>
    <s v="NaN"/>
    <n v="0.55032145015768241"/>
    <n v="-0.19234888399833611"/>
    <n v="0.35797256615934642"/>
    <n v="3.0457364864222139E-2"/>
    <n v="3.586991441381904E-3"/>
    <n v="6.7644821206749913E-3"/>
    <s v="NaN"/>
    <n v="485041.40253756137"/>
    <n v="-169532.1387969802"/>
    <n v="315509.26374058123"/>
    <n v="26844.46148175334"/>
    <n v="3161.4965382861151"/>
    <n v="5962.0679773836582"/>
    <s v="NaN"/>
    <n v="-1288750.0623728"/>
  </r>
  <r>
    <x v="31"/>
    <x v="14"/>
    <n v="889289.16666666686"/>
    <n v="889289.16666666686"/>
    <s v="NaN"/>
    <n v="0.5519976118954304"/>
    <n v="-9.9926608289799074E-2"/>
    <n v="0.45207100360563118"/>
    <n v="4.0395983320315403E-2"/>
    <n v="6.0575880974834328E-3"/>
    <n v="2.400085081414852E-2"/>
    <s v="NaN"/>
    <n v="490885.49628447747"/>
    <n v="-88863.650213861867"/>
    <n v="402021.84607061557"/>
    <n v="35923.710343603852"/>
    <n v="5386.9474712209621"/>
    <n v="21343.69661980513"/>
    <s v="NaN"/>
    <n v="-1703812.7351860551"/>
  </r>
  <r>
    <x v="31"/>
    <x v="15"/>
    <n v="897199.99999999988"/>
    <n v="897199.99999999988"/>
    <s v="NaN"/>
    <n v="0.55670362955378838"/>
    <n v="-0.1246231378110023"/>
    <n v="0.43208049174278612"/>
    <n v="3.7749763241160937E-2"/>
    <n v="5.3691072439665151E-3"/>
    <n v="1.9831956612895711E-2"/>
    <s v="NaN"/>
    <n v="499474.49643565889"/>
    <n v="-111811.8792440313"/>
    <n v="387662.61719162762"/>
    <n v="33869.087579969593"/>
    <n v="4817.1630192867569"/>
    <n v="17793.231473090029"/>
    <s v="NaN"/>
    <n v="-1628521.0306347189"/>
  </r>
  <r>
    <x v="31"/>
    <x v="16"/>
    <n v="897300"/>
    <n v="897300"/>
    <s v="NaN"/>
    <n v="0.56579418506501999"/>
    <n v="-0.1151804994879904"/>
    <n v="0.45061368557702958"/>
    <n v="3.655445732960836E-2"/>
    <n v="5.0853371058012806E-3"/>
    <n v="1.8562504747420199E-2"/>
    <s v="NaN"/>
    <n v="507687.12225884252"/>
    <n v="-103351.4621905738"/>
    <n v="404335.66006826871"/>
    <n v="32800.31456185758"/>
    <n v="4563.0729850354892"/>
    <n v="16656.135509860149"/>
    <s v="NaN"/>
    <n v="-1680635.6714585661"/>
  </r>
  <r>
    <x v="31"/>
    <x v="17"/>
    <n v="897300"/>
    <n v="897300"/>
    <s v="NaN"/>
    <n v="0.5602140428507828"/>
    <n v="-0.10088036271066771"/>
    <n v="0.45933368014011511"/>
    <n v="3.3468387414833267E-2"/>
    <n v="5.6048594500135154E-3"/>
    <n v="2.2695311727166542E-2"/>
    <s v="NaN"/>
    <n v="502680.06065000739"/>
    <n v="-90519.949460282136"/>
    <n v="412160.11118972523"/>
    <n v="30031.184027329891"/>
    <n v="5029.2403844971268"/>
    <n v="20364.503212786542"/>
    <s v="NaN"/>
    <n v="-1714478.475652731"/>
  </r>
  <r>
    <x v="31"/>
    <x v="18"/>
    <n v="897316.99999999988"/>
    <n v="897316.99999999988"/>
    <s v="NaN"/>
    <n v="0.55907507229167919"/>
    <n v="-0.1110762946939657"/>
    <n v="0.44799877759771339"/>
    <n v="4.2774771445856043E-2"/>
    <n v="4.8052897655317612E-3"/>
    <n v="1.60769743227561E-2"/>
    <s v="NaN"/>
    <n v="501667.56664355262"/>
    <n v="-99670.647525905224"/>
    <n v="401996.9191176474"/>
    <n v="38382.529589481201"/>
    <n v="4311.8681965376627"/>
    <n v="14426.142368372541"/>
    <s v="NaN"/>
    <n v="-1683430.683997629"/>
  </r>
  <r>
    <x v="31"/>
    <x v="19"/>
    <n v="897334"/>
    <n v="897334"/>
    <s v="NaN"/>
    <n v="0.53288257580958398"/>
    <n v="-9.4980891711377705E-2"/>
    <n v="0.43790168409820629"/>
    <n v="5.6187306492488688E-2"/>
    <n v="5.5251606839697371E-3"/>
    <n v="2.1743108315351631E-2"/>
    <s v="NaN"/>
    <n v="478173.65328151733"/>
    <n v="-85229.583482937407"/>
    <n v="392944.06979857979"/>
    <n v="50418.780484130853"/>
    <n v="4957.9145371893001"/>
    <n v="19510.83035704774"/>
    <s v="NaN"/>
    <n v="-1715382.5156489641"/>
  </r>
  <r>
    <x v="31"/>
    <x v="20"/>
    <n v="897334.79999999993"/>
    <n v="897334.79999999993"/>
    <s v="NaN"/>
    <n v="0.51383093281815728"/>
    <n v="-0.1016577333138588"/>
    <n v="0.41217319950429848"/>
    <n v="5.2157245979558918E-2"/>
    <n v="5.0757995406317223E-3"/>
    <n v="2.2478114958646451E-2"/>
    <s v="NaN"/>
    <n v="461078.37733419461"/>
    <n v="-91221.021791644816"/>
    <n v="369857.35554254981"/>
    <n v="46802.511889618298"/>
    <n v="4554.6915656328583"/>
    <n v="20170.39479079402"/>
    <s v="NaN"/>
    <n v="-1618411.4972249949"/>
  </r>
  <r>
    <x v="31"/>
    <x v="21"/>
    <n v="897499.7"/>
    <n v="897499.7"/>
    <s v="NaN"/>
    <n v="0.49822796753706039"/>
    <n v="-0.16362080231189441"/>
    <n v="0.33460716522516593"/>
    <n v="4.3183223715929753E-2"/>
    <n v="3.6385590434457301E-3"/>
    <n v="1.2073739668231579E-2"/>
    <s v="NaN"/>
    <n v="447159.45139612141"/>
    <n v="-146849.62098868459"/>
    <n v="300309.83040743682"/>
    <n v="38756.930330079827"/>
    <n v="3265.6056499248289"/>
    <n v="10836.17773011594"/>
    <s v="NaN"/>
    <n v="-1294951.3284311621"/>
  </r>
  <r>
    <x v="31"/>
    <x v="22"/>
    <n v="898136.00000000023"/>
    <n v="898136.00000000023"/>
    <s v="NaN"/>
    <n v="0.48483874095346841"/>
    <n v="-0.22624245177379909"/>
    <n v="0.25859628917966931"/>
    <n v="3.112269871385253E-2"/>
    <n v="5.3029478726902271E-4"/>
    <n v="-9.8534520307888476E-3"/>
    <s v="NaN"/>
    <n v="435451.12744498439"/>
    <n v="-203196.49066631289"/>
    <n v="232254.6367786715"/>
    <n v="27952.41613206466"/>
    <n v="476.27683905865109"/>
    <n v="-8849.7399931245745"/>
    <s v="NaN"/>
    <n v="-923389.82910787454"/>
  </r>
  <r>
    <x v="31"/>
    <x v="23"/>
    <n v="898127.42637789994"/>
    <n v="898127.42637789994"/>
    <s v="NaN"/>
    <n v="0.4681242327141113"/>
    <n v="-0.10897453850844641"/>
    <n v="0.35914969420566489"/>
    <n v="4.0924696826770697E-2"/>
    <n v="4.3364633072492786E-3"/>
    <n v="1.6404832099842399E-2"/>
    <s v="NaN"/>
    <n v="420435.21235265391"/>
    <n v="-97873.021811310275"/>
    <n v="322562.19054134359"/>
    <n v="36755.592636323381"/>
    <n v="3894.696629721991"/>
    <n v="14733.62963399302"/>
    <s v="NaN"/>
    <n v="-1385802.4012851929"/>
  </r>
  <r>
    <x v="31"/>
    <x v="24"/>
    <n v="898114.82836789987"/>
    <n v="898114.82836789987"/>
    <s v="NaN"/>
    <n v="0.44864472961204249"/>
    <n v="-0.14330623757020511"/>
    <n v="0.30533849204183738"/>
    <n v="3.6084535290821583E-2"/>
    <n v="3.6783891400273519E-3"/>
    <n v="1.2615655400176101E-2"/>
    <s v="NaN"/>
    <n v="402934.48433368251"/>
    <n v="-128705.4569594143"/>
    <n v="274229.02737426822"/>
    <n v="32408.05621945165"/>
    <n v="3303.615831166012"/>
    <n v="11330.307184477721"/>
    <s v="NaN"/>
    <n v="-1177993.6909011069"/>
  </r>
  <r>
    <x v="31"/>
    <x v="25"/>
    <n v="897012.2"/>
    <n v="897012.2"/>
    <s v="NaN"/>
    <n v="0.43262845339323508"/>
    <n v="-0.13940568655798499"/>
    <n v="0.29322276683525011"/>
    <n v="3.5457363063509231E-2"/>
    <n v="4.2678624738899341E-3"/>
    <n v="1.6754488429835269E-2"/>
    <s v="NaN"/>
    <n v="388073.00076086319"/>
    <n v="-125048.6015918885"/>
    <n v="263024.39916897472"/>
    <n v="31805.687247797159"/>
    <n v="3828.3247070014522"/>
    <n v="15028.98052632108"/>
    <s v="NaN"/>
    <n v="-1150187.1027171169"/>
  </r>
  <r>
    <x v="31"/>
    <x v="26"/>
    <n v="897014.4"/>
    <n v="897014.4"/>
    <s v="NaN"/>
    <n v="0.42134579905104502"/>
    <n v="-0.15318623951539659"/>
    <n v="0.26815955953564852"/>
    <n v="2.859081358888562E-2"/>
    <n v="2.694717082227903E-3"/>
    <n v="6.3991082697026367E-3"/>
    <s v="NaN"/>
    <n v="377953.24912829371"/>
    <n v="-137410.26272715969"/>
    <n v="240542.986401134"/>
    <n v="25646.371496946089"/>
    <n v="2417.2000266844129"/>
    <n v="5740.0922650823486"/>
    <s v="NaN"/>
    <n v="-1005937.717362863"/>
  </r>
  <r>
    <x v="31"/>
    <x v="27"/>
    <n v="897016.39999999991"/>
    <n v="897016.39999999991"/>
    <s v="NaN"/>
    <n v="0.41155765864609151"/>
    <n v="-0.13451178837474631"/>
    <n v="0.2770458702713452"/>
    <n v="3.1746853128492812E-2"/>
    <n v="3.893043541081775E-3"/>
    <n v="1.5430876017730549E-2"/>
    <s v="NaN"/>
    <n v="369173.96935114579"/>
    <n v="-120659.2801654768"/>
    <n v="248514.68918566909"/>
    <n v="28477.447904649362"/>
    <n v="3492.1239022644249"/>
    <n v="13841.748854270991"/>
    <s v="NaN"/>
    <n v="-1079195.3694385621"/>
  </r>
  <r>
    <x v="31"/>
    <x v="28"/>
    <n v="897015.89999999991"/>
    <n v="897015.89999999991"/>
    <s v="NaN"/>
    <n v="0.41174394986105578"/>
    <n v="-0.14345024162842471"/>
    <n v="0.2682937082326311"/>
    <n v="2.7599565364662151E-2"/>
    <n v="2.869976045631576E-3"/>
    <n v="9.2944050193882518E-3"/>
    <s v="NaN"/>
    <n v="369340.86975416978"/>
    <n v="-128677.1475995389"/>
    <n v="240663.72215463099"/>
    <n v="24757.24896519124"/>
    <n v="2574.4141455506492"/>
    <n v="8337.2290834310697"/>
    <s v="NaN"/>
    <n v="-1013219.585945707"/>
  </r>
  <r>
    <x v="31"/>
    <x v="29"/>
    <n v="897012.39999999991"/>
    <n v="897012.39999999991"/>
    <s v="NaN"/>
    <n v="0.42531404155738778"/>
    <n v="-0.173324004380635"/>
    <n v="0.25199003717675278"/>
    <n v="2.768497634062448E-2"/>
    <n v="2.6887430395049162E-3"/>
    <n v="8.2826945413704469E-3"/>
    <s v="NaN"/>
    <n v="381511.96917109209"/>
    <n v="-155473.78114708391"/>
    <n v="226038.18802400821"/>
    <n v="24833.767071246781"/>
    <n v="2411.835846849599"/>
    <n v="7429.6797090216023"/>
    <s v="NaN"/>
    <n v="-955949.39238754963"/>
  </r>
  <r>
    <x v="31"/>
    <x v="30"/>
    <n v="897019.7"/>
    <n v="897019.7"/>
    <s v="NaN"/>
    <n v="0.42082631984274521"/>
    <n v="-0.13938833921865221"/>
    <n v="0.28143798062409298"/>
    <n v="3.023412818060537E-2"/>
    <n v="3.1317798674146179E-3"/>
    <n v="1.1583136848441609E-2"/>
    <s v="NaN"/>
    <n v="377489.49917744327"/>
    <n v="-125034.0862294136"/>
    <n v="252455.4129480297"/>
    <n v="27120.608590328171"/>
    <n v="2809.2682371342999"/>
    <n v="10390.30194084804"/>
    <s v="NaN"/>
    <n v="-1073510.5029600121"/>
  </r>
  <r>
    <x v="31"/>
    <x v="31"/>
    <n v="896982.8"/>
    <n v="896982.8"/>
    <s v="NaN"/>
    <n v="0.42347605660892129"/>
    <n v="-0.179438358453131"/>
    <n v="0.24403769815579029"/>
    <n v="1.6841187886636869E-2"/>
    <n v="-5.7935690106211549E-4"/>
    <n v="-1.155619337081803E-2"/>
    <s v="NaN"/>
    <n v="379850.73899002868"/>
    <n v="-160953.1211926931"/>
    <n v="218897.61779733561"/>
    <n v="15106.25586588162"/>
    <n v="-519.67317531401932"/>
    <n v="-10365.7066870978"/>
    <s v="NaN"/>
    <n v="-818101.14393636107"/>
  </r>
  <r>
    <x v="31"/>
    <x v="32"/>
    <n v="896992.10000000021"/>
    <n v="896992.10000000021"/>
    <s v="NaN"/>
    <n v="0.41616325874230292"/>
    <n v="-0.1181370250523886"/>
    <n v="0.29802623368991432"/>
    <n v="3.5674152690078308E-2"/>
    <n v="4.9267401800922933E-3"/>
    <n v="2.3436399228100931E-2"/>
    <s v="NaN"/>
    <n v="373295.15540210169"/>
    <n v="-105967.97818949461"/>
    <n v="267327.17721260712"/>
    <n v="31999.433137193999"/>
    <n v="4419.2470202953646"/>
    <n v="21022.264960052631"/>
    <s v="NaN"/>
    <n v="-1190816.4485439879"/>
  </r>
  <r>
    <x v="31"/>
    <x v="33"/>
    <n v="897267"/>
    <n v="897267"/>
    <s v="NaN"/>
    <n v="0.41224766444526673"/>
    <n v="-0.12614642707178081"/>
    <n v="0.28610123737348592"/>
    <n v="3.6033376827458927E-2"/>
    <n v="4.5457537404641904E-3"/>
    <n v="2.1354127308613611E-2"/>
    <s v="NaN"/>
    <n v="369896.22513381112"/>
    <n v="-113187.02617941549"/>
    <n v="256709.19895439551"/>
    <n v="32331.55992584359"/>
    <n v="4078.7548214450821"/>
    <n v="19160.353747817811"/>
    <s v="NaN"/>
    <n v="-1145026.180648278"/>
  </r>
  <r>
    <x v="32"/>
    <x v="0"/>
    <n v="1988.989"/>
    <n v="1988.989"/>
    <s v="NaN"/>
    <n v="2.0948210464858512"/>
    <n v="-1.2026589705482309"/>
    <n v="0.89216207593761943"/>
    <n v="0.08"/>
    <n v="3.752380229352701E-2"/>
    <n v="0.12963909503773019"/>
    <s v="NaN"/>
    <n v="4166.5760184288456"/>
    <n v="-2392.0754631717559"/>
    <n v="1774.5005552570899"/>
    <n v="159.11912000000001"/>
    <n v="74.634429999999995"/>
    <n v="257.85073399999999"/>
    <s v="NaN"/>
    <n v="-8309.0510772767502"/>
  </r>
  <r>
    <x v="32"/>
    <x v="1"/>
    <n v="1989.9639999999999"/>
    <n v="1989.9639999999999"/>
    <s v="NaN"/>
    <n v="2.0960509962516278"/>
    <n v="-1.015014795568226"/>
    <n v="1.0810362006834029"/>
    <n v="7.9999999999999988E-2"/>
    <n v="3.6737340474501043E-2"/>
    <n v="0.12713824069179139"/>
    <s v="NaN"/>
    <n v="4171.0660247048754"/>
    <n v="-2019.842902648129"/>
    <n v="2151.223122056746"/>
    <n v="159.19712000000001"/>
    <n v="73.10598499999999"/>
    <n v="253.00052199999999"/>
    <s v="NaN"/>
    <n v="-9667.2647465422815"/>
  </r>
  <r>
    <x v="32"/>
    <x v="2"/>
    <n v="1991.107"/>
    <n v="1991.107"/>
    <s v="NaN"/>
    <n v="2.111444065602778"/>
    <n v="-0.92087116397395852"/>
    <n v="1.19057290162882"/>
    <n v="8.0000000000000016E-2"/>
    <n v="3.6153707460221868E-2"/>
    <n v="0.12511596112112511"/>
    <s v="NaN"/>
    <n v="4204.1110591301513"/>
    <n v="-1833.553020686697"/>
    <n v="2370.5580384434552"/>
    <n v="159.28855999999999"/>
    <n v="71.985900000000001"/>
    <n v="249.11926600000001"/>
    <s v="NaN"/>
    <n v="-10453.489802960279"/>
  </r>
  <r>
    <x v="32"/>
    <x v="3"/>
    <n v="1991.463"/>
    <n v="1991.463"/>
    <s v="NaN"/>
    <n v="2.1276862261958311"/>
    <n v="-0.94111169351607693"/>
    <n v="1.1865745326797541"/>
    <n v="8.0000000000000016E-2"/>
    <n v="3.5253253512618613E-2"/>
    <n v="0.1223269174471231"/>
    <s v="NaN"/>
    <n v="4237.2083950786282"/>
    <n v="-1874.189116504607"/>
    <n v="2363.019278574021"/>
    <n v="159.31703999999999"/>
    <n v="70.205550000000002"/>
    <n v="243.60953000000001"/>
    <s v="NaN"/>
    <n v="-10399.22179477236"/>
  </r>
  <r>
    <x v="32"/>
    <x v="4"/>
    <n v="1991.671"/>
    <n v="1991.671"/>
    <s v="NaN"/>
    <n v="2.1467982275161042"/>
    <n v="-1.092787143309772"/>
    <n v="1.054011084206333"/>
    <n v="8.0000000000000016E-2"/>
    <n v="3.2921062263797582E-2"/>
    <n v="0.1144512351688607"/>
    <s v="NaN"/>
    <n v="4275.7157725952266"/>
    <n v="-2176.4724625029162"/>
    <n v="2099.2433100923108"/>
    <n v="159.33367999999999"/>
    <n v="65.567924999999988"/>
    <n v="227.949206"/>
    <s v="NaN"/>
    <n v="-9357.678444005991"/>
  </r>
  <r>
    <x v="32"/>
    <x v="5"/>
    <n v="1992.2570000000001"/>
    <n v="1992.2570000000001"/>
    <s v="NaN"/>
    <n v="2.166455365779731"/>
    <n v="-1.189073960123733"/>
    <n v="0.97738140565599829"/>
    <n v="0.08"/>
    <n v="2.7181493150733059E-2"/>
    <n v="9.4650540567808264E-2"/>
    <s v="NaN"/>
    <n v="4316.1358676622303"/>
    <n v="-2368.9409205742281"/>
    <n v="1947.194947088002"/>
    <n v="159.38056"/>
    <n v="54.152520000000003"/>
    <n v="188.56820200000001"/>
    <s v="NaN"/>
    <n v="-8614.0861733234578"/>
  </r>
  <r>
    <x v="32"/>
    <x v="6"/>
    <n v="1993.366"/>
    <n v="1993.366"/>
    <s v="NaN"/>
    <n v="2.1832660808860211"/>
    <n v="-1.2135752527308781"/>
    <n v="0.96969082815514329"/>
    <n v="0.08"/>
    <n v="2.600883129340021E-2"/>
    <n v="9.0570249517650039E-2"/>
    <s v="NaN"/>
    <n v="4352.0483745914444"/>
    <n v="-2419.0996472351389"/>
    <n v="1932.948727356305"/>
    <n v="159.46928"/>
    <n v="51.845120000000001"/>
    <n v="180.53965600000001"/>
    <s v="NaN"/>
    <n v="-8524.2768723072277"/>
  </r>
  <r>
    <x v="32"/>
    <x v="7"/>
    <n v="1996.373"/>
    <n v="1996.373"/>
    <s v="NaN"/>
    <n v="2.2263162833055441"/>
    <n v="-1.318534743968744"/>
    <n v="0.90778153933680017"/>
    <n v="0.08"/>
    <n v="2.5565335235449491E-2"/>
    <n v="8.9631282330506365E-2"/>
    <s v="NaN"/>
    <n v="4444.5577174515392"/>
    <n v="-2632.287162421113"/>
    <n v="1812.2705550304261"/>
    <n v="159.70984000000001"/>
    <n v="51.037945000000001"/>
    <n v="178.93747200000001"/>
    <s v="NaN"/>
    <n v="-8073.8379774456289"/>
  </r>
  <r>
    <x v="32"/>
    <x v="8"/>
    <n v="1998.2829999999999"/>
    <n v="1998.2829999999999"/>
    <s v="NaN"/>
    <n v="2.2542288268427888"/>
    <n v="-1.2355836471268049"/>
    <n v="1.0186451797159839"/>
    <n v="0.08"/>
    <n v="2.432141243257336E-2"/>
    <n v="8.4902256587280178E-2"/>
    <s v="NaN"/>
    <n v="4504.5871427898892"/>
    <n v="-2469.0457971314941"/>
    <n v="2035.5413456583949"/>
    <n v="159.86264"/>
    <n v="48.601064999999998"/>
    <n v="169.658736"/>
    <s v="NaN"/>
    <n v="-8850.1005510815849"/>
  </r>
  <r>
    <x v="32"/>
    <x v="9"/>
    <n v="2000.088"/>
    <n v="2000.088"/>
    <s v="NaN"/>
    <n v="2.2730905333513838"/>
    <n v="-1.293584605245707"/>
    <n v="0.9795059281056766"/>
    <n v="7.9999999999999988E-2"/>
    <n v="2.340372523608961E-2"/>
    <n v="8.1804474603117461E-2"/>
    <s v="NaN"/>
    <n v="4546.3810986697026"/>
    <n v="-2587.283045936676"/>
    <n v="1959.0980527330271"/>
    <n v="160.00703999999999"/>
    <n v="46.809510000000003"/>
    <n v="163.61614800000001"/>
    <s v="NaN"/>
    <n v="-8541.6127526885411"/>
  </r>
  <r>
    <x v="32"/>
    <x v="10"/>
    <n v="2001.2529999999999"/>
    <n v="2001.2529999999999"/>
    <s v="NaN"/>
    <n v="2.313123339388758"/>
    <n v="-1.4062694557824269"/>
    <n v="0.90685388360633112"/>
    <n v="0.08"/>
    <n v="1.482571668849466E-2"/>
    <n v="5.2457694254549533E-2"/>
    <s v="NaN"/>
    <n v="4629.1450223217707"/>
    <n v="-2814.3009671929499"/>
    <n v="1814.8440551288211"/>
    <n v="160.10024000000001"/>
    <n v="29.670010000000001"/>
    <n v="104.981118"/>
    <s v="NaN"/>
    <n v="-7735.183218139714"/>
  </r>
  <r>
    <x v="32"/>
    <x v="11"/>
    <n v="2002.1289999999999"/>
    <n v="2002.1289999999999"/>
    <s v="NaN"/>
    <n v="2.321070101713512"/>
    <n v="-1.4164205121468709"/>
    <n v="0.9046495895666411"/>
    <n v="0.08"/>
    <n v="1.3767909060804769E-2"/>
    <n v="4.8420932916909951E-2"/>
    <s v="NaN"/>
    <n v="4647.0817616735721"/>
    <n v="-2835.856583564102"/>
    <n v="1811.2251781094701"/>
    <n v="160.17032"/>
    <n v="27.56513"/>
    <n v="96.94495400000001"/>
    <s v="NaN"/>
    <n v="-7684.9871344020867"/>
  </r>
  <r>
    <x v="32"/>
    <x v="12"/>
    <n v="2002.7729999999999"/>
    <n v="2002.7729999999999"/>
    <s v="NaN"/>
    <n v="2.338619620275209"/>
    <n v="-1.4253463568671061"/>
    <n v="0.91327326340810377"/>
    <n v="0.08"/>
    <n v="1.334242572672989E-2"/>
    <n v="4.6555237163672568E-2"/>
    <s v="NaN"/>
    <n v="4683.7242327574422"/>
    <n v="-2854.6451991818039"/>
    <n v="1829.0790335756381"/>
    <n v="160.22183999999999"/>
    <n v="26.72185"/>
    <n v="93.23957200000001"/>
    <s v="NaN"/>
    <n v="-7733.9617504447106"/>
  </r>
  <r>
    <x v="32"/>
    <x v="13"/>
    <n v="2004.1"/>
    <n v="2004.1"/>
    <s v="NaN"/>
    <n v="2.350111268285703"/>
    <n v="-1.5077604649886109"/>
    <n v="0.84235080329709122"/>
    <n v="0.08"/>
    <n v="1.3428431714984279E-2"/>
    <n v="4.6481801307320013E-2"/>
    <s v="NaN"/>
    <n v="4709.8579927713763"/>
    <n v="-3021.7027478836758"/>
    <n v="1688.155244887701"/>
    <n v="160.328"/>
    <n v="26.911919999999999"/>
    <n v="93.154178000000016"/>
    <s v="NaN"/>
    <n v="-7218.0142572555578"/>
  </r>
  <r>
    <x v="32"/>
    <x v="14"/>
    <n v="2004.9259999999999"/>
    <n v="2004.9259999999999"/>
    <s v="NaN"/>
    <n v="2.368898543314502"/>
    <n v="-1.63943211552304"/>
    <n v="0.72946642779146098"/>
    <n v="0.08"/>
    <n v="1.30298250409242E-2"/>
    <n v="4.5102767882704897E-2"/>
    <s v="NaN"/>
    <n v="4749.4662808533703"/>
    <n v="-3286.940073647148"/>
    <n v="1462.526207206223"/>
    <n v="160.39408"/>
    <n v="26.123835"/>
    <n v="90.427712"/>
    <s v="NaN"/>
    <n v="-6378.0633920900636"/>
  </r>
  <r>
    <x v="32"/>
    <x v="15"/>
    <n v="2005.2339999999999"/>
    <n v="2005.2339999999999"/>
    <s v="NaN"/>
    <n v="2.3871892940481372"/>
    <n v="-2.248082150499453"/>
    <n v="0.13910714354868389"/>
    <n v="0.08"/>
    <n v="1.2438406190998161E-2"/>
    <n v="4.2992547503184167E-2"/>
    <s v="NaN"/>
    <n v="4786.8731368613217"/>
    <n v="-4507.9307629746199"/>
    <n v="278.94237388670172"/>
    <n v="160.41872000000001"/>
    <n v="24.941915000000002"/>
    <n v="86.210117999999994"/>
    <s v="NaN"/>
    <n v="-2018.5481319180899"/>
  </r>
  <r>
    <x v="32"/>
    <x v="16"/>
    <n v="2006.94"/>
    <n v="2006.94"/>
    <s v="NaN"/>
    <n v="2.4076959585143229"/>
    <n v="-1.859812309524745"/>
    <n v="0.54788364898957764"/>
    <n v="8.0000000000000016E-2"/>
    <n v="9.3041770057899088E-3"/>
    <n v="3.0268766380659111E-2"/>
    <s v="NaN"/>
    <n v="4832.1013269807354"/>
    <n v="-3732.531716477592"/>
    <n v="1099.5696105031429"/>
    <n v="160.55520000000001"/>
    <n v="18.672924999999999"/>
    <n v="60.747598000000004"/>
    <s v="NaN"/>
    <n v="-4911.6662228453042"/>
  </r>
  <r>
    <x v="32"/>
    <x v="17"/>
    <n v="2007.1420000000001"/>
    <n v="2007.1420000000001"/>
    <s v="NaN"/>
    <n v="2.4099648461541552"/>
    <n v="-1.899189375052085"/>
    <n v="0.51077547110207022"/>
    <n v="0.08"/>
    <n v="8.9416144946396405E-3"/>
    <n v="2.8645069456969159E-2"/>
    <s v="NaN"/>
    <n v="4837.1416612395433"/>
    <n v="-3811.9427606207919"/>
    <n v="1025.1989006187509"/>
    <n v="160.57136"/>
    <n v="17.947089999999999"/>
    <n v="57.494722000000003"/>
    <s v="NaN"/>
    <n v="-4624.4442662691736"/>
  </r>
  <r>
    <x v="32"/>
    <x v="18"/>
    <n v="2008.2570000000001"/>
    <n v="2008.2570000000001"/>
    <s v="NaN"/>
    <n v="2.434236784248649"/>
    <n v="-2.086301228323848"/>
    <n v="0.3479355559248013"/>
    <n v="7.9999999999999988E-2"/>
    <n v="8.2640145160704018E-3"/>
    <n v="2.6140926186240108E-2"/>
    <s v="NaN"/>
    <n v="4888.5730616248393"/>
    <n v="-4189.8290458899664"/>
    <n v="698.74401573487376"/>
    <n v="160.66056"/>
    <n v="16.596264999999999"/>
    <n v="52.497698"/>
    <s v="NaN"/>
    <n v="-3404.4946420281799"/>
  </r>
  <r>
    <x v="32"/>
    <x v="19"/>
    <n v="2008.8430000000001"/>
    <n v="2008.8430000000001"/>
    <s v="NaN"/>
    <n v="2.4518920690040962"/>
    <n v="-2.030823368870855"/>
    <n v="0.42106870013324033"/>
    <n v="8.0000000000000016E-2"/>
    <n v="6.2794056081037688E-3"/>
    <n v="1.9941043675389271E-2"/>
    <s v="NaN"/>
    <n v="4925.466219574394"/>
    <n v="-4079.6053087926348"/>
    <n v="845.86091078175878"/>
    <n v="160.70743999999999"/>
    <n v="12.61434"/>
    <n v="40.058425999999997"/>
    <s v="NaN"/>
    <n v="-3883.8840948668021"/>
  </r>
  <r>
    <x v="32"/>
    <x v="20"/>
    <n v="2011.249"/>
    <n v="2011.249"/>
    <s v="NaN"/>
    <n v="2.4674759351836291"/>
    <n v="-2.1798300194135072"/>
    <n v="0.28764591577012172"/>
    <n v="7.9999999999999988E-2"/>
    <n v="6.0577133910321391E-3"/>
    <n v="1.9124494281911389E-2"/>
    <s v="NaN"/>
    <n v="4962.7085071621377"/>
    <n v="-4384.1809467153962"/>
    <n v="578.52756044674152"/>
    <n v="160.89992000000001"/>
    <n v="12.18357"/>
    <n v="38.464120000000001"/>
    <s v="NaN"/>
    <n v="-2896.942291638316"/>
  </r>
  <r>
    <x v="32"/>
    <x v="21"/>
    <n v="2012.336"/>
    <n v="2012.336"/>
    <s v="NaN"/>
    <n v="2.481248549987686"/>
    <n v="-2.112666632073037"/>
    <n v="0.36858191791464812"/>
    <n v="0.08"/>
    <n v="5.8917273258541313E-3"/>
    <n v="1.8090463024067551E-2"/>
    <s v="NaN"/>
    <n v="4993.1057820880196"/>
    <n v="-4251.3951197193282"/>
    <n v="741.71066236869137"/>
    <n v="160.98688000000001"/>
    <n v="11.856135"/>
    <n v="36.404089999999997"/>
    <s v="NaN"/>
    <n v="-3486.845147018852"/>
  </r>
  <r>
    <x v="32"/>
    <x v="22"/>
    <n v="2014.059"/>
    <n v="2014.059"/>
    <s v="NaN"/>
    <n v="2.501498349426253"/>
    <n v="-1.8484972115255329"/>
    <n v="0.65300113790072079"/>
    <n v="0.08"/>
    <n v="5.9645745233878446E-3"/>
    <n v="1.7949999478664731E-2"/>
    <s v="NaN"/>
    <n v="5038.165264147091"/>
    <n v="-3722.9824453479032"/>
    <n v="1315.182818799188"/>
    <n v="161.12472"/>
    <n v="12.013005"/>
    <n v="36.152358"/>
    <s v="NaN"/>
    <n v="-5589.7339732641967"/>
  </r>
  <r>
    <x v="32"/>
    <x v="23"/>
    <n v="2015.3679999999999"/>
    <n v="2015.3679999999999"/>
    <s v="NaN"/>
    <n v="2.4865339681959648"/>
    <n v="-1.763806268201058"/>
    <n v="0.7227276999949066"/>
    <n v="0.08"/>
    <n v="6.1017541213316869E-3"/>
    <n v="1.8228610358009059E-2"/>
    <s v="NaN"/>
    <n v="5011.2809904151663"/>
    <n v="-3554.7187111318308"/>
    <n v="1456.5622792833351"/>
    <n v="161.22944000000001"/>
    <n v="12.297280000000001"/>
    <n v="36.737358"/>
    <s v="NaN"/>
    <n v="-6111.6966433727848"/>
  </r>
  <r>
    <x v="32"/>
    <x v="24"/>
    <n v="2017.105"/>
    <n v="2017.105"/>
    <s v="NaN"/>
    <n v="2.4937457314757481"/>
    <n v="-2.1052333542651112"/>
    <n v="0.38851237721063758"/>
    <n v="7.9999999999999988E-2"/>
    <n v="6.3695172041118332E-3"/>
    <n v="1.868070328515372E-2"/>
    <s v="NaN"/>
    <n v="5030.1469836883889"/>
    <n v="-4246.4767250549257"/>
    <n v="783.67025863346316"/>
    <n v="161.36840000000001"/>
    <n v="12.847985"/>
    <n v="37.68094"/>
    <s v="NaN"/>
    <n v="-3650.4144733230301"/>
  </r>
  <r>
    <x v="32"/>
    <x v="25"/>
    <n v="2020.116"/>
    <n v="2020.116"/>
    <s v="NaN"/>
    <n v="2.4953356034194858"/>
    <n v="-2.0559701149270881"/>
    <n v="0.43936548849239743"/>
    <n v="0.08"/>
    <n v="6.8579947884180904E-3"/>
    <n v="1.9813519619665401E-2"/>
    <s v="NaN"/>
    <n v="5040.8673778373577"/>
    <n v="-4153.29812468605"/>
    <n v="887.56925315130775"/>
    <n v="161.60928000000001"/>
    <n v="13.853945"/>
    <n v="40.025607999999998"/>
    <s v="NaN"/>
    <n v="-4044.5463158884959"/>
  </r>
  <r>
    <x v="32"/>
    <x v="26"/>
    <n v="2022.5219999999999"/>
    <n v="2022.5219999999999"/>
    <s v="NaN"/>
    <n v="2.4892979320057198"/>
    <n v="-2.0877395318538752"/>
    <n v="0.40155840015184541"/>
    <n v="0.08"/>
    <n v="7.0324550239750181E-3"/>
    <n v="2.015187078311138E-2"/>
    <s v="NaN"/>
    <n v="5034.6598320360736"/>
    <n v="-4222.4991334441629"/>
    <n v="812.16069859191066"/>
    <n v="161.80176"/>
    <n v="14.223295"/>
    <n v="40.757601999999999"/>
    <s v="NaN"/>
    <n v="-3772.7923038373492"/>
  </r>
  <r>
    <x v="32"/>
    <x v="27"/>
    <n v="2024.374"/>
    <n v="2024.374"/>
    <s v="NaN"/>
    <n v="2.479664185283847"/>
    <n v="-2.0875212464029902"/>
    <n v="0.39214293888085711"/>
    <n v="0.08"/>
    <n v="6.7355340465743976E-3"/>
    <n v="1.825897487322007E-2"/>
    <s v="NaN"/>
    <n v="5019.767705419803"/>
    <n v="-4225.9237356658068"/>
    <n v="793.84396975399613"/>
    <n v="161.94991999999999"/>
    <n v="13.63524"/>
    <n v="36.962994000000002"/>
    <s v="NaN"/>
    <n v="-3690.1044537649882"/>
  </r>
  <r>
    <x v="32"/>
    <x v="28"/>
    <n v="2026.027"/>
    <n v="2026.027"/>
    <s v="NaN"/>
    <n v="2.4791453775290959"/>
    <n v="-2.1841341750745888"/>
    <n v="0.29501120245450729"/>
    <n v="7.9999999999999988E-2"/>
    <n v="6.650972568480084E-3"/>
    <n v="1.7756493867061001E-2"/>
    <s v="NaN"/>
    <n v="5022.815471799142"/>
    <n v="-4425.1148103238438"/>
    <n v="597.70066147529815"/>
    <n v="162.08215999999999"/>
    <n v="13.47505"/>
    <n v="35.975135999999999"/>
    <s v="NaN"/>
    <n v="-2967.1876940763632"/>
  </r>
  <r>
    <x v="32"/>
    <x v="29"/>
    <n v="2027.0989999999999"/>
    <n v="2027.0989999999999"/>
    <s v="NaN"/>
    <n v="2.4753466236116162"/>
    <n v="-2.044174573015948"/>
    <n v="0.43117205059566782"/>
    <n v="7.9999999999999988E-2"/>
    <n v="6.4550128040120397E-3"/>
    <n v="1.6770096576437559E-2"/>
    <s v="NaN"/>
    <n v="5017.772665376483"/>
    <n v="-4143.7442327860554"/>
    <n v="874.02843259042766"/>
    <n v="162.16792000000001"/>
    <n v="13.084949999999999"/>
    <n v="33.994646000000003"/>
    <s v="NaN"/>
    <n v="-3972.0118114985949"/>
  </r>
  <r>
    <x v="32"/>
    <x v="30"/>
    <n v="2027.8520000000001"/>
    <n v="2027.8520000000001"/>
    <s v="NaN"/>
    <n v="2.4762899123007558"/>
    <n v="-1.685869136679226"/>
    <n v="0.79042077562153057"/>
    <n v="0.08"/>
    <n v="6.3633884524117142E-3"/>
    <n v="1.6421649114432411E-2"/>
    <s v="NaN"/>
    <n v="5021.5494512389132"/>
    <n v="-3418.693100553241"/>
    <n v="1602.8563506856719"/>
    <n v="162.22816"/>
    <n v="12.90401"/>
    <n v="33.300674000000001"/>
    <s v="NaN"/>
    <n v="-6641.3937138480687"/>
  </r>
  <r>
    <x v="32"/>
    <x v="31"/>
    <n v="2028.509"/>
    <n v="2028.509"/>
    <s v="NaN"/>
    <n v="2.477588025922528"/>
    <n v="-1.722243609536767"/>
    <n v="0.75534441638576166"/>
    <n v="8.0000000000000016E-2"/>
    <n v="6.2696739329231466E-3"/>
    <n v="1.5935547734814089E-2"/>
    <s v="NaN"/>
    <n v="5025.8096088760822"/>
    <n v="-3493.5866621378168"/>
    <n v="1532.2229467382649"/>
    <n v="162.28072"/>
    <n v="12.71809"/>
    <n v="32.325401999999997"/>
    <s v="NaN"/>
    <n v="-6378.3395820408841"/>
  </r>
  <r>
    <x v="32"/>
    <x v="32"/>
    <n v="2029.0350000000001"/>
    <n v="2029.0350000000001"/>
    <s v="NaN"/>
    <n v="2.5667170937538919"/>
    <n v="-1.727229877420454"/>
    <n v="0.83948721633343781"/>
    <n v="0.08"/>
    <n v="6.2269379286212416E-3"/>
    <n v="1.578325952977647E-2"/>
    <s v="NaN"/>
    <n v="5207.958818324928"/>
    <n v="-3504.6098743318112"/>
    <n v="1703.348943993117"/>
    <n v="162.3228"/>
    <n v="12.634675"/>
    <n v="32.024785999999999"/>
    <s v="NaN"/>
    <n v="-7004.5477516420642"/>
  </r>
  <r>
    <x v="32"/>
    <x v="33"/>
    <n v="2030.423"/>
    <n v="2030.423"/>
    <s v="NaN"/>
    <n v="2.459919088219539"/>
    <n v="-1.6190662532502189"/>
    <n v="0.84085283496931895"/>
    <n v="0.08"/>
    <n v="6.1826205672414064E-3"/>
    <n v="1.5676418165081859E-2"/>
    <s v="NaN"/>
    <n v="4994.6762948599799"/>
    <n v="-3287.3893591230699"/>
    <n v="1707.28693573691"/>
    <n v="162.43384"/>
    <n v="12.553335000000001"/>
    <n v="31.82976"/>
    <s v="NaN"/>
    <n v="-7018.3808593693066"/>
  </r>
  <r>
    <x v="33"/>
    <x v="0"/>
    <n v="1024.2949834592409"/>
    <n v="1023.438733459241"/>
    <n v="0.85624999999999996"/>
    <n v="1.2400672197019109"/>
    <n v="-6.0345674631353652E-2"/>
    <n v="1.1797215450705569"/>
    <n v="9.8235583812224733E-2"/>
    <n v="5.782857331563483E-3"/>
    <n v="3.684881055120038E-3"/>
    <s v="NaN"/>
    <n v="1270.1946322929159"/>
    <n v="-61.811771798359118"/>
    <n v="1208.382860494557"/>
    <n v="100.6222156960516"/>
    <n v="5.9233517547809678"/>
    <n v="3.771250000000002"/>
    <s v="NaN"/>
    <n v="-4835.2321524668669"/>
  </r>
  <r>
    <x v="33"/>
    <x v="1"/>
    <n v="1039.7949834592409"/>
    <n v="1038.9387334592409"/>
    <n v="0.85624999999999996"/>
    <n v="1.261809750891794"/>
    <n v="-8.0615619177102874E-2"/>
    <n v="1.181194131714691"/>
    <n v="9.7704866568664034E-2"/>
    <n v="7.6648531809487526E-3"/>
    <n v="4.8695725138237752E-3"/>
    <s v="NaN"/>
    <n v="1312.023449057242"/>
    <n v="-83.823716408812132"/>
    <n v="1228.19973264843"/>
    <n v="101.5930301176513"/>
    <n v="7.9698758865021171"/>
    <n v="5.0591875000000037"/>
    <s v="NaN"/>
    <n v="-4923.6800292265852"/>
  </r>
  <r>
    <x v="33"/>
    <x v="2"/>
    <n v="1055.29498345924"/>
    <n v="1054.43873345924"/>
    <n v="0.85624999999999996"/>
    <n v="1.3150079100646741"/>
    <n v="-0.10026325594046739"/>
    <n v="1.2147446541242071"/>
    <n v="9.7327093769470852E-2"/>
    <n v="9.4915641363040142E-3"/>
    <n v="6.0194346040166151E-3"/>
    <s v="NaN"/>
    <n v="1387.721250700471"/>
    <n v="-105.8073110192651"/>
    <n v="1281.9139396812061"/>
    <n v="102.70879380958969"/>
    <n v="10.016400018223271"/>
    <n v="6.3471250000000037"/>
    <s v="NaN"/>
    <n v="-5136.9496145335352"/>
  </r>
  <r>
    <x v="33"/>
    <x v="3"/>
    <n v="1070.79498345924"/>
    <n v="1069.93873345924"/>
    <n v="0.85624999999999996"/>
    <n v="1.335071008451544"/>
    <n v="-0.1193420847162406"/>
    <n v="1.2157289237353031"/>
    <n v="9.7095623698188818E-2"/>
    <n v="1.12653909817309E-2"/>
    <n v="7.1359810251143364E-3"/>
    <s v="NaN"/>
    <n v="1429.587338411782"/>
    <n v="-127.7909056297181"/>
    <n v="1301.7964327820639"/>
    <n v="103.9695067718667"/>
    <n v="12.06292414994441"/>
    <n v="7.6350625000000027"/>
    <s v="NaN"/>
    <n v="-5226.7010627480176"/>
  </r>
  <r>
    <x v="33"/>
    <x v="4"/>
    <n v="1086.29498345924"/>
    <n v="1085.43873345924"/>
    <n v="0.85624999999999996"/>
    <n v="1.3545615588109361"/>
    <n v="-0.13787645392895351"/>
    <n v="1.216685104881982"/>
    <n v="9.7004193712578457E-2"/>
    <n v="1.2988597477210919E-2"/>
    <n v="8.220639014385309E-3"/>
    <s v="NaN"/>
    <n v="1471.4534261230481"/>
    <n v="-149.77450024017119"/>
    <n v="1321.6789258828769"/>
    <n v="105.3751690044823"/>
    <n v="14.109448281665561"/>
    <n v="8.9230000000000054"/>
    <s v="NaN"/>
    <n v="-5316.9839916202409"/>
  </r>
  <r>
    <x v="33"/>
    <x v="5"/>
    <n v="1101.79498345924"/>
    <n v="1100.93873345924"/>
    <n v="0.85624999999999996"/>
    <n v="1.3735037248790589"/>
    <n v="-0.15588934187317269"/>
    <n v="1.2176143830058861"/>
    <n v="9.7046893580626153E-2"/>
    <n v="1.466331999684984E-2"/>
    <n v="9.2747554334076335E-3"/>
    <s v="NaN"/>
    <n v="1513.3195138343281"/>
    <n v="-171.75809485062419"/>
    <n v="1341.5614189837031"/>
    <n v="106.9257805074366"/>
    <n v="16.15597241338671"/>
    <n v="10.210937500000011"/>
    <s v="NaN"/>
    <n v="-5407.7984011504232"/>
  </r>
  <r>
    <x v="33"/>
    <x v="6"/>
    <n v="1117.3028429650631"/>
    <n v="1116.446592965063"/>
    <n v="0.85624999999999996"/>
    <n v="1.39174989174381"/>
    <n v="-0.17317270320359571"/>
    <n v="1.218577188540215"/>
    <n v="9.7217258096626347E-2"/>
    <n v="1.6262962220772999E-2"/>
    <n v="1.0278186089451091E-2"/>
    <s v="NaN"/>
    <n v="1555.006110741678"/>
    <n v="-193.48635361332251"/>
    <n v="1361.519757128355"/>
    <n v="108.6211188566289"/>
    <n v="18.170653924303078"/>
    <n v="11.47504584142858"/>
    <s v="NaN"/>
    <n v="-5499.2174444197917"/>
  </r>
  <r>
    <x v="33"/>
    <x v="7"/>
    <n v="1132.8107024708861"/>
    <n v="1131.9544524708861"/>
    <n v="0.85624999999999996"/>
    <n v="1.4584913906609209"/>
    <n v="-0.19004959249275291"/>
    <n v="1.2684417981681679"/>
    <n v="9.7509867397368694E-2"/>
    <n v="1.7818807141556141E-2"/>
    <n v="1.125412259746803E-2"/>
    <s v="NaN"/>
    <n v="1652.194656802337"/>
    <n v="-215.290212376021"/>
    <n v="1436.904444426317"/>
    <n v="110.4602213842562"/>
    <n v="20.18533543521945"/>
    <n v="12.739154182857151"/>
    <s v="NaN"/>
    <n v="-5794.3935699055746"/>
  </r>
  <r>
    <x v="33"/>
    <x v="8"/>
    <n v="1148.3185619767089"/>
    <n v="1147.4623119767091"/>
    <n v="0.85624999999999996"/>
    <n v="1.4730705625859719"/>
    <n v="-0.20647064237173621"/>
    <n v="1.266599920214236"/>
    <n v="9.7919768793739217E-2"/>
    <n v="1.9332629186034268E-2"/>
    <n v="1.2203679700959071E-2"/>
    <s v="NaN"/>
    <n v="1691.5542701189449"/>
    <n v="-237.09407113871941"/>
    <n v="1454.460198980225"/>
    <n v="112.4430880903184"/>
    <n v="22.200016946135818"/>
    <n v="14.00326252428572"/>
    <s v="NaN"/>
    <n v="-5878.0574106507411"/>
  </r>
  <r>
    <x v="33"/>
    <x v="9"/>
    <n v="1163.826421482531"/>
    <n v="1162.970171482531"/>
    <n v="0.85624999999999996"/>
    <n v="1.4872561844491969"/>
    <n v="-0.2224540748710814"/>
    <n v="1.2648021095781159"/>
    <n v="9.8442273572782346E-2"/>
    <n v="2.080610820487E-2"/>
    <n v="1.312791268433975E-2"/>
    <s v="NaN"/>
    <n v="1730.908042975273"/>
    <n v="-258.8979299014178"/>
    <n v="1472.0101130738551"/>
    <n v="114.5697189748157"/>
    <n v="24.21469845705219"/>
    <n v="15.267370865714289"/>
    <s v="NaN"/>
    <n v="-5962.2269716958144"/>
  </r>
  <r>
    <x v="33"/>
    <x v="10"/>
    <n v="1179.334280988355"/>
    <n v="1178.478030988354"/>
    <n v="0.85624999999999996"/>
    <n v="1.501063781413825"/>
    <n v="-0.23801715356639239"/>
    <n v="1.263046627847433"/>
    <n v="9.9072939641700858E-2"/>
    <n v="2.2240835690782019E-2"/>
    <n v="1.40278212851184E-2"/>
    <s v="NaN"/>
    <n v="1770.255975371334"/>
    <n v="-280.70178866411618"/>
    <n v="1489.5541867072179"/>
    <n v="116.8401140377479"/>
    <n v="26.229379967968551"/>
    <n v="16.531479207142858"/>
    <s v="NaN"/>
    <n v="-6046.9022530408347"/>
  </r>
  <r>
    <x v="33"/>
    <x v="11"/>
    <n v="1194.8421404941771"/>
    <n v="1193.9858904941771"/>
    <n v="0.85624999999999996"/>
    <n v="1.514508072638526"/>
    <n v="-0.25317624577728792"/>
    <n v="1.2613318268612379"/>
    <n v="9.9807555523436828E-2"/>
    <n v="2.3638320512535151E-2"/>
    <n v="1.4904353301198591E-2"/>
    <s v="NaN"/>
    <n v="1809.5980673071269"/>
    <n v="-302.50564742681462"/>
    <n v="1507.0924198803129"/>
    <n v="119.2542732791147"/>
    <n v="28.24406147888492"/>
    <n v="17.795587548571429"/>
    <s v="NaN"/>
    <n v="-6132.0832546857973"/>
  </r>
  <r>
    <x v="33"/>
    <x v="12"/>
    <n v="1210.3499999999999"/>
    <n v="1209.4937500000001"/>
    <n v="0.85624999999999996"/>
    <n v="1.756183423220546"/>
    <n v="-0.26794687998472588"/>
    <n v="1.48823654323582"/>
    <n v="0.10064212558261409"/>
    <n v="2.499999420812269E-2"/>
    <n v="1.57584079206693E-2"/>
    <s v="NaN"/>
    <n v="2125.5966062949869"/>
    <n v="-324.30950618951289"/>
    <n v="1801.287100105475"/>
    <n v="121.81219669891691"/>
    <n v="30.258742989801291"/>
    <n v="19.059695890000011"/>
    <s v="NaN"/>
    <n v="-7232.1983641760316"/>
  </r>
  <r>
    <x v="33"/>
    <x v="13"/>
    <n v="1209.45"/>
    <n v="1208.616506666667"/>
    <n v="0.83349333333333331"/>
    <n v="1.758019338904268"/>
    <n v="-0.26633298714960701"/>
    <n v="1.491686351754661"/>
    <n v="0.101521958041359"/>
    <n v="2.4850841072719222E-2"/>
    <n v="1.5666287267762841E-2"/>
    <s v="NaN"/>
    <n v="2126.236489437767"/>
    <n v="-322.11643130809222"/>
    <n v="1804.120058129675"/>
    <n v="122.7857321531216"/>
    <n v="30.055849735400258"/>
    <n v="18.934533389999999"/>
    <s v="NaN"/>
    <n v="-7244.9526358307139"/>
  </r>
  <r>
    <x v="33"/>
    <x v="14"/>
    <n v="1208.55"/>
    <n v="1207.7392633333329"/>
    <n v="0.81073666666666666"/>
    <n v="1.7598619090832379"/>
    <n v="-0.26463849772592901"/>
    <n v="1.4952234113573091"/>
    <n v="0.1023906205259489"/>
    <n v="2.4701465790409369E-2"/>
    <n v="1.5574032790891109E-2"/>
    <s v="NaN"/>
    <n v="2126.8811102225459"/>
    <n v="-319.82885642667151"/>
    <n v="1807.052253795875"/>
    <n v="123.74418443663551"/>
    <n v="29.852956480999239"/>
    <n v="18.80937089"/>
    <s v="NaN"/>
    <n v="-7258.0154738801957"/>
  </r>
  <r>
    <x v="33"/>
    <x v="15"/>
    <n v="1207.6500000000001"/>
    <n v="1206.86202"/>
    <n v="0.78798000000000001"/>
    <n v="1.7617111486351069"/>
    <n v="-0.26294148266902728"/>
    <n v="1.4987696659660801"/>
    <n v="0.1032480880631463"/>
    <n v="2.4551867864528801E-2"/>
    <n v="1.5481644198232379E-2"/>
    <s v="NaN"/>
    <n v="2127.5304686491868"/>
    <n v="-317.5412815452508"/>
    <n v="1809.989187103937"/>
    <n v="124.6875535494587"/>
    <n v="29.65006322659821"/>
    <n v="18.684208390000009"/>
    <s v="NaN"/>
    <n v="-7271.0403783239708"/>
  </r>
  <r>
    <x v="33"/>
    <x v="16"/>
    <n v="1206.75"/>
    <n v="1205.8896193749999"/>
    <n v="0.86038062500000001"/>
    <n v="1.763567072482054"/>
    <n v="-0.26124193632801329"/>
    <n v="1.5023251361540411"/>
    <n v="0.1040943356052131"/>
    <n v="2.440204679693158E-2"/>
    <n v="1.539033555958377E-2"/>
    <s v="NaN"/>
    <n v="2128.1845647177188"/>
    <n v="-315.25370666382997"/>
    <n v="1812.9308580538891"/>
    <n v="125.6158394915909"/>
    <n v="29.447169972197191"/>
    <n v="18.55904589"/>
    <s v="NaN"/>
    <n v="-7284.0273491621438"/>
  </r>
  <r>
    <x v="33"/>
    <x v="17"/>
    <n v="1206.7"/>
    <n v="1205.76721875"/>
    <n v="0.93278125000000001"/>
    <n v="1.765566132089748"/>
    <n v="-0.25962627041573699"/>
    <n v="1.5059398616740121"/>
    <n v="0.1049289190564802"/>
    <n v="2.425671649442496E-2"/>
    <n v="1.5341801321571039E-2"/>
    <s v="NaN"/>
    <n v="2130.5086515927001"/>
    <n v="-313.29102051066991"/>
    <n v="1817.21763108203"/>
    <n v="126.61772662545469"/>
    <n v="29.270579793822609"/>
    <n v="18.498641110125789"/>
    <s v="NaN"/>
    <n v="-7302.5501215759186"/>
  </r>
  <r>
    <x v="33"/>
    <x v="18"/>
    <n v="1206.6500000000001"/>
    <n v="1205.7236875000001"/>
    <n v="0.92631249999999998"/>
    <n v="1.813594902104813"/>
    <n v="-0.2580887866054859"/>
    <n v="1.555506115499327"/>
    <n v="2.062775125863962E-2"/>
    <n v="2.411137414780426E-2"/>
    <n v="1.529225685901736E-2"/>
    <s v="NaN"/>
    <n v="2188.3742886247719"/>
    <n v="-311.42283435750949"/>
    <n v="1876.9514542672621"/>
    <n v="24.8904760562375"/>
    <n v="29.09398961544801"/>
    <n v="18.43823633025157"/>
    <s v="NaN"/>
    <n v="-7147.7052396543813"/>
  </r>
  <r>
    <x v="33"/>
    <x v="19"/>
    <n v="1206.5999999999999"/>
    <n v="1205.6799531250001"/>
    <n v="0.92004687500000004"/>
    <n v="1.812381647415787"/>
    <n v="-0.25655117537240962"/>
    <n v="1.555830472043378"/>
    <n v="2.049172135345494E-2"/>
    <n v="2.3966019755572211E-2"/>
    <n v="1.52427113868352E-2"/>
    <s v="NaN"/>
    <n v="2186.8196957718892"/>
    <n v="-309.55464820434929"/>
    <n v="1877.2650475675391"/>
    <n v="24.725310985078728"/>
    <n v="28.917399437073431"/>
    <n v="18.377831550377358"/>
    <s v="NaN"/>
    <n v="-7147.3804949809028"/>
  </r>
  <r>
    <x v="33"/>
    <x v="20"/>
    <n v="1206.55"/>
    <n v="1205.6291562500001"/>
    <n v="0.92084374999999996"/>
    <n v="1.8111682921710719"/>
    <n v="-0.25501343670066651"/>
    <n v="1.556154855470405"/>
    <n v="2.0355769386380531E-2"/>
    <n v="2.3820653316231271E-2"/>
    <n v="1.519325132072771E-2"/>
    <s v="NaN"/>
    <n v="2185.265102919006"/>
    <n v="-307.6864620511891"/>
    <n v="1877.5786408678171"/>
    <n v="24.560253553137422"/>
    <n v="28.740809258698839"/>
    <n v="18.31742677050315"/>
    <s v="NaN"/>
    <n v="-7147.0561449845572"/>
  </r>
  <r>
    <x v="33"/>
    <x v="21"/>
    <n v="1206.5"/>
    <n v="1205.5757187500001"/>
    <n v="0.92428125000000005"/>
    <n v="1.795577553538485"/>
    <n v="-0.2352546052943025"/>
    <n v="1.5603229482441829"/>
    <n v="1.8704920478766481E-2"/>
    <n v="2.1979026065978541E-2"/>
    <n v="1.4075502871128919E-2"/>
    <s v="NaN"/>
    <n v="2166.3643183441818"/>
    <n v="-283.8346812875759"/>
    <n v="1882.5296370566059"/>
    <n v="22.567486557631749"/>
    <n v="26.517694948603101"/>
    <n v="16.969084490628941"/>
    <s v="NaN"/>
    <n v="-7144.8076445300403"/>
  </r>
  <r>
    <x v="33"/>
    <x v="22"/>
    <n v="1206.45"/>
    <n v="1205.528296875"/>
    <n v="0.92170312499999996"/>
    <n v="1.77998552262369"/>
    <n v="-0.21549413612164831"/>
    <n v="1.564491386502042"/>
    <n v="1.7055073835930822E-2"/>
    <n v="2.013724616727371E-2"/>
    <n v="1.2957590668959979E-2"/>
    <s v="NaN"/>
    <n v="2147.4635337693512"/>
    <n v="-259.9829005239626"/>
    <n v="1887.4806332453879"/>
    <n v="20.57609382935874"/>
    <n v="24.294580638507369"/>
    <n v="15.62074221075472"/>
    <s v="NaN"/>
    <n v="-7142.5641830553504"/>
  </r>
  <r>
    <x v="33"/>
    <x v="23"/>
    <n v="1206.8499999999999"/>
    <n v="1205.9731718749999"/>
    <n v="0.87682812499999996"/>
    <n v="1.1993960484994519"/>
    <n v="-0.19581700377053299"/>
    <n v="1.003579044728919"/>
    <n v="0.177878819932313"/>
    <n v="1.829792281321331E-2"/>
    <n v="1.1796752649676121E-2"/>
    <s v="NaN"/>
    <n v="1447.4911211315639"/>
    <n v="-236.3217510004678"/>
    <n v="1211.169370131096"/>
    <n v="214.673053835312"/>
    <n v="22.08284814712648"/>
    <n v="14.22656721075472"/>
    <s v="NaN"/>
    <n v="-5361.2234108562143"/>
  </r>
  <r>
    <x v="33"/>
    <x v="24"/>
    <n v="1207.25"/>
    <n v="1206.5293750000001"/>
    <n v="0.72062499999999996"/>
    <n v="0.32495309692728169"/>
    <n v="-0.64715416085525046"/>
    <n v="-0.32220106392796882"/>
    <n v="0.1795729211133506"/>
    <n v="1.6459818310826761E-2"/>
    <n v="1.0635789295022119E-2"/>
    <s v="NaN"/>
    <n v="392.29962626546069"/>
    <n v="-781.27686069250103"/>
    <n v="-388.97723442704029"/>
    <n v="216.78940901409251"/>
    <n v="19.871115655745601"/>
    <n v="12.832392210754721"/>
    <s v="NaN"/>
    <n v="511.44249767035382"/>
  </r>
  <r>
    <x v="33"/>
    <x v="25"/>
    <n v="1207.6500000000001"/>
    <n v="1206.889469"/>
    <n v="0.76053099999999996"/>
    <n v="0.2887023477779993"/>
    <n v="-0.63436475736672737"/>
    <n v="-0.34566240958872813"/>
    <n v="0.18102930551731519"/>
    <n v="1.462293144898332E-2"/>
    <n v="9.4774355933622927E-3"/>
    <s v="NaN"/>
    <n v="348.65139029410091"/>
    <n v="-766.0905992339284"/>
    <n v="-417.43920893982749"/>
    <n v="218.6200408079857"/>
    <n v="17.659383164364709"/>
    <n v="11.43821721075472"/>
    <s v="NaN"/>
    <n v="622.31241510803864"/>
  </r>
  <r>
    <x v="33"/>
    <x v="26"/>
    <n v="1208.05"/>
    <n v="1207.2810312500001"/>
    <n v="0.76896874999999998"/>
    <n v="0.2527500657599851"/>
    <n v="-0.62168065422811225"/>
    <n v="-0.3689305884681271"/>
    <n v="0.18224985852386541"/>
    <n v="1.2813619712585241E-2"/>
    <n v="8.3392939247144728E-3"/>
    <s v="NaN"/>
    <n v="305.33471694135"/>
    <n v="-751.02131434027092"/>
    <n v="-445.68659739892092"/>
    <n v="220.16694158975551"/>
    <n v="15.4794932937886"/>
    <n v="10.06787136932615"/>
    <s v="NaN"/>
    <n v="733.23173420225226"/>
  </r>
  <r>
    <x v="33"/>
    <x v="27"/>
    <n v="1207.7249999999999"/>
    <n v="1206.9536874999999"/>
    <n v="0.77131249999999996"/>
    <n v="0.21532115234075799"/>
    <n v="-0.60847558986146388"/>
    <n v="-0.39315443752070578"/>
    <n v="0.18324157085487469"/>
    <n v="1.093005373119197E-2"/>
    <n v="7.1545624470347163E-3"/>
    <s v="NaN"/>
    <n v="260.04873871074199"/>
    <n v="-734.8711817654364"/>
    <n v="-474.82244305469442"/>
    <n v="221.30542616070349"/>
    <n v="13.200499142503819"/>
    <n v="8.6352255278975729"/>
    <s v="NaN"/>
    <n v="849.49807148657203"/>
  </r>
  <r>
    <x v="33"/>
    <x v="28"/>
    <n v="1207.4000000000001"/>
    <n v="1206.6312343750001"/>
    <n v="0.76876562500000001"/>
    <n v="0.17787208918348019"/>
    <n v="-0.5952634165898476"/>
    <n v="-0.41739132740636742"/>
    <n v="0.1839882943595201"/>
    <n v="9.0454737379650884E-3"/>
    <n v="5.9691639676472718E-3"/>
    <s v="NaN"/>
    <n v="214.76276048013401"/>
    <n v="-718.72104919058199"/>
    <n v="-503.95828871044802"/>
    <n v="222.14746660968461"/>
    <n v="10.92150499121905"/>
    <n v="7.2025796864690008"/>
    <s v="NaN"/>
    <n v="966.85137055136431"/>
  </r>
  <r>
    <x v="33"/>
    <x v="29"/>
    <n v="1207.075"/>
    <n v="1206.3035468749999"/>
    <n v="0.77145312499999996"/>
    <n v="0.90749992208348917"/>
    <n v="-0.1108912213442609"/>
    <n v="0.79660870073922829"/>
    <n v="0.1608663297060694"/>
    <n v="7.1598789138489988E-3"/>
    <n v="4.7831525157890692E-3"/>
    <s v="NaN"/>
    <n v="1095.420468448928"/>
    <n v="-133.85402100412381"/>
    <n v="961.566447444804"/>
    <n v="194.17772492995371"/>
    <n v="8.64251083993428"/>
    <n v="5.7699338450404332"/>
    <s v="NaN"/>
    <n v="-4290.5742625527419"/>
  </r>
  <r>
    <x v="33"/>
    <x v="30"/>
    <n v="1206.75"/>
    <n v="1205.9812187499999"/>
    <n v="0.76878124999999997"/>
    <n v="0.88076965868555968"/>
    <n v="-9.1056517745342958E-2"/>
    <n v="0.78971314094021683"/>
    <n v="0.16076168251848891"/>
    <n v="5.2732684389057427E-3"/>
    <n v="3.5964805555657501E-3"/>
    <s v="NaN"/>
    <n v="1062.8687856187989"/>
    <n v="-109.8824527891926"/>
    <n v="952.98633282960679"/>
    <n v="193.99916037918649"/>
    <n v="6.363516688649506"/>
    <n v="4.3372880036118611"/>
    <s v="NaN"/>
    <n v="-4244.8497589709204"/>
  </r>
  <r>
    <x v="33"/>
    <x v="31"/>
    <n v="1206.425"/>
    <n v="1205.6492812500001"/>
    <n v="0.77571875000000001"/>
    <n v="0.854024993504504"/>
    <n v="-7.1211127566372989E-2"/>
    <n v="0.78281386593813107"/>
    <n v="0.16044434498342169"/>
    <n v="3.385641492313849E-3"/>
    <n v="2.409193293070933E-3"/>
    <s v="NaN"/>
    <n v="1030.317102788671"/>
    <n v="-85.91088457426153"/>
    <n v="944.40621821440971"/>
    <n v="193.56406889662449"/>
    <n v="4.0845225373647356"/>
    <n v="2.9046421621832921"/>
    <s v="NaN"/>
    <n v="-4198.1846566391832"/>
  </r>
  <r>
    <x v="33"/>
    <x v="32"/>
    <n v="1206.0999999999999"/>
    <n v="1205.326109375"/>
    <n v="0.77389062500000005"/>
    <n v="0.8272659148980539"/>
    <n v="-5.1355042168422668E-2"/>
    <n v="0.77591087272963122"/>
    <n v="0.1599141451639729"/>
    <n v="1.4969972523670981E-3"/>
    <n v="1.2212432048933171E-3"/>
    <s v="NaN"/>
    <n v="997.76541995854279"/>
    <n v="-61.939316359334583"/>
    <n v="935.82610359920818"/>
    <n v="192.87245048226771"/>
    <n v="1.8055283860799569"/>
    <n v="1.4719963207547171"/>
    <s v="NaN"/>
    <n v="-4150.5789555575157"/>
  </r>
  <r>
    <x v="33"/>
    <x v="33"/>
    <n v="1205.7750000000001"/>
    <n v="1204.795331458276"/>
    <n v="0.97966854172432316"/>
    <n v="0.82677219826748904"/>
    <n v="-5.0988688762793159E-2"/>
    <n v="0.77578350950469588"/>
    <n v="0.15997301166732661"/>
    <n v="1.4464630632685001E-3"/>
    <n v="1.185779263458403E-3"/>
    <s v="NaN"/>
    <n v="996.9012473659817"/>
    <n v="-61.480886192956923"/>
    <n v="935.42036117302473"/>
    <n v="192.89145814317081"/>
    <n v="1.744109000112575"/>
    <n v="1.4286213207547169"/>
    <s v="NaN"/>
    <n v="-4148.7766820029401"/>
  </r>
  <r>
    <x v="34"/>
    <x v="0"/>
    <n v="28126.073802999999"/>
    <n v="23731.944726000002"/>
    <n v="4394.1290769999996"/>
    <n v="0.38415207258140471"/>
    <s v="NaN"/>
    <n v="0.38415207258140471"/>
    <n v="4.2520995656081827E-2"/>
    <n v="3.2128998534577298E-2"/>
    <n v="0.24883059501358121"/>
    <n v="-0.42758907261840551"/>
    <n v="10804.689544999999"/>
    <s v="NaN"/>
    <n v="10804.689544999999"/>
    <n v="1195.948662"/>
    <n v="903.66258399999992"/>
    <n v="5905.2339269999993"/>
    <n v="-1878.8815770000001"/>
    <n v="-62079.061517005641"/>
  </r>
  <r>
    <x v="34"/>
    <x v="1"/>
    <n v="28120.651958999999"/>
    <n v="23728.148292000002"/>
    <n v="4392.503667"/>
    <n v="0.38983318402372602"/>
    <s v="NaN"/>
    <n v="0.38983318402372602"/>
    <n v="3.5417232198318389E-2"/>
    <n v="2.3918349723208849E-2"/>
    <n v="0.248772164492506"/>
    <n v="-0.42805619107978321"/>
    <n v="10962.363289999999"/>
    <s v="NaN"/>
    <n v="10962.363289999999"/>
    <n v="995.95565999999997"/>
    <n v="672.59958800000004"/>
    <n v="5902.9028099999996"/>
    <n v="-1880.2383890000001"/>
    <n v="-61063.13751633888"/>
  </r>
  <r>
    <x v="34"/>
    <x v="2"/>
    <n v="28115.750362999999"/>
    <n v="23724.779353000002"/>
    <n v="4390.9710100000002"/>
    <n v="0.35487916719912721"/>
    <s v="NaN"/>
    <n v="0.35487916719912721"/>
    <n v="6.2819491573104916E-2"/>
    <n v="2.3923522343019889E-2"/>
    <n v="0.24875817347712131"/>
    <n v="-0.4282056029789183"/>
    <n v="9977.6940739999991"/>
    <s v="NaN"/>
    <n v="9977.6940739999991"/>
    <n v="1766.2171430000001"/>
    <n v="672.62778200000002"/>
    <n v="5901.7327780000014"/>
    <n v="-1880.2383890000001"/>
    <n v="-60272.789089338803"/>
  </r>
  <r>
    <x v="34"/>
    <x v="3"/>
    <n v="28112.099343999998"/>
    <n v="23723.884973"/>
    <n v="4388.214371"/>
    <n v="0.32647676413959681"/>
    <s v="NaN"/>
    <n v="0.32647676413959681"/>
    <n v="5.6263282106591567E-2"/>
    <n v="2.3968024150562348E-2"/>
    <n v="0.24856437078965929"/>
    <n v="-0.42847459810208077"/>
    <n v="9177.9472270000006"/>
    <s v="NaN"/>
    <n v="9177.9472270000006"/>
    <n v="1581.6789759999999"/>
    <n v="673.79147599999999"/>
    <n v="5896.9125409999997"/>
    <n v="-1880.2383890000001"/>
    <n v="-56650.336713671823"/>
  </r>
  <r>
    <x v="34"/>
    <x v="4"/>
    <n v="28111.536517"/>
    <n v="23724.739506999998"/>
    <n v="4386.7970100000002"/>
    <n v="0.3272711048162163"/>
    <s v="NaN"/>
    <n v="0.3272711048162163"/>
    <n v="5.3628934800070707E-2"/>
    <n v="2.3976569213582408E-2"/>
    <n v="0.24854138171928969"/>
    <n v="-0.42861303696384162"/>
    <n v="9200.0936139999994"/>
    <s v="NaN"/>
    <n v="9200.0936139999994"/>
    <n v="1507.5917589999999"/>
    <n v="674.01820099999998"/>
    <n v="5896.579538"/>
    <n v="-1880.2383890000001"/>
    <n v="-56459.497317671798"/>
  </r>
  <r>
    <x v="34"/>
    <x v="5"/>
    <n v="28107.111836"/>
    <n v="23720.514408999999"/>
    <n v="4386.5974269999997"/>
    <n v="0.33391323017326607"/>
    <s v="NaN"/>
    <n v="0.33391323017326607"/>
    <n v="4.4789359801371803E-2"/>
    <n v="2.39904840075508E-2"/>
    <n v="0.24850895112811799"/>
    <n v="-0.43120604465717249"/>
    <n v="9385.3365040000008"/>
    <s v="NaN"/>
    <n v="9385.3365040000008"/>
    <n v="1258.899545"/>
    <n v="674.3032169999999"/>
    <n v="5894.7601560000003"/>
    <n v="-1891.5273259999999"/>
    <n v="-56179.831018671794"/>
  </r>
  <r>
    <x v="34"/>
    <x v="6"/>
    <n v="28109.683997"/>
    <n v="23722.198127"/>
    <n v="4387.4858700000004"/>
    <n v="0.35308819921487777"/>
    <s v="NaN"/>
    <n v="0.35308819921487777"/>
    <n v="4.5032433702744477E-2"/>
    <n v="2.400843215000301E-2"/>
    <n v="0.24853086591877269"/>
    <n v="-0.43153914271181448"/>
    <n v="9925.1977029999998"/>
    <s v="NaN"/>
    <n v="9925.1977029999998"/>
    <n v="1265.847481"/>
    <n v="674.86944100000005"/>
    <n v="5895.6984419999999"/>
    <n v="-1893.371891"/>
    <n v="-58183.550978671963"/>
  </r>
  <r>
    <x v="34"/>
    <x v="7"/>
    <n v="28101.959738000001"/>
    <n v="23714.905116999998"/>
    <n v="4387.0546210000002"/>
    <n v="0.34238553541123151"/>
    <s v="NaN"/>
    <n v="0.34238553541123151"/>
    <n v="5.4607535036957359E-2"/>
    <n v="2.40081801159116E-2"/>
    <n v="0.24904705955438131"/>
    <n v="-0.4315815631601182"/>
    <n v="9621.7045309999994"/>
    <s v="NaN"/>
    <n v="9621.7045309999994"/>
    <n v="1534.578751"/>
    <n v="674.67691100000002"/>
    <n v="5906.1273870000005"/>
    <n v="-1893.371891"/>
    <n v="-58093.624193005278"/>
  </r>
  <r>
    <x v="34"/>
    <x v="8"/>
    <n v="28099.572914"/>
    <n v="23711.910077"/>
    <n v="4387.6628369999999"/>
    <n v="0.34744000372816491"/>
    <s v="NaN"/>
    <n v="0.34744000372816491"/>
    <n v="6.126362486962602E-2"/>
    <n v="2.5138265558764569E-2"/>
    <n v="0.24928496547958631"/>
    <n v="-0.43209531667120671"/>
    <n v="9762.9157180000002"/>
    <s v="NaN"/>
    <n v="9762.9157180000002"/>
    <n v="1721.4816940000001"/>
    <n v="706.37452600000006"/>
    <n v="5911.0226849999999"/>
    <n v="-1895.888563"/>
    <n v="-59421.655553338744"/>
  </r>
  <r>
    <x v="34"/>
    <x v="9"/>
    <n v="28099.420635999999"/>
    <n v="23711.128175999998"/>
    <n v="4388.2924600000006"/>
    <n v="0.33844899466773481"/>
    <s v="NaN"/>
    <n v="0.33844899466773481"/>
    <n v="6.7341965391830502E-2"/>
    <n v="2.4093497149639952E-2"/>
    <n v="0.2489523036687413"/>
    <n v="-0.43340972515765269"/>
    <n v="9510.2206649999989"/>
    <s v="NaN"/>
    <n v="9510.2206649999989"/>
    <n v="1892.2702119999999"/>
    <n v="677.01331100000004"/>
    <n v="5902.9399819999999"/>
    <n v="-1901.928629"/>
    <n v="-58961.89031700536"/>
  </r>
  <r>
    <x v="34"/>
    <x v="10"/>
    <n v="28094.66734"/>
    <n v="23706.822530000001"/>
    <n v="4387.8448099999996"/>
    <n v="0.34401084544039312"/>
    <s v="NaN"/>
    <n v="0.34401084544039312"/>
    <n v="7.3364373461202198E-2"/>
    <n v="2.4252335176430669E-2"/>
    <n v="0.24935114073256609"/>
    <n v="-0.43531918645955953"/>
    <n v="9664.870264000001"/>
    <s v="NaN"/>
    <n v="9664.870264000001"/>
    <n v="2061.1476670000002"/>
    <n v="681.36128899999994"/>
    <n v="5911.3232410000001"/>
    <n v="-1910.1130330000001"/>
    <n v="-60164.827902672143"/>
  </r>
  <r>
    <x v="34"/>
    <x v="11"/>
    <n v="28096.773611000001"/>
    <n v="23707.001773"/>
    <n v="4389.7718379999997"/>
    <n v="0.31900409645223299"/>
    <s v="NaN"/>
    <n v="0.31900409645223299"/>
    <n v="0.1110783009540333"/>
    <n v="2.4266997678803338E-2"/>
    <n v="0.2494119414009629"/>
    <n v="-0.43625219867292803"/>
    <n v="8962.9858789999998"/>
    <s v="NaN"/>
    <n v="8962.9858789999998"/>
    <n v="3120.941875"/>
    <n v="681.82434000000001"/>
    <n v="5912.8093369999997"/>
    <n v="-1915.0476160000001"/>
    <n v="-61466.217321672251"/>
  </r>
  <r>
    <x v="34"/>
    <x v="12"/>
    <n v="28092.382965000001"/>
    <n v="23700.444242000001"/>
    <n v="4391.9387230000002"/>
    <n v="0.32544602273116569"/>
    <s v="NaN"/>
    <n v="0.32544602273116569"/>
    <n v="9.841869934795687E-2"/>
    <n v="2.433368866755373E-2"/>
    <n v="0.24911582511762101"/>
    <n v="-0.43742642057804498"/>
    <n v="9142.5543050000015"/>
    <s v="NaN"/>
    <n v="9142.5543050000015"/>
    <n v="2764.8157930000002"/>
    <n v="683.59130100000004"/>
    <n v="5904.1557229999999"/>
    <n v="-1921.1500349999999"/>
    <n v="-60771.212652338872"/>
  </r>
  <r>
    <x v="34"/>
    <x v="13"/>
    <n v="28093.343683999999"/>
    <n v="23727.317008000002"/>
    <n v="4366.0266760000004"/>
    <n v="0.30295795426613198"/>
    <s v="NaN"/>
    <n v="0.30295795426613198"/>
    <n v="0.10260658109706269"/>
    <n v="2.4867782555833131E-2"/>
    <n v="0.24713989049090049"/>
    <n v="-0.44344404001071658"/>
    <n v="8511.1019309999992"/>
    <s v="NaN"/>
    <n v="8511.1019309999992"/>
    <n v="2882.5619470000001"/>
    <n v="698.61916200000007"/>
    <n v="5863.9665269999996"/>
    <n v="-1936.088508"/>
    <n v="-58740.590549672001"/>
  </r>
  <r>
    <x v="34"/>
    <x v="14"/>
    <n v="28089.412853000002"/>
    <n v="23740.727393000001"/>
    <n v="4348.6854599999997"/>
    <n v="0.2671752115743663"/>
    <s v="NaN"/>
    <n v="0.2671752115743663"/>
    <n v="0.1076012572714633"/>
    <n v="2.2460424477424371E-2"/>
    <n v="0.24206243093859189"/>
    <n v="-0.43998405416978592"/>
    <n v="7504.7948219999998"/>
    <s v="NaN"/>
    <n v="7504.7948219999998"/>
    <n v="3022.4561389999999"/>
    <n v="630.90013600000009"/>
    <n v="5746.7381850000002"/>
    <n v="-1913.352259"/>
    <n v="-54968.969084338343"/>
  </r>
  <r>
    <x v="34"/>
    <x v="15"/>
    <n v="28091.045628"/>
    <n v="23799.959026"/>
    <n v="4291.0866020000003"/>
    <n v="0.23503642578612241"/>
    <s v="NaN"/>
    <n v="0.23503642578612241"/>
    <n v="0.1130260483018571"/>
    <n v="2.4697562318878881E-2"/>
    <n v="0.24626090997035821"/>
    <n v="-0.4403573162842449"/>
    <n v="6602.4189610000003"/>
    <s v="NaN"/>
    <n v="6602.4189610000003"/>
    <n v="3175.0198799999998"/>
    <n v="693.78035"/>
    <n v="5860.9995669999998"/>
    <n v="-1889.6113800000001"/>
    <n v="-52956.227052671478"/>
  </r>
  <r>
    <x v="34"/>
    <x v="16"/>
    <n v="28097.841527"/>
    <n v="23820.145734999998"/>
    <n v="4277.6957920000004"/>
    <n v="0.29129214164494138"/>
    <s v="NaN"/>
    <n v="0.29129214164494138"/>
    <n v="8.9887535545142741E-2"/>
    <n v="2.6432526508711422E-2"/>
    <n v="0.24789227671784439"/>
    <n v="-0.44088780425365981"/>
    <n v="8184.6804339999999"/>
    <s v="NaN"/>
    <n v="8184.6804339999999"/>
    <n v="2525.6457289999998"/>
    <n v="742.69694100000004"/>
    <n v="5904.8301579999998"/>
    <n v="-1885.983905"/>
    <n v="-56730.187642338497"/>
  </r>
  <r>
    <x v="34"/>
    <x v="17"/>
    <n v="28099.370384999998"/>
    <n v="23853.255845"/>
    <n v="4246.1145399999996"/>
    <n v="0.29921436793075668"/>
    <s v="NaN"/>
    <n v="0.29921436793075668"/>
    <n v="9.6295161098856066E-2"/>
    <n v="2.9000779086317589E-2"/>
    <n v="0.2386257706699243"/>
    <n v="-0.43534646217998618"/>
    <n v="8407.7353490000005"/>
    <s v="NaN"/>
    <n v="8407.7353490000005"/>
    <n v="2705.8333980000002"/>
    <n v="814.90363300000001"/>
    <n v="5692.0015590000003"/>
    <n v="-1848.530943"/>
    <n v="-57830.457652005272"/>
  </r>
  <r>
    <x v="34"/>
    <x v="18"/>
    <n v="28103.653010000002"/>
    <n v="23930.523529999999"/>
    <n v="4173.1294799999996"/>
    <n v="0.32250723931778291"/>
    <s v="NaN"/>
    <n v="0.32250723931778291"/>
    <n v="8.6956921405570695E-2"/>
    <n v="2.6971246753234809E-2"/>
    <n v="0.219093060184296"/>
    <n v="-0.43600317548738032"/>
    <n v="9063.631546999999"/>
    <s v="NaN"/>
    <n v="9063.631546999999"/>
    <n v="2443.8071460000001"/>
    <n v="757.99056000000007"/>
    <n v="5243.0116320000006"/>
    <n v="-1819.497705"/>
    <n v="-57526.124993338562"/>
  </r>
  <r>
    <x v="34"/>
    <x v="19"/>
    <n v="28101.544319000001"/>
    <n v="24019.778412"/>
    <n v="4081.765907"/>
    <n v="0.35134943449795958"/>
    <s v="NaN"/>
    <n v="0.35134943449795958"/>
    <n v="8.0650682121681014E-2"/>
    <n v="3.0402092756957849E-2"/>
    <n v="0.2121722602758872"/>
    <n v="-0.43671757043758358"/>
    <n v="9873.4617049999997"/>
    <s v="NaN"/>
    <n v="9873.4617049999997"/>
    <n v="2266.4087180000001"/>
    <n v="854.34575699999994"/>
    <n v="5096.3306769999999"/>
    <n v="-1782.57889"/>
    <n v="-59795.882545672102"/>
  </r>
  <r>
    <x v="34"/>
    <x v="20"/>
    <n v="28099.581893999999"/>
    <n v="24099.852797"/>
    <n v="3999.7290969999999"/>
    <n v="0.34670627152926559"/>
    <s v="NaN"/>
    <n v="0.34670627152926559"/>
    <n v="9.0430635110004376E-2"/>
    <n v="3.1052502179269609E-2"/>
    <n v="0.21824274228159299"/>
    <n v="-0.44758267262219043"/>
    <n v="9742.3012699999999"/>
    <s v="NaN"/>
    <n v="9742.3012699999999"/>
    <n v="2541.0630369999999"/>
    <n v="872.56232799999998"/>
    <n v="5259.6179629999997"/>
    <n v="-1790.209439"/>
    <n v="-60959.562249672214"/>
  </r>
  <r>
    <x v="34"/>
    <x v="21"/>
    <n v="28109.689664000001"/>
    <n v="24210.188362000001"/>
    <n v="3899.5013020000001"/>
    <n v="0.31800725763430471"/>
    <s v="NaN"/>
    <n v="0.31800725763430471"/>
    <n v="0.1038570103368609"/>
    <n v="3.1285444325850252E-2"/>
    <n v="0.21796317591987849"/>
    <n v="-0.43787412049952429"/>
    <n v="8939.0853229999993"/>
    <s v="NaN"/>
    <n v="8939.0853229999993"/>
    <n v="2919.3883300000002"/>
    <n v="879.4241310000001"/>
    <n v="5276.929545"/>
    <n v="-1707.4907029999999"/>
    <n v="-59793.567628672106"/>
  </r>
  <r>
    <x v="34"/>
    <x v="22"/>
    <n v="28111.623813999999"/>
    <n v="24274.370329000001"/>
    <n v="3837.2534850000002"/>
    <n v="0.29716937378905978"/>
    <s v="NaN"/>
    <n v="0.29716937378905978"/>
    <n v="0.1049089419562905"/>
    <n v="3.4572546482212967E-2"/>
    <n v="0.22304746341995221"/>
    <n v="-0.43380736391460989"/>
    <n v="8353.9136450000005"/>
    <s v="NaN"/>
    <n v="8353.9136450000005"/>
    <n v="2949.160711"/>
    <n v="971.89042100000006"/>
    <n v="5414.3367280000002"/>
    <n v="-1664.628819"/>
    <n v="-58757.133182005353"/>
  </r>
  <r>
    <x v="34"/>
    <x v="23"/>
    <n v="28118.270229000002"/>
    <n v="24268.660024000001"/>
    <n v="3849.610205"/>
    <n v="0.28954188937281372"/>
    <s v="NaN"/>
    <n v="0.28954188937281372"/>
    <n v="0.1030231565956119"/>
    <n v="3.9785717929626208E-2"/>
    <n v="0.22777717486393351"/>
    <n v="-0.43582594851314299"/>
    <n v="8141.4170880000001"/>
    <s v="NaN"/>
    <n v="8141.4170880000001"/>
    <n v="2896.8329570000001"/>
    <n v="1118.7055680000001"/>
    <n v="5527.846818"/>
    <n v="-1677.7600190000001"/>
    <n v="-58692.48884400534"/>
  </r>
  <r>
    <x v="34"/>
    <x v="24"/>
    <n v="28114.602015"/>
    <n v="24180.190101"/>
    <n v="3934.4119139999998"/>
    <n v="0.27623162098672172"/>
    <s v="NaN"/>
    <n v="0.27623162098672172"/>
    <n v="0.10007068769812"/>
    <n v="3.663652202689735E-2"/>
    <n v="0.2259320881755213"/>
    <n v="-0.43698888616165371"/>
    <n v="7766.1420880000014"/>
    <s v="NaN"/>
    <n v="7766.1420880000014"/>
    <n v="2813.4475579999998"/>
    <n v="1030.021236"/>
    <n v="5463.0808419999994"/>
    <n v="-1719.2942800000001"/>
    <n v="-56295.790628005117"/>
  </r>
  <r>
    <x v="34"/>
    <x v="25"/>
    <n v="28118.028998000002"/>
    <n v="24086.085361000001"/>
    <n v="4031.9436369999999"/>
    <n v="0.28922750263108621"/>
    <s v="NaN"/>
    <n v="0.28922750263108621"/>
    <n v="8.3692307777596536E-2"/>
    <n v="3.1477452884871658E-2"/>
    <n v="0.2222346431465842"/>
    <n v="-0.43836721743340179"/>
    <n v="8132.5073060000004"/>
    <s v="NaN"/>
    <n v="8132.5073060000004"/>
    <n v="2353.262737"/>
    <n v="885.083933"/>
    <n v="5352.7625849999986"/>
    <n v="-1767.4719130000001"/>
    <n v="-54839.197042671651"/>
  </r>
  <r>
    <x v="34"/>
    <x v="26"/>
    <n v="28114.316042999999"/>
    <n v="24053.377267"/>
    <n v="4060.938776"/>
    <n v="0.23069232885054819"/>
    <s v="NaN"/>
    <n v="0.23069232885054819"/>
    <n v="9.3575813047567652E-2"/>
    <n v="4.3458650252464898E-2"/>
    <n v="0.2166536692603899"/>
    <n v="-0.43785489860337662"/>
    <n v="6485.7570420000002"/>
    <s v="NaN"/>
    <n v="6485.7570420000002"/>
    <n v="2630.819982"/>
    <n v="1221.8102280000001"/>
    <n v="5211.2524429999994"/>
    <n v="-1778.101936"/>
    <n v="-50495.638449671264"/>
  </r>
  <r>
    <x v="34"/>
    <x v="27"/>
    <n v="28122.385773999998"/>
    <n v="23983.897650999999"/>
    <n v="4138.4881230000001"/>
    <n v="0.16278761964898719"/>
    <s v="NaN"/>
    <n v="0.16278761964898719"/>
    <n v="0.1068382939180713"/>
    <n v="4.8350625403094941E-2"/>
    <n v="0.22029805333912031"/>
    <n v="-0.44622758459466533"/>
    <n v="4577.9762389999996"/>
    <s v="NaN"/>
    <n v="4577.9762389999996"/>
    <n v="3004.5477169999999"/>
    <n v="1359.7349400000001"/>
    <n v="5283.6059639999994"/>
    <n v="-1846.7075589999999"/>
    <n v="-45390.243437004123"/>
  </r>
  <r>
    <x v="34"/>
    <x v="28"/>
    <n v="28134.052506"/>
    <n v="23856.158474"/>
    <n v="4277.8940320000002"/>
    <n v="0.11114675460753901"/>
    <n v="-1.5318891578384829E-4"/>
    <n v="0.1109935656917552"/>
    <n v="0.1154407907750707"/>
    <n v="4.5975698798605212E-2"/>
    <n v="0.22638420942273629"/>
    <n v="-0.45214805101090921"/>
    <n v="3127.0086299999998"/>
    <n v="-4.309825"/>
    <n v="3122.698805"/>
    <n v="3247.8172690000001"/>
    <n v="1293.482724"/>
    <n v="5400.6575760000014"/>
    <n v="-1934.2414490000001"/>
    <n v="-40811.521391670387"/>
  </r>
  <r>
    <x v="34"/>
    <x v="29"/>
    <n v="28141.199777000002"/>
    <n v="23766.244696999998"/>
    <n v="4374.9550799999997"/>
    <n v="8.757562447690094E-2"/>
    <s v="NaN"/>
    <n v="8.757562447690094E-2"/>
    <n v="0.1164937592916474"/>
    <n v="5.1417502717229648E-2"/>
    <n v="0.2243280941508182"/>
    <n v="-0.45673313976060298"/>
    <n v="2464.4831439999998"/>
    <s v="NaN"/>
    <n v="2464.4831439999998"/>
    <n v="3278.2741529999998"/>
    <n v="1446.950216"/>
    <n v="5331.4363779999994"/>
    <n v="-1998.18697"/>
    <n v="-38584.175377003507"/>
  </r>
  <r>
    <x v="34"/>
    <x v="30"/>
    <n v="28134.031596000001"/>
    <n v="23674.304067000001"/>
    <n v="4459.7275289999998"/>
    <n v="5.2405055598559173E-2"/>
    <s v="NaN"/>
    <n v="5.2405055598559173E-2"/>
    <n v="0.12740407451982869"/>
    <n v="5.4052923442945579E-2"/>
    <n v="0.2331272778021467"/>
    <n v="-0.45476877495580298"/>
    <n v="1474.3654899999999"/>
    <s v="NaN"/>
    <n v="1474.3654899999999"/>
    <n v="3584.3902579999999"/>
    <n v="1520.726656"/>
    <n v="5519.1260609999999"/>
    <n v="-2028.1448250000001"/>
    <n v="-36925.033346670018"/>
  </r>
  <r>
    <x v="34"/>
    <x v="31"/>
    <n v="28143.001242999999"/>
    <n v="23598.520917000002"/>
    <n v="4544.4803259999999"/>
    <n v="1.5610673723339109E-2"/>
    <s v="NaN"/>
    <n v="1.5610673723339109E-2"/>
    <n v="0.12680216282503329"/>
    <n v="5.5467465552852931E-2"/>
    <n v="0.2321773298534564"/>
    <n v="-0.46240183569011228"/>
    <n v="439.33121000000011"/>
    <s v="NaN"/>
    <n v="439.33121000000011"/>
    <n v="3568.5934259999999"/>
    <n v="1561.0209520000001"/>
    <n v="5479.0415749999993"/>
    <n v="-2101.376045"/>
    <n v="-32804.240766002971"/>
  </r>
  <r>
    <x v="34"/>
    <x v="32"/>
    <n v="28141.271623000001"/>
    <n v="23509.042444999999"/>
    <n v="4632.2291779999996"/>
    <n v="1.4835294992810069E-2"/>
    <s v="NaN"/>
    <n v="1.4835294992810069E-2"/>
    <n v="0.1221990726669729"/>
    <n v="5.9261378566737827E-2"/>
    <n v="0.23161831332513891"/>
    <n v="-0.46770528545727319"/>
    <n v="417.48406599999998"/>
    <s v="NaN"/>
    <n v="417.48406599999998"/>
    <n v="3438.8372960000002"/>
    <n v="1667.6905509999999"/>
    <n v="5445.1247589999994"/>
    <n v="-2166.5180700000001"/>
    <n v="-32276.26820733627"/>
  </r>
  <r>
    <x v="34"/>
    <x v="33"/>
    <n v="28146.136932000001"/>
    <n v="23509.043135"/>
    <n v="4637.0937970000004"/>
    <n v="3.8039180246534868E-2"/>
    <n v="-1.3141494368965149E-4"/>
    <n v="3.7907765302845217E-2"/>
    <n v="0.1041841568555046"/>
    <n v="6.0959671238197177E-2"/>
    <n v="0.2315878239593013"/>
    <n v="-0.46981570685705071"/>
    <n v="1070.655976"/>
    <n v="-3.698823"/>
    <n v="1066.9571530000001"/>
    <n v="2932.3815450000002"/>
    <n v="1715.779254"/>
    <n v="5444.4081430000006"/>
    <n v="-2178.5794999999998"/>
    <n v="-32930.137515003"/>
  </r>
  <r>
    <x v="35"/>
    <x v="0"/>
    <n v="22970.588759999999"/>
    <n v="22970.588759999999"/>
    <s v="NaN"/>
    <n v="1.0285720093598769"/>
    <n v="-0.25982453566592939"/>
    <n v="0.76874747369394725"/>
    <s v="NaN"/>
    <s v="NaN"/>
    <s v="NaN"/>
    <s v="NaN"/>
    <n v="23626.904637052601"/>
    <n v="-5968.3225585400169"/>
    <n v="17658.58207851258"/>
    <s v="NaN"/>
    <s v="NaN"/>
    <s v="NaN"/>
    <s v="NaN"/>
    <n v="-64748.134287885361"/>
  </r>
  <r>
    <x v="35"/>
    <x v="1"/>
    <n v="22974.409530000001"/>
    <n v="22974.409530000001"/>
    <s v="NaN"/>
    <n v="1.031496761138786"/>
    <n v="-0.25113242694147009"/>
    <n v="0.78036433419731599"/>
    <s v="NaN"/>
    <n v="4.6961277663298007E-5"/>
    <n v="1.457811189513518E-4"/>
    <s v="NaN"/>
    <n v="23698.02901927106"/>
    <n v="-5769.619222816139"/>
    <n v="17928.409796454918"/>
    <s v="NaN"/>
    <n v="1.07890762508865"/>
    <n v="3.3492351285300002"/>
    <s v="NaN"/>
    <n v="-65753.739110437295"/>
  </r>
  <r>
    <x v="35"/>
    <x v="2"/>
    <n v="22982.01093"/>
    <n v="22982.01093"/>
    <s v="NaN"/>
    <n v="1.0342462099287919"/>
    <n v="-0.25455218052040368"/>
    <n v="0.77969402940838839"/>
    <s v="NaN"/>
    <n v="1.3967066219984609E-4"/>
    <n v="4.3077161940676171E-4"/>
    <s v="NaN"/>
    <n v="23769.05770089458"/>
    <n v="-5850.1209949752511"/>
    <n v="17918.936705919321"/>
    <s v="NaN"/>
    <n v="3.2099126852772"/>
    <n v="9.8999980655399984"/>
    <s v="NaN"/>
    <n v="-65750.837594463155"/>
  </r>
  <r>
    <x v="35"/>
    <x v="3"/>
    <n v="22985.335709999999"/>
    <n v="22985.335709999999"/>
    <s v="NaN"/>
    <n v="1.037167218117329"/>
    <n v="-0.25293925227889369"/>
    <n v="0.78422796583843535"/>
    <s v="NaN"/>
    <n v="1.7919584435711509E-4"/>
    <n v="5.5758312428885552E-4"/>
    <s v="NaN"/>
    <n v="23839.6366958336"/>
    <n v="-5813.8936278667543"/>
    <n v="18025.743067966851"/>
    <s v="NaN"/>
    <n v="4.1188766403852002"/>
    <n v="12.81623529801"/>
    <s v="NaN"/>
    <n v="-66156.486659658578"/>
  </r>
  <r>
    <x v="35"/>
    <x v="4"/>
    <n v="22988.79063"/>
    <n v="22988.79063"/>
    <s v="NaN"/>
    <n v="1.0400664868995051"/>
    <n v="-0.21216470633966139"/>
    <n v="0.82790178055984376"/>
    <s v="NaN"/>
    <n v="2.1934482294719989E-4"/>
    <n v="6.9529453898941338E-4"/>
    <s v="NaN"/>
    <n v="23909.870708612361"/>
    <n v="-4877.4100131179102"/>
    <n v="19032.46069549445"/>
    <s v="NaN"/>
    <n v="5.0424722105075999"/>
    <n v="15.98398058301"/>
    <s v="NaN"/>
    <n v="-69862.786210395585"/>
  </r>
  <r>
    <x v="35"/>
    <x v="5"/>
    <n v="22992.438600000001"/>
    <n v="22992.438600000001"/>
    <s v="NaN"/>
    <n v="1.042952083310289"/>
    <n v="-0.26130626536217122"/>
    <n v="0.78164581794811805"/>
    <s v="NaN"/>
    <n v="2.6215220688459071E-4"/>
    <n v="8.3069671046550068E-4"/>
    <s v="NaN"/>
    <n v="23980.01173825391"/>
    <n v="-6008.068262135027"/>
    <n v="17971.943476118879"/>
    <s v="NaN"/>
    <n v="6.0275185206484494"/>
    <n v="19.099743110599999"/>
    <s v="NaN"/>
    <n v="-65989.259371756474"/>
  </r>
  <r>
    <x v="35"/>
    <x v="6"/>
    <n v="22995.49365"/>
    <n v="22995.49365"/>
    <s v="NaN"/>
    <n v="1.043725023163643"/>
    <n v="-0.2569776399846927"/>
    <n v="0.78674738317895077"/>
    <s v="NaN"/>
    <n v="2.9609689987156239E-4"/>
    <n v="9.532472801278615E-4"/>
    <s v="NaN"/>
    <n v="24000.97214250567"/>
    <n v="-5909.3276884599873"/>
    <n v="18091.64445404568"/>
    <s v="NaN"/>
    <n v="6.8088943807811999"/>
    <n v="21.920391777060011"/>
    <s v="NaN"/>
    <n v="-66441.370380752283"/>
  </r>
  <r>
    <x v="35"/>
    <x v="7"/>
    <n v="22996.497869999999"/>
    <n v="22996.497869999999"/>
    <s v="NaN"/>
    <n v="1.0468741361634979"/>
    <n v="-0.24059799589500039"/>
    <n v="0.80627614026849792"/>
    <s v="NaN"/>
    <n v="3.0690765027438938E-4"/>
    <n v="9.9631695355445926E-4"/>
    <s v="NaN"/>
    <n v="24074.438842441981"/>
    <n v="-5532.9113001256464"/>
    <n v="18541.527542316329"/>
    <s v="NaN"/>
    <n v="7.0578011258217002"/>
    <n v="22.911800700260009"/>
    <s v="NaN"/>
    <n v="-68095.489528528386"/>
  </r>
  <r>
    <x v="35"/>
    <x v="8"/>
    <n v="22997.885040000001"/>
    <n v="22997.885040000001"/>
    <s v="NaN"/>
    <n v="1.0498280788028489"/>
    <n v="-0.23721918842989359"/>
    <n v="0.81260889037295536"/>
    <s v="NaN"/>
    <n v="3.2055971095190107E-4"/>
    <n v="1.0521789461858269E-3"/>
    <s v="NaN"/>
    <n v="24143.82546807198"/>
    <n v="-5455.5396247927911"/>
    <n v="18688.285843279191"/>
    <s v="NaN"/>
    <n v="7.3721953809274501"/>
    <n v="24.19789044589"/>
    <s v="NaN"/>
    <n v="-68639.471740061606"/>
  </r>
  <r>
    <x v="35"/>
    <x v="9"/>
    <n v="22998.760829999999"/>
    <n v="22998.760829999999"/>
    <s v="NaN"/>
    <n v="1.0528642187789981"/>
    <n v="-0.23578080594649059"/>
    <n v="0.81708341283250707"/>
    <s v="NaN"/>
    <n v="3.2922787892731219E-4"/>
    <n v="1.0883967808216911E-3"/>
    <s v="NaN"/>
    <n v="24214.57235416296"/>
    <n v="-5422.6663642679778"/>
    <n v="18791.905989894982"/>
    <s v="NaN"/>
    <n v="7.5718332460174507"/>
    <n v="25.031777250259999"/>
    <s v="NaN"/>
    <n v="-69023.201868107557"/>
  </r>
  <r>
    <x v="35"/>
    <x v="10"/>
    <n v="22998.861359999999"/>
    <n v="22998.861359999999"/>
    <s v="NaN"/>
    <n v="1.0558307038428629"/>
    <n v="-0.26777343773808798"/>
    <n v="0.78805726610477556"/>
    <s v="NaN"/>
    <n v="3.3290996611498548E-4"/>
    <n v="1.103528600342413E-3"/>
    <s v="NaN"/>
    <n v="24282.903977313239"/>
    <n v="-6158.4841704288792"/>
    <n v="18124.419806884362"/>
    <s v="NaN"/>
    <n v="7.6565501560408498"/>
    <n v="25.379901286070009"/>
    <s v="NaN"/>
    <n v="-66577.339613869772"/>
  </r>
  <r>
    <x v="35"/>
    <x v="11"/>
    <n v="22999.939470000001"/>
    <n v="22999.939470000001"/>
    <s v="NaN"/>
    <n v="1.058560617607007"/>
    <n v="-0.25611061750988001"/>
    <n v="0.80245000009712664"/>
    <s v="NaN"/>
    <n v="3.645128393507354E-4"/>
    <n v="1.2134299612363291E-3"/>
    <s v="NaN"/>
    <n v="24346.83013028697"/>
    <n v="-5890.5287003515614"/>
    <n v="18456.301429935411"/>
    <s v="NaN"/>
    <n v="8.3837732411047483"/>
    <n v="27.908815659520009"/>
    <s v="NaN"/>
    <n v="-67806.178069071611"/>
  </r>
  <r>
    <x v="35"/>
    <x v="12"/>
    <n v="23001.638129999999"/>
    <n v="23001.638129999999"/>
    <s v="NaN"/>
    <n v="1.0611561083103029"/>
    <n v="-0.27777982275815277"/>
    <n v="0.78337628555214989"/>
    <s v="NaN"/>
    <n v="4.3277634531948428E-4"/>
    <n v="1.4481422421151709E-3"/>
    <s v="NaN"/>
    <n v="24408.328802792668"/>
    <n v="-6389.3909628985703"/>
    <n v="18018.937839894101"/>
    <s v="NaN"/>
    <n v="9.9545648862626983"/>
    <n v="33.30964381390001"/>
    <s v="NaN"/>
    <n v="-66228.074178184979"/>
  </r>
  <r>
    <x v="35"/>
    <x v="13"/>
    <n v="23002.276409999999"/>
    <n v="23002.276409999999"/>
    <s v="NaN"/>
    <n v="1.0642136454271049"/>
    <n v="-0.26821341461448228"/>
    <n v="0.79600023081262239"/>
    <s v="NaN"/>
    <n v="4.6493415089592641E-4"/>
    <n v="1.565717835962654E-3"/>
    <s v="NaN"/>
    <n v="24479.336431407999"/>
    <n v="-6169.5190998322569"/>
    <n v="18309.817331575741"/>
    <s v="NaN"/>
    <n v="10.69454385135675"/>
    <n v="36.015074442880007"/>
    <s v="NaN"/>
    <n v="-67307.265482862713"/>
  </r>
  <r>
    <x v="35"/>
    <x v="14"/>
    <n v="23003.552070000002"/>
    <n v="23003.552070000002"/>
    <s v="NaN"/>
    <n v="1.066662034341505"/>
    <n v="-0.28736494643729471"/>
    <n v="0.77929708790420982"/>
    <s v="NaN"/>
    <n v="5.3248809941594598E-4"/>
    <n v="1.8246607474747269E-3"/>
    <s v="NaN"/>
    <n v="24537.015648066928"/>
    <n v="-6610.4145084630709"/>
    <n v="17926.601139603859"/>
    <s v="NaN"/>
    <n v="12.24911772157005"/>
    <n v="41.973678514619998"/>
    <s v="NaN"/>
    <n v="-65929.687764752845"/>
  </r>
  <r>
    <x v="35"/>
    <x v="15"/>
    <n v="23004.179459999999"/>
    <n v="23004.179459999999"/>
    <s v="NaN"/>
    <n v="1.0696356118490149"/>
    <n v="-0.28133514161065581"/>
    <n v="0.78830047023835892"/>
    <s v="NaN"/>
    <n v="5.7129942624344304E-4"/>
    <n v="1.9676940256985798E-3"/>
    <s v="NaN"/>
    <n v="24606.089571781638"/>
    <n v="-6471.8840860160408"/>
    <n v="18134.2054857656"/>
    <s v="NaN"/>
    <n v="13.1422745266992"/>
    <n v="45.26518648954"/>
    <s v="NaN"/>
    <n v="-66706.247471539493"/>
  </r>
  <r>
    <x v="35"/>
    <x v="16"/>
    <n v="23005.450349999999"/>
    <n v="23005.450349999999"/>
    <s v="NaN"/>
    <n v="1.074609608150999"/>
    <n v="-0.27681013849628322"/>
    <n v="0.79779946965471626"/>
    <s v="NaN"/>
    <n v="6.4826181644230441E-4"/>
    <n v="2.2733049750204089E-3"/>
    <s v="NaN"/>
    <n v="24721.877985950781"/>
    <n v="-6368.1418975528686"/>
    <n v="18353.736088397909"/>
    <s v="NaN"/>
    <n v="14.91355503196425"/>
    <n v="52.298404733240019"/>
    <s v="NaN"/>
    <n v="-67543.476176604207"/>
  </r>
  <r>
    <x v="35"/>
    <x v="17"/>
    <n v="23006.106630000009"/>
    <n v="23006.106630000009"/>
    <s v="NaN"/>
    <n v="1.080161392849516"/>
    <n v="-0.2871707067993588"/>
    <n v="0.79299068605015766"/>
    <s v="NaN"/>
    <n v="6.9209939379231012E-4"/>
    <n v="2.4535552829261999E-3"/>
    <s v="NaN"/>
    <n v="24850.308181505301"/>
    <n v="-6606.6799016385166"/>
    <n v="18243.628279866789"/>
    <s v="NaN"/>
    <n v="15.92251245214425"/>
    <n v="56.446754461599987"/>
    <s v="NaN"/>
    <n v="-67158.657671534704"/>
  </r>
  <r>
    <x v="35"/>
    <x v="18"/>
    <n v="23006.95623"/>
    <n v="23006.95623"/>
    <s v="NaN"/>
    <n v="1.085278373222506"/>
    <n v="-0.31513355452855102"/>
    <n v="0.77014481869395446"/>
    <s v="NaN"/>
    <n v="7.5193353390247213E-4"/>
    <n v="2.6946318943016482E-3"/>
    <s v="NaN"/>
    <n v="24968.952030095788"/>
    <n v="-7250.2638956426908"/>
    <n v="17718.688134453099"/>
    <s v="NaN"/>
    <n v="17.299701902363399"/>
    <n v="61.995278048160017"/>
    <s v="NaN"/>
    <n v="-65259.271419485893"/>
  </r>
  <r>
    <x v="35"/>
    <x v="19"/>
    <n v="23007.495060000001"/>
    <n v="23007.495060000001"/>
    <s v="NaN"/>
    <n v="1.090433803625553"/>
    <n v="-0.31906629059446112"/>
    <n v="0.77136751303109163"/>
    <s v="NaN"/>
    <n v="7.8602467153902748E-4"/>
    <n v="2.841822722100804E-3"/>
    <s v="NaN"/>
    <n v="25088.15035017192"/>
    <n v="-7340.9161046645904"/>
    <n v="17747.23424550733"/>
    <s v="NaN"/>
    <n v="18.084458747472301"/>
    <n v="65.383222240130024"/>
    <s v="NaN"/>
    <n v="-65379.240397154019"/>
  </r>
  <r>
    <x v="35"/>
    <x v="20"/>
    <n v="23008.30992"/>
    <n v="23008.30992"/>
    <s v="NaN"/>
    <n v="1.1173163273925699"/>
    <n v="-0.33848750355639601"/>
    <n v="0.7788288238361738"/>
    <s v="NaN"/>
    <n v="8.4157920182055253E-4"/>
    <n v="3.0845029328555739E-3"/>
    <s v="NaN"/>
    <n v="25707.560339324438"/>
    <n v="-7788.0253858726628"/>
    <n v="17919.53495345177"/>
    <s v="NaN"/>
    <n v="19.3633150977135"/>
    <n v="70.969199428290011"/>
    <s v="NaN"/>
    <n v="-66036.180715924522"/>
  </r>
  <r>
    <x v="35"/>
    <x v="21"/>
    <n v="23004.578880000001"/>
    <n v="23004.578880000001"/>
    <s v="NaN"/>
    <n v="1.148059031357215"/>
    <n v="-0.34927806011157719"/>
    <n v="0.79878097124563796"/>
    <s v="NaN"/>
    <n v="8.1539369490594429E-4"/>
    <n v="3.027900292377793E-3"/>
    <s v="NaN"/>
    <n v="26410.614545753451"/>
    <n v="-8034.9946848901591"/>
    <n v="18375.619860863291"/>
    <s v="NaN"/>
    <n v="18.75778857271845"/>
    <n v="69.65557111678001"/>
    <s v="NaN"/>
    <n v="-67701.455142033039"/>
  </r>
  <r>
    <x v="35"/>
    <x v="22"/>
    <n v="22997.083500000001"/>
    <n v="22997.083500000001"/>
    <s v="NaN"/>
    <n v="1.147689857144905"/>
    <n v="-0.36146740924837528"/>
    <n v="0.78622244789653029"/>
    <s v="NaN"/>
    <n v="7.4551122874747357E-4"/>
    <n v="2.852843086399195E-3"/>
    <s v="NaN"/>
    <n v="26393.519476864469"/>
    <n v="-8312.6961930135603"/>
    <n v="18080.82328385091"/>
    <s v="NaN"/>
    <n v="17.144583977693252"/>
    <n v="65.607070670320013"/>
    <s v="NaN"/>
    <n v="-66599.774774502104"/>
  </r>
  <r>
    <x v="35"/>
    <x v="23"/>
    <n v="22993.674930000001"/>
    <n v="22993.674930000001"/>
    <s v="NaN"/>
    <n v="1.147421153705656"/>
    <n v="-0.33888879362717328"/>
    <n v="0.80853236007848261"/>
    <s v="NaN"/>
    <n v="7.1290932169619698E-4"/>
    <n v="2.7624230622068742E-3"/>
    <s v="NaN"/>
    <n v="26383.429016113419"/>
    <n v="-7792.2987580830786"/>
    <n v="18591.130258030342"/>
    <s v="NaN"/>
    <n v="16.39240519764915"/>
    <n v="63.518257911520017"/>
    <s v="NaN"/>
    <n v="-68460.483377517754"/>
  </r>
  <r>
    <x v="35"/>
    <x v="24"/>
    <n v="22990.140630000002"/>
    <n v="22990.140630000002"/>
    <s v="NaN"/>
    <n v="1.146955940641154"/>
    <n v="-0.35269108618721878"/>
    <n v="0.79426485445393569"/>
    <s v="NaN"/>
    <n v="6.8347026081585994E-4"/>
    <n v="2.6832526667654412E-3"/>
    <s v="NaN"/>
    <n v="26368.678371754071"/>
    <n v="-8108.4176703916091"/>
    <n v="18260.260701362458"/>
    <s v="NaN"/>
    <n v="15.7130774125794"/>
    <n v="61.688356154760022"/>
    <s v="NaN"/>
    <n v="-67238.094494748715"/>
  </r>
  <r>
    <x v="35"/>
    <x v="25"/>
    <n v="22986.423719999999"/>
    <n v="22986.423719999999"/>
    <s v="NaN"/>
    <n v="1.1270033965596691"/>
    <n v="-0.38196021684615189"/>
    <n v="0.7450431797135173"/>
    <s v="NaN"/>
    <n v="6.523590807433941E-4"/>
    <n v="2.6099785136184731E-3"/>
    <s v="NaN"/>
    <n v="25905.77760719975"/>
    <n v="-8779.8993886087301"/>
    <n v="17125.87821859102"/>
    <s v="NaN"/>
    <n v="14.995402247557349"/>
    <n v="59.994072014130012"/>
    <s v="NaN"/>
    <n v="-63069.848207132323"/>
  </r>
  <r>
    <x v="35"/>
    <x v="26"/>
    <n v="23064.847752195499"/>
    <n v="23064.847752195499"/>
    <s v="NaN"/>
    <n v="1.128465744207567"/>
    <n v="-0.38328662706224881"/>
    <n v="0.74517911714531793"/>
    <s v="NaN"/>
    <n v="6.3067287354789849E-4"/>
    <n v="2.5493569211024691E-3"/>
    <s v="NaN"/>
    <n v="26027.890583715511"/>
    <n v="-8840.4476986433019"/>
    <n v="17187.442885072211"/>
    <s v="NaN"/>
    <n v="14.546373809821921"/>
    <n v="58.800529251234309"/>
    <s v="NaN"/>
    <n v="-63289.562556494413"/>
  </r>
  <r>
    <x v="35"/>
    <x v="27"/>
    <n v="23059.06994841135"/>
    <n v="23059.06994841135"/>
    <s v="NaN"/>
    <n v="1.1282572298333171"/>
    <n v="-0.34904409291063099"/>
    <n v="0.77921313692268568"/>
    <s v="NaN"/>
    <n v="6.3322623475100051E-4"/>
    <n v="2.5740208728899298E-3"/>
    <s v="NaN"/>
    <n v="26016.562382527271"/>
    <n v="-8048.6321535060324"/>
    <n v="17967.93022902124"/>
    <s v="NaN"/>
    <n v="14.60160804029247"/>
    <n v="59.35452735663975"/>
    <s v="NaN"/>
    <n v="-66153.583336205993"/>
  </r>
  <r>
    <x v="35"/>
    <x v="28"/>
    <n v="23056.279134987231"/>
    <n v="23056.279134987231"/>
    <s v="NaN"/>
    <n v="1.132906263553946"/>
    <n v="-0.42248429677492799"/>
    <n v="0.71042196677901825"/>
    <s v="NaN"/>
    <n v="6.44410508738231E-4"/>
    <n v="2.6542441487685561E-3"/>
    <s v="NaN"/>
    <n v="26120.603046275191"/>
    <n v="-9740.9158765915236"/>
    <n v="16379.68716968367"/>
    <s v="NaN"/>
    <n v="14.85770856698778"/>
    <n v="61.196993986414391"/>
    <s v="NaN"/>
    <n v="-60337.720198208081"/>
  </r>
  <r>
    <x v="35"/>
    <x v="29"/>
    <n v="23048.652233579789"/>
    <n v="23048.652233579789"/>
    <s v="NaN"/>
    <n v="1.130118177974873"/>
    <n v="-0.48799250682667689"/>
    <n v="0.64212567114819574"/>
    <s v="NaN"/>
    <n v="6.3480153555055404E-4"/>
    <n v="2.6052694403969272E-3"/>
    <s v="NaN"/>
    <n v="26047.700866989671"/>
    <n v="-11247.56958244089"/>
    <n v="14800.13128454879"/>
    <s v="NaN"/>
    <n v="14.631319830247159"/>
    <n v="60.047949306481797"/>
    <s v="NaN"/>
    <n v="-54540.972030185178"/>
  </r>
  <r>
    <x v="35"/>
    <x v="30"/>
    <n v="23040.556714136768"/>
    <n v="23040.556714136768"/>
    <s v="NaN"/>
    <n v="1.1175282541256391"/>
    <n v="-0.53417293203219052"/>
    <n v="0.58335532209344898"/>
    <s v="NaN"/>
    <n v="6.4393196021664712E-4"/>
    <n v="2.6554692883365171E-3"/>
    <s v="NaN"/>
    <n v="25748.47311883204"/>
    <n v="-12307.641735644411"/>
    <n v="13440.831383187629"/>
    <s v="NaN"/>
    <n v="14.83655084941692"/>
    <n v="61.183490740565922"/>
    <s v="NaN"/>
    <n v="-49561.788557522443"/>
  </r>
  <r>
    <x v="35"/>
    <x v="31"/>
    <n v="23094.229824819031"/>
    <n v="23094.229824819031"/>
    <s v="NaN"/>
    <n v="1.099852184478312"/>
    <n v="-0.58490432041247375"/>
    <n v="0.51494786406583859"/>
    <s v="NaN"/>
    <n v="6.1094601835158589E-4"/>
    <n v="2.5397935678027721E-3"/>
    <s v="NaN"/>
    <n v="25400.23912167141"/>
    <n v="-13507.914801135261"/>
    <n v="11892.32432053615"/>
    <s v="NaN"/>
    <n v="14.109327758369631"/>
    <n v="58.654576362434312"/>
    <s v="NaN"/>
    <n v="-43871.990157079483"/>
  </r>
  <r>
    <x v="35"/>
    <x v="32"/>
    <n v="23099.206672068431"/>
    <n v="23099.206672068431"/>
    <s v="NaN"/>
    <n v="1.091657213695443"/>
    <n v="-0.55419576800013992"/>
    <n v="0.53746144569530274"/>
    <s v="NaN"/>
    <n v="5.6718399354982615E-4"/>
    <n v="2.40033114614264E-3"/>
    <s v="NaN"/>
    <n v="25216.415594205399"/>
    <n v="-12801.482581820919"/>
    <n v="12414.933012384479"/>
    <s v="NaN"/>
    <n v="13.10150028809656"/>
    <n v="55.445745226151708"/>
    <s v="NaN"/>
    <n v="-45772.760945632828"/>
  </r>
  <r>
    <x v="35"/>
    <x v="33"/>
    <n v="23256.75891377285"/>
    <n v="23256.75891377285"/>
    <s v="NaN"/>
    <n v="1.143853321086707"/>
    <n v="-0.4883979700338954"/>
    <n v="0.65545535105281183"/>
    <s v="NaN"/>
    <n v="7.6095660694020244E-4"/>
    <n v="3.1882364897341249E-3"/>
    <s v="NaN"/>
    <n v="26602.32092123196"/>
    <n v="-11358.55384305436"/>
    <n v="15243.7670781776"/>
    <s v="NaN"/>
    <n v="17.6973843514509"/>
    <n v="74.148047401839989"/>
    <s v="NaN"/>
    <n v="-56230.579203085043"/>
  </r>
  <r>
    <x v="36"/>
    <x v="34"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1">
  <r>
    <x v="0"/>
    <x v="0"/>
    <n v="46035.202033043002"/>
  </r>
  <r>
    <x v="0"/>
    <x v="1"/>
    <n v="45395.707437819001"/>
  </r>
  <r>
    <x v="0"/>
    <x v="2"/>
    <n v="47994.391152310003"/>
  </r>
  <r>
    <x v="0"/>
    <x v="3"/>
    <n v="49228.649439749002"/>
  </r>
  <r>
    <x v="0"/>
    <x v="4"/>
    <n v="51278.688475732997"/>
  </r>
  <r>
    <x v="0"/>
    <x v="5"/>
    <n v="52590.819509752007"/>
  </r>
  <r>
    <x v="0"/>
    <x v="6"/>
    <n v="51431.144192287"/>
  </r>
  <r>
    <x v="0"/>
    <x v="7"/>
    <n v="52954.788500784001"/>
  </r>
  <r>
    <x v="0"/>
    <x v="8"/>
    <n v="49676.359541643003"/>
  </r>
  <r>
    <x v="0"/>
    <x v="9"/>
    <n v="55315.13063919"/>
  </r>
  <r>
    <x v="0"/>
    <x v="10"/>
    <n v="56063.95237608"/>
  </r>
  <r>
    <x v="0"/>
    <x v="11"/>
    <n v="51648.695943790008"/>
  </r>
  <r>
    <x v="0"/>
    <x v="12"/>
    <n v="54364.372653860002"/>
  </r>
  <r>
    <x v="0"/>
    <x v="13"/>
    <n v="50723.343706369997"/>
  </r>
  <r>
    <x v="0"/>
    <x v="14"/>
    <n v="57654.755855809999"/>
  </r>
  <r>
    <x v="0"/>
    <x v="15"/>
    <n v="55795.865913380003"/>
  </r>
  <r>
    <x v="0"/>
    <x v="16"/>
    <n v="50935.242888000001"/>
  </r>
  <r>
    <x v="0"/>
    <x v="17"/>
    <n v="46289.303710380002"/>
  </r>
  <r>
    <x v="0"/>
    <x v="18"/>
    <n v="40246.345103140004"/>
  </r>
  <r>
    <x v="0"/>
    <x v="19"/>
    <n v="34422.488512490003"/>
  </r>
  <r>
    <x v="0"/>
    <x v="20"/>
    <n v="40422.22365046"/>
  </r>
  <r>
    <x v="0"/>
    <x v="21"/>
    <n v="42291.385559850001"/>
  </r>
  <r>
    <x v="0"/>
    <x v="22"/>
    <n v="42842.423016569999"/>
  </r>
  <r>
    <x v="0"/>
    <x v="23"/>
    <n v="43898.590605920013"/>
  </r>
  <r>
    <x v="0"/>
    <x v="24"/>
    <n v="43839.665656660007"/>
  </r>
  <r>
    <x v="0"/>
    <x v="25"/>
    <n v="45159.227387469997"/>
  </r>
  <r>
    <x v="0"/>
    <x v="26"/>
    <n v="45001.243451560003"/>
  </r>
  <r>
    <x v="0"/>
    <x v="27"/>
    <n v="44329.558221649997"/>
  </r>
  <r>
    <x v="0"/>
    <x v="28"/>
    <n v="44582.471915240007"/>
  </r>
  <r>
    <x v="0"/>
    <x v="29"/>
    <n v="40417.736304270002"/>
  </r>
  <r>
    <x v="0"/>
    <x v="30"/>
    <n v="39586.68119458"/>
  </r>
  <r>
    <x v="0"/>
    <x v="31"/>
    <n v="39176.011165260003"/>
  </r>
  <r>
    <x v="0"/>
    <x v="32"/>
    <n v="37346.982772660012"/>
  </r>
  <r>
    <x v="0"/>
    <x v="33"/>
    <n v="37121.095071909993"/>
  </r>
  <r>
    <x v="1"/>
    <x v="0"/>
    <s v="NaN"/>
  </r>
  <r>
    <x v="1"/>
    <x v="1"/>
    <s v="NaN"/>
  </r>
  <r>
    <x v="1"/>
    <x v="2"/>
    <s v="NaN"/>
  </r>
  <r>
    <x v="1"/>
    <x v="3"/>
    <s v="NaN"/>
  </r>
  <r>
    <x v="1"/>
    <x v="4"/>
    <s v="NaN"/>
  </r>
  <r>
    <x v="1"/>
    <x v="5"/>
    <s v="NaN"/>
  </r>
  <r>
    <x v="1"/>
    <x v="6"/>
    <s v="NaN"/>
  </r>
  <r>
    <x v="1"/>
    <x v="7"/>
    <s v="NaN"/>
  </r>
  <r>
    <x v="1"/>
    <x v="8"/>
    <s v="NaN"/>
  </r>
  <r>
    <x v="1"/>
    <x v="9"/>
    <s v="NaN"/>
  </r>
  <r>
    <x v="1"/>
    <x v="10"/>
    <s v="NaN"/>
  </r>
  <r>
    <x v="1"/>
    <x v="11"/>
    <s v="NaN"/>
  </r>
  <r>
    <x v="1"/>
    <x v="12"/>
    <s v="NaN"/>
  </r>
  <r>
    <x v="1"/>
    <x v="13"/>
    <s v="NaN"/>
  </r>
  <r>
    <x v="1"/>
    <x v="14"/>
    <s v="NaN"/>
  </r>
  <r>
    <x v="1"/>
    <x v="15"/>
    <s v="NaN"/>
  </r>
  <r>
    <x v="1"/>
    <x v="16"/>
    <s v="NaN"/>
  </r>
  <r>
    <x v="1"/>
    <x v="17"/>
    <s v="NaN"/>
  </r>
  <r>
    <x v="1"/>
    <x v="18"/>
    <s v="NaN"/>
  </r>
  <r>
    <x v="1"/>
    <x v="19"/>
    <s v="NaN"/>
  </r>
  <r>
    <x v="1"/>
    <x v="20"/>
    <s v="NaN"/>
  </r>
  <r>
    <x v="1"/>
    <x v="21"/>
    <s v="NaN"/>
  </r>
  <r>
    <x v="1"/>
    <x v="22"/>
    <s v="NaN"/>
  </r>
  <r>
    <x v="1"/>
    <x v="23"/>
    <s v="NaN"/>
  </r>
  <r>
    <x v="1"/>
    <x v="24"/>
    <s v="NaN"/>
  </r>
  <r>
    <x v="1"/>
    <x v="25"/>
    <s v="NaN"/>
  </r>
  <r>
    <x v="1"/>
    <x v="26"/>
    <s v="NaN"/>
  </r>
  <r>
    <x v="1"/>
    <x v="27"/>
    <s v="NaN"/>
  </r>
  <r>
    <x v="1"/>
    <x v="28"/>
    <s v="NaN"/>
  </r>
  <r>
    <x v="1"/>
    <x v="29"/>
    <s v="NaN"/>
  </r>
  <r>
    <x v="1"/>
    <x v="30"/>
    <s v="NaN"/>
  </r>
  <r>
    <x v="1"/>
    <x v="31"/>
    <s v="NaN"/>
  </r>
  <r>
    <x v="1"/>
    <x v="32"/>
    <s v="NaN"/>
  </r>
  <r>
    <x v="1"/>
    <x v="33"/>
    <s v="NaN"/>
  </r>
  <r>
    <x v="2"/>
    <x v="0"/>
    <n v="1191.3819602826741"/>
  </r>
  <r>
    <x v="2"/>
    <x v="1"/>
    <n v="1171.407658686685"/>
  </r>
  <r>
    <x v="2"/>
    <x v="2"/>
    <n v="1202.4284205637271"/>
  </r>
  <r>
    <x v="2"/>
    <x v="3"/>
    <n v="1230.453844473373"/>
  </r>
  <r>
    <x v="2"/>
    <x v="4"/>
    <n v="1319.295417738746"/>
  </r>
  <r>
    <x v="2"/>
    <x v="5"/>
    <n v="1361.150564457909"/>
  </r>
  <r>
    <x v="2"/>
    <x v="6"/>
    <n v="1364.1563470674951"/>
  </r>
  <r>
    <x v="2"/>
    <x v="7"/>
    <n v="1429.5223128107791"/>
  </r>
  <r>
    <x v="2"/>
    <x v="8"/>
    <n v="1420.632448718834"/>
  </r>
  <r>
    <x v="2"/>
    <x v="9"/>
    <n v="1495.809299095338"/>
  </r>
  <r>
    <x v="2"/>
    <x v="10"/>
    <n v="1583.752429849204"/>
  </r>
  <r>
    <x v="2"/>
    <x v="11"/>
    <n v="1556.0883199843929"/>
  </r>
  <r>
    <x v="2"/>
    <x v="12"/>
    <n v="1564.558220283222"/>
  </r>
  <r>
    <x v="2"/>
    <x v="13"/>
    <n v="1627.2593374450721"/>
  </r>
  <r>
    <x v="2"/>
    <x v="14"/>
    <n v="1591.793000102047"/>
  </r>
  <r>
    <x v="2"/>
    <x v="15"/>
    <n v="1575.188771611638"/>
  </r>
  <r>
    <x v="2"/>
    <x v="16"/>
    <n v="1504.998130575595"/>
  </r>
  <r>
    <x v="2"/>
    <x v="17"/>
    <n v="1527.4556458977461"/>
  </r>
  <r>
    <x v="2"/>
    <x v="18"/>
    <n v="1438.169877407337"/>
  </r>
  <r>
    <x v="2"/>
    <x v="19"/>
    <n v="1415.8829049610649"/>
  </r>
  <r>
    <x v="2"/>
    <x v="20"/>
    <n v="1468.931290631755"/>
  </r>
  <r>
    <x v="2"/>
    <x v="21"/>
    <n v="1533.9536833975169"/>
  </r>
  <r>
    <x v="2"/>
    <x v="22"/>
    <n v="1666.940593418193"/>
  </r>
  <r>
    <x v="2"/>
    <x v="23"/>
    <n v="1591.617586734606"/>
  </r>
  <r>
    <x v="2"/>
    <x v="24"/>
    <n v="1577.6579718163321"/>
  </r>
  <r>
    <x v="2"/>
    <x v="25"/>
    <n v="1624.112691339576"/>
  </r>
  <r>
    <x v="2"/>
    <x v="26"/>
    <n v="1595.6208854130371"/>
  </r>
  <r>
    <x v="2"/>
    <x v="27"/>
    <n v="1555.5469062752891"/>
  </r>
  <r>
    <x v="2"/>
    <x v="28"/>
    <n v="1542.4515396127219"/>
  </r>
  <r>
    <x v="2"/>
    <x v="29"/>
    <n v="1524.8492568298941"/>
  </r>
  <r>
    <x v="2"/>
    <x v="30"/>
    <n v="1529.2994750808959"/>
  </r>
  <r>
    <x v="2"/>
    <x v="31"/>
    <n v="1634.6575355732371"/>
  </r>
  <r>
    <x v="2"/>
    <x v="32"/>
    <n v="1622.50372069688"/>
  </r>
  <r>
    <x v="2"/>
    <x v="33"/>
    <n v="1644.9335802026201"/>
  </r>
  <r>
    <x v="3"/>
    <x v="0"/>
    <s v="NO"/>
  </r>
  <r>
    <x v="3"/>
    <x v="1"/>
    <s v="NO"/>
  </r>
  <r>
    <x v="3"/>
    <x v="2"/>
    <s v="NO"/>
  </r>
  <r>
    <x v="3"/>
    <x v="3"/>
    <s v="NO"/>
  </r>
  <r>
    <x v="3"/>
    <x v="4"/>
    <s v="NO"/>
  </r>
  <r>
    <x v="3"/>
    <x v="5"/>
    <s v="NO"/>
  </r>
  <r>
    <x v="3"/>
    <x v="6"/>
    <n v="1.9739800000000002E-3"/>
  </r>
  <r>
    <x v="3"/>
    <x v="7"/>
    <n v="4.1219999999999998E-3"/>
  </r>
  <r>
    <x v="3"/>
    <x v="8"/>
    <n v="1.2137000000000001E-3"/>
  </r>
  <r>
    <x v="3"/>
    <x v="9"/>
    <n v="2.0152E-3"/>
  </r>
  <r>
    <x v="3"/>
    <x v="10"/>
    <n v="1.2595E-3"/>
  </r>
  <r>
    <x v="3"/>
    <x v="11"/>
    <n v="1.4885E-3"/>
  </r>
  <r>
    <x v="3"/>
    <x v="12"/>
    <n v="2.4274000000000001E-3"/>
  </r>
  <r>
    <x v="3"/>
    <x v="13"/>
    <n v="1.9922999999999998E-3"/>
  </r>
  <r>
    <x v="3"/>
    <x v="14"/>
    <n v="2.1754999999999999E-3"/>
  </r>
  <r>
    <x v="3"/>
    <x v="15"/>
    <n v="1.2595E-3"/>
  </r>
  <r>
    <x v="3"/>
    <x v="16"/>
    <n v="1.374E-3"/>
  </r>
  <r>
    <x v="3"/>
    <x v="17"/>
    <n v="6.1830000000000001E-3"/>
  </r>
  <r>
    <x v="3"/>
    <x v="18"/>
    <n v="4.8089999999999999E-3"/>
  </r>
  <r>
    <x v="3"/>
    <x v="19"/>
    <n v="1.0534E-2"/>
  </r>
  <r>
    <x v="3"/>
    <x v="20"/>
    <n v="1.1358399999999999E-2"/>
  </r>
  <r>
    <x v="3"/>
    <x v="21"/>
    <n v="1.9236E-2"/>
  </r>
  <r>
    <x v="3"/>
    <x v="22"/>
    <n v="2.120540000000001E-2"/>
  </r>
  <r>
    <x v="3"/>
    <x v="23"/>
    <n v="2.120540000000001E-2"/>
  </r>
  <r>
    <x v="3"/>
    <x v="24"/>
    <n v="3.7785000000000013E-2"/>
  </r>
  <r>
    <x v="3"/>
    <x v="25"/>
    <n v="1.47934E-2"/>
  </r>
  <r>
    <x v="3"/>
    <x v="26"/>
    <n v="3.0457000000000001E-2"/>
  </r>
  <r>
    <x v="3"/>
    <x v="27"/>
    <n v="4.6349599999999998E-2"/>
  </r>
  <r>
    <x v="3"/>
    <x v="28"/>
    <n v="2.7022000000000001E-2"/>
  </r>
  <r>
    <x v="3"/>
    <x v="29"/>
    <n v="1.7403999999999999E-2"/>
  </r>
  <r>
    <x v="3"/>
    <x v="30"/>
    <n v="1.7632999999999999E-2"/>
  </r>
  <r>
    <x v="3"/>
    <x v="31"/>
    <n v="1.0534E-2"/>
  </r>
  <r>
    <x v="3"/>
    <x v="32"/>
    <n v="3.4121000000000012E-2"/>
  </r>
  <r>
    <x v="3"/>
    <x v="33"/>
    <n v="6.7784000000000011E-2"/>
  </r>
  <r>
    <x v="4"/>
    <x v="0"/>
    <n v="4998.8797988117076"/>
  </r>
  <r>
    <x v="4"/>
    <x v="1"/>
    <n v="4799.2541675369212"/>
  </r>
  <r>
    <x v="4"/>
    <x v="2"/>
    <n v="4670.8535519328552"/>
  </r>
  <r>
    <x v="4"/>
    <x v="3"/>
    <n v="4534.5237726266869"/>
  </r>
  <r>
    <x v="4"/>
    <x v="4"/>
    <n v="4424.3403435628097"/>
  </r>
  <r>
    <x v="4"/>
    <x v="5"/>
    <n v="4226.4362549626549"/>
  </r>
  <r>
    <x v="4"/>
    <x v="6"/>
    <n v="4349.6586790359861"/>
  </r>
  <r>
    <x v="4"/>
    <x v="7"/>
    <n v="4049.5212467560641"/>
  </r>
  <r>
    <x v="4"/>
    <x v="8"/>
    <n v="3806.6604422310852"/>
  </r>
  <r>
    <x v="4"/>
    <x v="9"/>
    <n v="3724.2372218922501"/>
  </r>
  <r>
    <x v="4"/>
    <x v="10"/>
    <n v="3658.0468941978361"/>
  </r>
  <r>
    <x v="4"/>
    <x v="11"/>
    <n v="3487.5103079303108"/>
  </r>
  <r>
    <x v="4"/>
    <x v="12"/>
    <n v="3488.6219198650269"/>
  </r>
  <r>
    <x v="4"/>
    <x v="13"/>
    <n v="3474.9342363037922"/>
  </r>
  <r>
    <x v="4"/>
    <x v="14"/>
    <n v="3508.3973395408862"/>
  </r>
  <r>
    <x v="4"/>
    <x v="15"/>
    <n v="3581.4417105328662"/>
  </r>
  <r>
    <x v="4"/>
    <x v="16"/>
    <n v="3663.8760840094219"/>
  </r>
  <r>
    <x v="4"/>
    <x v="17"/>
    <n v="3742.1244378823681"/>
  </r>
  <r>
    <x v="4"/>
    <x v="18"/>
    <n v="3786.0341785707201"/>
  </r>
  <r>
    <x v="4"/>
    <x v="19"/>
    <n v="3397.8896507622931"/>
  </r>
  <r>
    <x v="4"/>
    <x v="20"/>
    <n v="3494.3839731922062"/>
  </r>
  <r>
    <x v="4"/>
    <x v="21"/>
    <n v="3451.111286098886"/>
  </r>
  <r>
    <x v="4"/>
    <x v="22"/>
    <n v="3467.9367527330819"/>
  </r>
  <r>
    <x v="4"/>
    <x v="23"/>
    <n v="3623.7955675495641"/>
  </r>
  <r>
    <x v="4"/>
    <x v="24"/>
    <n v="3604.761745810702"/>
  </r>
  <r>
    <x v="4"/>
    <x v="25"/>
    <n v="3636.6914347944748"/>
  </r>
  <r>
    <x v="4"/>
    <x v="26"/>
    <n v="3746.9189653854619"/>
  </r>
  <r>
    <x v="4"/>
    <x v="27"/>
    <n v="3807.6485815512601"/>
  </r>
  <r>
    <x v="4"/>
    <x v="28"/>
    <n v="3784.5934818704768"/>
  </r>
  <r>
    <x v="4"/>
    <x v="29"/>
    <n v="3806.4464127821302"/>
  </r>
  <r>
    <x v="4"/>
    <x v="30"/>
    <n v="3542.1135224276559"/>
  </r>
  <r>
    <x v="4"/>
    <x v="31"/>
    <n v="3804.0318140951808"/>
  </r>
  <r>
    <x v="4"/>
    <x v="32"/>
    <n v="3709.7520652095568"/>
  </r>
  <r>
    <x v="4"/>
    <x v="33"/>
    <n v="3514.147116122313"/>
  </r>
  <r>
    <x v="5"/>
    <x v="0"/>
    <n v="1.5617412767877481E-3"/>
  </r>
  <r>
    <x v="5"/>
    <x v="1"/>
    <n v="1.518067149108974E-3"/>
  </r>
  <r>
    <x v="5"/>
    <x v="2"/>
    <n v="1.474393021430199E-3"/>
  </r>
  <r>
    <x v="5"/>
    <x v="3"/>
    <n v="1.4307188937514241E-3"/>
  </r>
  <r>
    <x v="5"/>
    <x v="4"/>
    <n v="1.3870447660726489E-3"/>
  </r>
  <r>
    <x v="5"/>
    <x v="5"/>
    <n v="1.343370638393874E-3"/>
  </r>
  <r>
    <x v="5"/>
    <x v="6"/>
    <n v="1.299696510715099E-3"/>
  </r>
  <r>
    <x v="5"/>
    <x v="7"/>
    <n v="1.256022383036325E-3"/>
  </r>
  <r>
    <x v="5"/>
    <x v="8"/>
    <n v="1.21234825535755E-3"/>
  </r>
  <r>
    <x v="5"/>
    <x v="9"/>
    <n v="1.1686741276787751E-3"/>
  </r>
  <r>
    <x v="5"/>
    <x v="10"/>
    <n v="1.1249999999999999E-3"/>
  </r>
  <r>
    <x v="5"/>
    <x v="11"/>
    <n v="1.1000000000000001E-3"/>
  </r>
  <r>
    <x v="5"/>
    <x v="12"/>
    <n v="1.075E-3"/>
  </r>
  <r>
    <x v="5"/>
    <x v="13"/>
    <n v="1.0499999999999999E-3"/>
  </r>
  <r>
    <x v="5"/>
    <x v="14"/>
    <n v="1.0250000000000001E-3"/>
  </r>
  <r>
    <x v="5"/>
    <x v="15"/>
    <n v="1E-3"/>
  </r>
  <r>
    <x v="5"/>
    <x v="16"/>
    <n v="9.7499999999999996E-4"/>
  </r>
  <r>
    <x v="5"/>
    <x v="17"/>
    <n v="9.5E-4"/>
  </r>
  <r>
    <x v="5"/>
    <x v="18"/>
    <n v="9.2500000000000004E-4"/>
  </r>
  <r>
    <x v="5"/>
    <x v="19"/>
    <n v="8.9999999999999998E-4"/>
  </r>
  <r>
    <x v="5"/>
    <x v="20"/>
    <n v="8.7500000000000002E-4"/>
  </r>
  <r>
    <x v="5"/>
    <x v="21"/>
    <n v="8.7500000000000002E-4"/>
  </r>
  <r>
    <x v="5"/>
    <x v="22"/>
    <n v="8.7500000000000002E-4"/>
  </r>
  <r>
    <x v="5"/>
    <x v="23"/>
    <n v="8.7500000000000002E-4"/>
  </r>
  <r>
    <x v="5"/>
    <x v="24"/>
    <n v="8.7500000000000002E-4"/>
  </r>
  <r>
    <x v="5"/>
    <x v="25"/>
    <n v="8.7500000000000002E-4"/>
  </r>
  <r>
    <x v="5"/>
    <x v="26"/>
    <n v="8.7500000000000002E-4"/>
  </r>
  <r>
    <x v="5"/>
    <x v="27"/>
    <n v="8.7500000000000002E-4"/>
  </r>
  <r>
    <x v="5"/>
    <x v="28"/>
    <n v="2.6249999999999998E-4"/>
  </r>
  <r>
    <x v="5"/>
    <x v="29"/>
    <n v="2.6249999999999998E-4"/>
  </r>
  <r>
    <x v="5"/>
    <x v="30"/>
    <n v="2.6249999999999998E-4"/>
  </r>
  <r>
    <x v="5"/>
    <x v="31"/>
    <n v="2.6249999999999998E-4"/>
  </r>
  <r>
    <x v="5"/>
    <x v="32"/>
    <n v="2.6249999999999998E-4"/>
  </r>
  <r>
    <x v="5"/>
    <x v="33"/>
    <n v="2.6249999999999998E-4"/>
  </r>
  <r>
    <x v="6"/>
    <x v="0"/>
    <s v="NO"/>
  </r>
  <r>
    <x v="6"/>
    <x v="1"/>
    <s v="NO"/>
  </r>
  <r>
    <x v="6"/>
    <x v="2"/>
    <s v="NO"/>
  </r>
  <r>
    <x v="6"/>
    <x v="3"/>
    <s v="NO"/>
  </r>
  <r>
    <x v="6"/>
    <x v="4"/>
    <s v="NO"/>
  </r>
  <r>
    <x v="6"/>
    <x v="5"/>
    <s v="NO"/>
  </r>
  <r>
    <x v="6"/>
    <x v="6"/>
    <s v="NO"/>
  </r>
  <r>
    <x v="6"/>
    <x v="7"/>
    <s v="NO"/>
  </r>
  <r>
    <x v="6"/>
    <x v="8"/>
    <s v="NO"/>
  </r>
  <r>
    <x v="6"/>
    <x v="9"/>
    <s v="NO"/>
  </r>
  <r>
    <x v="6"/>
    <x v="10"/>
    <s v="NO"/>
  </r>
  <r>
    <x v="6"/>
    <x v="11"/>
    <s v="NO"/>
  </r>
  <r>
    <x v="6"/>
    <x v="12"/>
    <s v="NO"/>
  </r>
  <r>
    <x v="6"/>
    <x v="13"/>
    <s v="NO"/>
  </r>
  <r>
    <x v="6"/>
    <x v="14"/>
    <s v="NO"/>
  </r>
  <r>
    <x v="6"/>
    <x v="15"/>
    <s v="NO"/>
  </r>
  <r>
    <x v="6"/>
    <x v="16"/>
    <s v="NO"/>
  </r>
  <r>
    <x v="6"/>
    <x v="17"/>
    <s v="NO"/>
  </r>
  <r>
    <x v="6"/>
    <x v="18"/>
    <s v="NO"/>
  </r>
  <r>
    <x v="6"/>
    <x v="19"/>
    <s v="NO"/>
  </r>
  <r>
    <x v="6"/>
    <x v="20"/>
    <s v="NO"/>
  </r>
  <r>
    <x v="6"/>
    <x v="21"/>
    <s v="NO"/>
  </r>
  <r>
    <x v="6"/>
    <x v="22"/>
    <s v="NO"/>
  </r>
  <r>
    <x v="6"/>
    <x v="23"/>
    <s v="NO"/>
  </r>
  <r>
    <x v="6"/>
    <x v="24"/>
    <s v="NO"/>
  </r>
  <r>
    <x v="6"/>
    <x v="25"/>
    <s v="NO"/>
  </r>
  <r>
    <x v="6"/>
    <x v="26"/>
    <s v="NO"/>
  </r>
  <r>
    <x v="6"/>
    <x v="27"/>
    <s v="NO"/>
  </r>
  <r>
    <x v="6"/>
    <x v="28"/>
    <s v="NO"/>
  </r>
  <r>
    <x v="6"/>
    <x v="29"/>
    <s v="NO"/>
  </r>
  <r>
    <x v="6"/>
    <x v="30"/>
    <s v="NO"/>
  </r>
  <r>
    <x v="6"/>
    <x v="31"/>
    <s v="NO"/>
  </r>
  <r>
    <x v="6"/>
    <x v="32"/>
    <s v="NO"/>
  </r>
  <r>
    <x v="6"/>
    <x v="33"/>
    <s v="NO"/>
  </r>
  <r>
    <x v="7"/>
    <x v="0"/>
    <n v="1431.66"/>
  </r>
  <r>
    <x v="7"/>
    <x v="1"/>
    <n v="1360.73"/>
  </r>
  <r>
    <x v="7"/>
    <x v="2"/>
    <n v="1340.89"/>
  </r>
  <r>
    <x v="7"/>
    <x v="3"/>
    <n v="1420.7"/>
  </r>
  <r>
    <x v="7"/>
    <x v="4"/>
    <n v="1535.5"/>
  </r>
  <r>
    <x v="7"/>
    <x v="5"/>
    <n v="1529.48"/>
  </r>
  <r>
    <x v="7"/>
    <x v="6"/>
    <n v="1509.57"/>
  </r>
  <r>
    <x v="7"/>
    <x v="7"/>
    <n v="1541.72"/>
  </r>
  <r>
    <x v="7"/>
    <x v="8"/>
    <n v="1605.71"/>
  </r>
  <r>
    <x v="7"/>
    <x v="9"/>
    <n v="1537.44"/>
  </r>
  <r>
    <x v="7"/>
    <x v="10"/>
    <n v="1553.84"/>
  </r>
  <r>
    <x v="7"/>
    <x v="11"/>
    <n v="1514.9"/>
  </r>
  <r>
    <x v="7"/>
    <x v="12"/>
    <n v="1453.6"/>
  </r>
  <r>
    <x v="7"/>
    <x v="13"/>
    <n v="1468.4"/>
  </r>
  <r>
    <x v="7"/>
    <x v="14"/>
    <n v="1554.59"/>
  </r>
  <r>
    <x v="7"/>
    <x v="15"/>
    <n v="1547.56"/>
  </r>
  <r>
    <x v="7"/>
    <x v="16"/>
    <n v="1527.93"/>
  </r>
  <r>
    <x v="7"/>
    <x v="17"/>
    <n v="1483.27"/>
  </r>
  <r>
    <x v="7"/>
    <x v="18"/>
    <n v="1377.64"/>
  </r>
  <r>
    <x v="7"/>
    <x v="19"/>
    <n v="1163.23"/>
  </r>
  <r>
    <x v="7"/>
    <x v="20"/>
    <n v="1291.69"/>
  </r>
  <r>
    <x v="7"/>
    <x v="21"/>
    <n v="1237.4100000000001"/>
  </r>
  <r>
    <x v="7"/>
    <x v="22"/>
    <n v="1121.26"/>
  </r>
  <r>
    <x v="7"/>
    <x v="23"/>
    <n v="1024.1199999999999"/>
  </r>
  <r>
    <x v="7"/>
    <x v="24"/>
    <n v="1063.9000000000001"/>
  </r>
  <r>
    <x v="7"/>
    <x v="25"/>
    <n v="1057.82"/>
  </r>
  <r>
    <x v="7"/>
    <x v="26"/>
    <n v="1121.56"/>
  </r>
  <r>
    <x v="7"/>
    <x v="27"/>
    <n v="1151.96"/>
  </r>
  <r>
    <x v="7"/>
    <x v="28"/>
    <n v="1173.54"/>
  </r>
  <r>
    <x v="7"/>
    <x v="29"/>
    <n v="1168.57"/>
  </r>
  <r>
    <x v="7"/>
    <x v="30"/>
    <n v="1119.0999999999999"/>
  </r>
  <r>
    <x v="7"/>
    <x v="31"/>
    <n v="1167.29"/>
  </r>
  <r>
    <x v="7"/>
    <x v="32"/>
    <n v="1141.31"/>
  </r>
  <r>
    <x v="7"/>
    <x v="33"/>
    <n v="1066.51"/>
  </r>
  <r>
    <x v="8"/>
    <x v="0"/>
    <n v="23859.622754409502"/>
  </r>
  <r>
    <x v="8"/>
    <x v="1"/>
    <n v="21681.239575873758"/>
  </r>
  <r>
    <x v="8"/>
    <x v="2"/>
    <n v="17031.255111331739"/>
  </r>
  <r>
    <x v="8"/>
    <x v="3"/>
    <n v="13638.10118216417"/>
  </r>
  <r>
    <x v="8"/>
    <x v="4"/>
    <n v="10183.940343013939"/>
  </r>
  <r>
    <x v="8"/>
    <x v="5"/>
    <n v="9293.4623424237307"/>
  </r>
  <r>
    <x v="8"/>
    <x v="6"/>
    <n v="7668.9984821248354"/>
  </r>
  <r>
    <x v="8"/>
    <x v="7"/>
    <n v="7142.0875521101643"/>
  </r>
  <r>
    <x v="8"/>
    <x v="8"/>
    <n v="7000.6752055089273"/>
  </r>
  <r>
    <x v="8"/>
    <x v="9"/>
    <n v="7748.6838818033002"/>
  </r>
  <r>
    <x v="8"/>
    <x v="10"/>
    <n v="8497.087100560253"/>
  </r>
  <r>
    <x v="8"/>
    <x v="11"/>
    <n v="8402.2781720232488"/>
  </r>
  <r>
    <x v="8"/>
    <x v="12"/>
    <n v="8602.4147391422557"/>
  </r>
  <r>
    <x v="8"/>
    <x v="13"/>
    <n v="9342.7610962996314"/>
  </r>
  <r>
    <x v="8"/>
    <x v="14"/>
    <n v="10015.060661862201"/>
  </r>
  <r>
    <x v="8"/>
    <x v="15"/>
    <n v="10627.36738080308"/>
  </r>
  <r>
    <x v="8"/>
    <x v="16"/>
    <n v="10920.69969488861"/>
  </r>
  <r>
    <x v="8"/>
    <x v="17"/>
    <n v="11813.62871482739"/>
  </r>
  <r>
    <x v="8"/>
    <x v="18"/>
    <n v="11248.74824504448"/>
  </r>
  <r>
    <x v="8"/>
    <x v="19"/>
    <n v="9852.1143264741422"/>
  </r>
  <r>
    <x v="8"/>
    <x v="20"/>
    <n v="11022.40162826324"/>
  </r>
  <r>
    <x v="8"/>
    <x v="21"/>
    <n v="11678.35344009363"/>
  </r>
  <r>
    <x v="8"/>
    <x v="22"/>
    <n v="11553.659781189281"/>
  </r>
  <r>
    <x v="8"/>
    <x v="23"/>
    <n v="11535.68693681592"/>
  </r>
  <r>
    <x v="8"/>
    <x v="24"/>
    <n v="11812.572314819279"/>
  </r>
  <r>
    <x v="8"/>
    <x v="25"/>
    <n v="12070.912651560329"/>
  </r>
  <r>
    <x v="8"/>
    <x v="26"/>
    <n v="12820.746612652491"/>
  </r>
  <r>
    <x v="8"/>
    <x v="27"/>
    <n v="13416.99044704167"/>
  </r>
  <r>
    <x v="8"/>
    <x v="28"/>
    <n v="14989.523672902151"/>
  </r>
  <r>
    <x v="8"/>
    <x v="29"/>
    <n v="15299.801522508291"/>
  </r>
  <r>
    <x v="8"/>
    <x v="30"/>
    <n v="15378.73866607838"/>
  </r>
  <r>
    <x v="8"/>
    <x v="31"/>
    <n v="17007.10461387426"/>
  </r>
  <r>
    <x v="8"/>
    <x v="32"/>
    <n v="15552.69061784563"/>
  </r>
  <r>
    <x v="8"/>
    <x v="33"/>
    <n v="15425.903715291161"/>
  </r>
  <r>
    <x v="9"/>
    <x v="0"/>
    <n v="23458.174834612251"/>
  </r>
  <r>
    <x v="9"/>
    <x v="1"/>
    <n v="24167.73160878964"/>
  </r>
  <r>
    <x v="9"/>
    <x v="2"/>
    <n v="25073.60786693951"/>
  </r>
  <r>
    <x v="9"/>
    <x v="3"/>
    <n v="25777.487812098519"/>
  </r>
  <r>
    <x v="9"/>
    <x v="4"/>
    <n v="26421.079475681239"/>
  </r>
  <r>
    <x v="9"/>
    <x v="5"/>
    <n v="27330.11916696568"/>
  </r>
  <r>
    <x v="9"/>
    <x v="6"/>
    <n v="28148.291923952351"/>
  </r>
  <r>
    <x v="9"/>
    <x v="7"/>
    <n v="29088.834367395739"/>
  </r>
  <r>
    <x v="9"/>
    <x v="8"/>
    <n v="30084.665622206208"/>
  </r>
  <r>
    <x v="9"/>
    <x v="9"/>
    <n v="31073.47076559221"/>
  </r>
  <r>
    <x v="9"/>
    <x v="10"/>
    <n v="32247.490335583439"/>
  </r>
  <r>
    <x v="9"/>
    <x v="11"/>
    <n v="33286.917138773431"/>
  </r>
  <r>
    <x v="9"/>
    <x v="12"/>
    <n v="34605.443009955503"/>
  </r>
  <r>
    <x v="9"/>
    <x v="13"/>
    <n v="35988.609546758118"/>
  </r>
  <r>
    <x v="9"/>
    <x v="14"/>
    <n v="37527.491265247292"/>
  </r>
  <r>
    <x v="9"/>
    <x v="15"/>
    <n v="39286.754277225802"/>
  </r>
  <r>
    <x v="9"/>
    <x v="16"/>
    <n v="41006.548130013587"/>
  </r>
  <r>
    <x v="9"/>
    <x v="17"/>
    <n v="42938.827556684097"/>
  </r>
  <r>
    <x v="9"/>
    <x v="18"/>
    <n v="44925.793184677001"/>
  </r>
  <r>
    <x v="9"/>
    <x v="19"/>
    <n v="46823.972244314813"/>
  </r>
  <r>
    <x v="9"/>
    <x v="20"/>
    <n v="49093.255144627918"/>
  </r>
  <r>
    <x v="9"/>
    <x v="21"/>
    <n v="51627.811065585898"/>
  </r>
  <r>
    <x v="9"/>
    <x v="22"/>
    <n v="54375.603109862197"/>
  </r>
  <r>
    <x v="9"/>
    <x v="23"/>
    <n v="57260.493814778943"/>
  </r>
  <r>
    <x v="9"/>
    <x v="24"/>
    <n v="60430.678329954979"/>
  </r>
  <r>
    <x v="9"/>
    <x v="25"/>
    <n v="63757.413254569401"/>
  </r>
  <r>
    <x v="9"/>
    <x v="26"/>
    <n v="67302.410432292134"/>
  </r>
  <r>
    <x v="9"/>
    <x v="27"/>
    <n v="70582.417081857828"/>
  </r>
  <r>
    <x v="9"/>
    <x v="28"/>
    <n v="73891.839016591097"/>
  </r>
  <r>
    <x v="9"/>
    <x v="29"/>
    <n v="77105.283047428427"/>
  </r>
  <r>
    <x v="9"/>
    <x v="30"/>
    <n v="80349.444685118709"/>
  </r>
  <r>
    <x v="9"/>
    <x v="31"/>
    <n v="84643.291041863442"/>
  </r>
  <r>
    <x v="9"/>
    <x v="32"/>
    <n v="88376.562528255148"/>
  </r>
  <r>
    <x v="9"/>
    <x v="33"/>
    <n v="90463.443367539861"/>
  </r>
  <r>
    <x v="10"/>
    <x v="0"/>
    <n v="5353.9139999999998"/>
  </r>
  <r>
    <x v="10"/>
    <x v="1"/>
    <n v="4884.26"/>
  </r>
  <r>
    <x v="10"/>
    <x v="2"/>
    <n v="4995.4339999999993"/>
  </r>
  <r>
    <x v="10"/>
    <x v="3"/>
    <n v="5686.7879999999996"/>
  </r>
  <r>
    <x v="10"/>
    <x v="4"/>
    <n v="6236.1110000000008"/>
  </r>
  <r>
    <x v="10"/>
    <x v="5"/>
    <n v="6216.3940000000002"/>
  </r>
  <r>
    <x v="10"/>
    <x v="6"/>
    <n v="6086.4380000000001"/>
  </r>
  <r>
    <x v="10"/>
    <x v="7"/>
    <n v="6950.0879999999997"/>
  </r>
  <r>
    <x v="10"/>
    <x v="8"/>
    <n v="7118.7739999999994"/>
  </r>
  <r>
    <x v="10"/>
    <x v="9"/>
    <n v="7204.1879999999992"/>
  </r>
  <r>
    <x v="10"/>
    <x v="10"/>
    <n v="7365.48"/>
  </r>
  <r>
    <x v="10"/>
    <x v="11"/>
    <n v="6756.3450000000012"/>
  </r>
  <r>
    <x v="10"/>
    <x v="12"/>
    <n v="6845.1040000000003"/>
  </r>
  <r>
    <x v="10"/>
    <x v="13"/>
    <n v="7015.0020000000004"/>
  </r>
  <r>
    <x v="10"/>
    <x v="14"/>
    <n v="7158.2649999999994"/>
  </r>
  <r>
    <x v="10"/>
    <x v="15"/>
    <n v="6187.2569999999996"/>
  </r>
  <r>
    <x v="10"/>
    <x v="16"/>
    <n v="6939.3630000000012"/>
  </r>
  <r>
    <x v="10"/>
    <x v="17"/>
    <n v="7288.1759999999986"/>
  </r>
  <r>
    <x v="10"/>
    <x v="18"/>
    <n v="6281.3019999999997"/>
  </r>
  <r>
    <x v="10"/>
    <x v="19"/>
    <n v="5213.5339999999997"/>
  </r>
  <r>
    <x v="10"/>
    <x v="20"/>
    <n v="6174.2720000000008"/>
  </r>
  <r>
    <x v="10"/>
    <x v="21"/>
    <n v="6182.9850000000006"/>
  </r>
  <r>
    <x v="10"/>
    <x v="22"/>
    <n v="6044.6010000000006"/>
  </r>
  <r>
    <x v="10"/>
    <x v="23"/>
    <n v="6218.1729999999998"/>
  </r>
  <r>
    <x v="10"/>
    <x v="24"/>
    <n v="6399.6409999999996"/>
  </r>
  <r>
    <x v="10"/>
    <x v="25"/>
    <n v="6391.9290000000001"/>
  </r>
  <r>
    <x v="10"/>
    <x v="26"/>
    <n v="6693.2749999999996"/>
  </r>
  <r>
    <x v="10"/>
    <x v="27"/>
    <n v="6971.0459999999994"/>
  </r>
  <r>
    <x v="10"/>
    <x v="28"/>
    <n v="7107.2259999999997"/>
  </r>
  <r>
    <x v="10"/>
    <x v="29"/>
    <n v="6867.8220000000001"/>
  </r>
  <r>
    <x v="10"/>
    <x v="30"/>
    <n v="6260.3789999999999"/>
  </r>
  <r>
    <x v="10"/>
    <x v="31"/>
    <n v="6889.5469999999996"/>
  </r>
  <r>
    <x v="10"/>
    <x v="32"/>
    <n v="6815.7610000000004"/>
  </r>
  <r>
    <x v="10"/>
    <x v="33"/>
    <n v="6357.9430000000002"/>
  </r>
  <r>
    <x v="11"/>
    <x v="0"/>
    <n v="2434.6330859527739"/>
  </r>
  <r>
    <x v="11"/>
    <x v="1"/>
    <n v="2192.7339316249231"/>
  </r>
  <r>
    <x v="11"/>
    <x v="2"/>
    <n v="2144.256775218199"/>
  </r>
  <r>
    <x v="11"/>
    <x v="3"/>
    <n v="2115.4446505179999"/>
  </r>
  <r>
    <x v="11"/>
    <x v="4"/>
    <n v="2401.4301606228878"/>
  </r>
  <r>
    <x v="11"/>
    <x v="5"/>
    <n v="2431.899379220401"/>
  </r>
  <r>
    <x v="11"/>
    <x v="6"/>
    <n v="2576.1842971060928"/>
  </r>
  <r>
    <x v="11"/>
    <x v="7"/>
    <n v="2532.8888200968609"/>
  </r>
  <r>
    <x v="11"/>
    <x v="8"/>
    <n v="2535.269938837127"/>
  </r>
  <r>
    <x v="11"/>
    <x v="9"/>
    <n v="2367.8541480150211"/>
  </r>
  <r>
    <x v="11"/>
    <x v="10"/>
    <n v="2350.8866081459742"/>
  </r>
  <r>
    <x v="11"/>
    <x v="11"/>
    <n v="2583.1911960648108"/>
  </r>
  <r>
    <x v="11"/>
    <x v="12"/>
    <n v="2870.710929082014"/>
  </r>
  <r>
    <x v="11"/>
    <x v="13"/>
    <n v="3087.970279646981"/>
  </r>
  <r>
    <x v="11"/>
    <x v="14"/>
    <n v="2928.8892560355148"/>
  </r>
  <r>
    <x v="11"/>
    <x v="15"/>
    <n v="2971.7204240307028"/>
  </r>
  <r>
    <x v="11"/>
    <x v="16"/>
    <n v="3113.1908171614318"/>
  </r>
  <r>
    <x v="11"/>
    <x v="17"/>
    <n v="3518.0060369905368"/>
  </r>
  <r>
    <x v="11"/>
    <x v="18"/>
    <n v="3513.170964860748"/>
  </r>
  <r>
    <x v="11"/>
    <x v="19"/>
    <n v="2542.0163649290821"/>
  </r>
  <r>
    <x v="11"/>
    <x v="20"/>
    <n v="2900.9499297366201"/>
  </r>
  <r>
    <x v="11"/>
    <x v="21"/>
    <n v="2987.8829726904769"/>
  </r>
  <r>
    <x v="11"/>
    <x v="22"/>
    <n v="2832.5210735234359"/>
  </r>
  <r>
    <x v="11"/>
    <x v="23"/>
    <n v="2577.8639653522409"/>
  </r>
  <r>
    <x v="11"/>
    <x v="24"/>
    <n v="2629.0778104531241"/>
  </r>
  <r>
    <x v="11"/>
    <x v="25"/>
    <n v="2588.2771659965078"/>
  </r>
  <r>
    <x v="11"/>
    <x v="26"/>
    <n v="2544.3233187343408"/>
  </r>
  <r>
    <x v="11"/>
    <x v="27"/>
    <n v="2697.8241010188049"/>
  </r>
  <r>
    <x v="11"/>
    <x v="28"/>
    <n v="2777.192913177531"/>
  </r>
  <r>
    <x v="11"/>
    <x v="29"/>
    <n v="2650.869571810942"/>
  </r>
  <r>
    <x v="11"/>
    <x v="30"/>
    <n v="2266.1231554318051"/>
  </r>
  <r>
    <x v="11"/>
    <x v="31"/>
    <n v="2743.876133261389"/>
  </r>
  <r>
    <x v="11"/>
    <x v="32"/>
    <n v="2799.2128974952338"/>
  </r>
  <r>
    <x v="11"/>
    <x v="33"/>
    <n v="2439.2183972326188"/>
  </r>
  <r>
    <x v="12"/>
    <x v="0"/>
    <n v="707660.52926398907"/>
  </r>
  <r>
    <x v="12"/>
    <x v="1"/>
    <n v="607999.58788157301"/>
  </r>
  <r>
    <x v="12"/>
    <x v="2"/>
    <n v="574435.89751120517"/>
  </r>
  <r>
    <x v="12"/>
    <x v="3"/>
    <n v="590775.57170853403"/>
  </r>
  <r>
    <x v="12"/>
    <x v="4"/>
    <n v="534910.40163293702"/>
  </r>
  <r>
    <x v="12"/>
    <x v="5"/>
    <n v="610101.87167503894"/>
  </r>
  <r>
    <x v="12"/>
    <x v="6"/>
    <n v="678755.2458088554"/>
  </r>
  <r>
    <x v="12"/>
    <x v="7"/>
    <n v="563270.97007470904"/>
  </r>
  <r>
    <x v="12"/>
    <x v="8"/>
    <n v="726042.07701436209"/>
  </r>
  <r>
    <x v="12"/>
    <x v="9"/>
    <n v="593641.99074065697"/>
  </r>
  <r>
    <x v="12"/>
    <x v="10"/>
    <n v="465194.47390331799"/>
  </r>
  <r>
    <x v="12"/>
    <x v="11"/>
    <n v="407163.31890790199"/>
  </r>
  <r>
    <x v="12"/>
    <x v="12"/>
    <n v="599092.42369221"/>
  </r>
  <r>
    <x v="12"/>
    <x v="13"/>
    <n v="573143.13003296102"/>
  </r>
  <r>
    <x v="12"/>
    <x v="14"/>
    <n v="538216.17727028602"/>
  </r>
  <r>
    <x v="12"/>
    <x v="15"/>
    <n v="563168.40036549605"/>
  </r>
  <r>
    <x v="12"/>
    <x v="16"/>
    <n v="562700.00332362507"/>
  </r>
  <r>
    <x v="12"/>
    <x v="17"/>
    <n v="485211.98658621102"/>
  </r>
  <r>
    <x v="12"/>
    <x v="18"/>
    <n v="471309.75266726298"/>
  </r>
  <r>
    <x v="12"/>
    <x v="19"/>
    <n v="428333.96122738702"/>
  </r>
  <r>
    <x v="12"/>
    <x v="20"/>
    <n v="356143.053763034"/>
  </r>
  <r>
    <x v="12"/>
    <x v="21"/>
    <n v="343204.84533544403"/>
  </r>
  <r>
    <x v="12"/>
    <x v="22"/>
    <n v="338563.45406341"/>
  </r>
  <r>
    <x v="12"/>
    <x v="23"/>
    <n v="379575.96795155498"/>
  </r>
  <r>
    <x v="12"/>
    <x v="24"/>
    <n v="392171.33844818099"/>
  </r>
  <r>
    <x v="12"/>
    <x v="25"/>
    <n v="407206.85302121303"/>
  </r>
  <r>
    <x v="12"/>
    <x v="26"/>
    <n v="402428.59437398001"/>
  </r>
  <r>
    <x v="12"/>
    <x v="27"/>
    <n v="368027.13052504498"/>
  </r>
  <r>
    <x v="12"/>
    <x v="28"/>
    <n v="366481.80949463189"/>
  </r>
  <r>
    <x v="12"/>
    <x v="29"/>
    <n v="335151.26549383602"/>
  </r>
  <r>
    <x v="12"/>
    <x v="30"/>
    <n v="332282.29747231322"/>
  </r>
  <r>
    <x v="12"/>
    <x v="31"/>
    <n v="316510.53746958892"/>
  </r>
  <r>
    <x v="12"/>
    <x v="32"/>
    <n v="367347.26861425512"/>
  </r>
  <r>
    <x v="12"/>
    <x v="33"/>
    <n v="311796.70032291301"/>
  </r>
  <r>
    <x v="13"/>
    <x v="0"/>
    <n v="451.8798615393307"/>
  </r>
  <r>
    <x v="13"/>
    <x v="1"/>
    <n v="417.03693642205309"/>
  </r>
  <r>
    <x v="13"/>
    <x v="2"/>
    <n v="209.5983641910436"/>
  </r>
  <r>
    <x v="13"/>
    <x v="3"/>
    <n v="179.68790555845871"/>
  </r>
  <r>
    <x v="13"/>
    <x v="4"/>
    <n v="184.53622380395669"/>
  </r>
  <r>
    <x v="13"/>
    <x v="5"/>
    <n v="191.98069688354951"/>
  </r>
  <r>
    <x v="13"/>
    <x v="6"/>
    <n v="220.47092426208869"/>
  </r>
  <r>
    <x v="13"/>
    <x v="7"/>
    <n v="238.97271830640929"/>
  </r>
  <r>
    <x v="13"/>
    <x v="8"/>
    <n v="216.20317228324831"/>
  </r>
  <r>
    <x v="13"/>
    <x v="9"/>
    <n v="275.61230319257601"/>
  </r>
  <r>
    <x v="13"/>
    <x v="10"/>
    <n v="348.65891448119231"/>
  </r>
  <r>
    <x v="13"/>
    <x v="11"/>
    <n v="370.78756609510862"/>
  </r>
  <r>
    <x v="13"/>
    <x v="12"/>
    <n v="411.45925540433478"/>
  </r>
  <r>
    <x v="13"/>
    <x v="13"/>
    <n v="407.97075527016739"/>
  </r>
  <r>
    <x v="13"/>
    <x v="14"/>
    <n v="541.78989918696959"/>
  </r>
  <r>
    <x v="13"/>
    <x v="15"/>
    <n v="595.96874979595748"/>
  </r>
  <r>
    <x v="13"/>
    <x v="16"/>
    <n v="597.90055351683191"/>
  </r>
  <r>
    <x v="13"/>
    <x v="17"/>
    <n v="835.96569466809308"/>
  </r>
  <r>
    <x v="13"/>
    <x v="18"/>
    <n v="631.68311324926856"/>
  </r>
  <r>
    <x v="13"/>
    <x v="19"/>
    <n v="622.41151931194963"/>
  </r>
  <r>
    <x v="13"/>
    <x v="20"/>
    <n v="652.90107006499829"/>
  </r>
  <r>
    <x v="13"/>
    <x v="21"/>
    <n v="748.75846689399316"/>
  </r>
  <r>
    <x v="13"/>
    <x v="22"/>
    <n v="750.2338749673313"/>
  </r>
  <r>
    <x v="13"/>
    <x v="23"/>
    <n v="733.7517494398536"/>
  </r>
  <r>
    <x v="13"/>
    <x v="24"/>
    <n v="756.75754297675508"/>
  </r>
  <r>
    <x v="13"/>
    <x v="25"/>
    <n v="845.82662505705616"/>
  </r>
  <r>
    <x v="13"/>
    <x v="26"/>
    <n v="752.47079702667372"/>
  </r>
  <r>
    <x v="13"/>
    <x v="27"/>
    <n v="831.20354857054406"/>
  </r>
  <r>
    <x v="13"/>
    <x v="28"/>
    <n v="824.2012624056149"/>
  </r>
  <r>
    <x v="13"/>
    <x v="29"/>
    <n v="788.03522114290877"/>
  </r>
  <r>
    <x v="13"/>
    <x v="30"/>
    <n v="853.03894810900442"/>
  </r>
  <r>
    <x v="13"/>
    <x v="31"/>
    <n v="865.71945658578238"/>
  </r>
  <r>
    <x v="13"/>
    <x v="32"/>
    <n v="827.33140900206729"/>
  </r>
  <r>
    <x v="13"/>
    <x v="33"/>
    <n v="911.84213725725613"/>
  </r>
  <r>
    <x v="14"/>
    <x v="0"/>
    <n v="1472.6176455806601"/>
  </r>
  <r>
    <x v="14"/>
    <x v="1"/>
    <n v="1105.605920881608"/>
  </r>
  <r>
    <x v="14"/>
    <x v="2"/>
    <n v="783.7800767965191"/>
  </r>
  <r>
    <x v="14"/>
    <x v="3"/>
    <n v="1044.977261524999"/>
  </r>
  <r>
    <x v="14"/>
    <x v="4"/>
    <n v="1073.1231715497199"/>
  </r>
  <r>
    <x v="14"/>
    <x v="5"/>
    <n v="1179.9398841257771"/>
  </r>
  <r>
    <x v="14"/>
    <x v="6"/>
    <n v="1161.0180080017769"/>
  </r>
  <r>
    <x v="14"/>
    <x v="7"/>
    <n v="1179.1346332766971"/>
  </r>
  <r>
    <x v="14"/>
    <x v="8"/>
    <n v="1132.3678869070809"/>
  </r>
  <r>
    <x v="14"/>
    <x v="9"/>
    <n v="1170.544343781932"/>
  </r>
  <r>
    <x v="14"/>
    <x v="10"/>
    <n v="1307.764238198376"/>
  </r>
  <r>
    <x v="14"/>
    <x v="11"/>
    <n v="1302.0531890955399"/>
  </r>
  <r>
    <x v="14"/>
    <x v="12"/>
    <n v="1285.845831828156"/>
  </r>
  <r>
    <x v="14"/>
    <x v="13"/>
    <n v="1404.116858966431"/>
  </r>
  <r>
    <x v="14"/>
    <x v="14"/>
    <n v="1438.016164245947"/>
  </r>
  <r>
    <x v="14"/>
    <x v="15"/>
    <n v="1420.171208388557"/>
  </r>
  <r>
    <x v="14"/>
    <x v="16"/>
    <n v="1705.706348584107"/>
  </r>
  <r>
    <x v="14"/>
    <x v="17"/>
    <n v="1867.589032705444"/>
  </r>
  <r>
    <x v="14"/>
    <x v="18"/>
    <n v="1643.899859922665"/>
  </r>
  <r>
    <x v="14"/>
    <x v="19"/>
    <n v="1370.1662800818351"/>
  </r>
  <r>
    <x v="14"/>
    <x v="20"/>
    <n v="1524.081026455475"/>
  </r>
  <r>
    <x v="14"/>
    <x v="21"/>
    <n v="1345.1081084879261"/>
  </r>
  <r>
    <x v="14"/>
    <x v="22"/>
    <n v="1267.5208930063479"/>
  </r>
  <r>
    <x v="14"/>
    <x v="23"/>
    <n v="1099.3590599525869"/>
  </r>
  <r>
    <x v="14"/>
    <x v="24"/>
    <n v="1072.66822615454"/>
  </r>
  <r>
    <x v="14"/>
    <x v="25"/>
    <n v="1174.0745144532141"/>
  </r>
  <r>
    <x v="14"/>
    <x v="26"/>
    <n v="1267.667718190922"/>
  </r>
  <r>
    <x v="14"/>
    <x v="27"/>
    <n v="1346.469159929371"/>
  </r>
  <r>
    <x v="14"/>
    <x v="28"/>
    <n v="1461.3197612290051"/>
  </r>
  <r>
    <x v="14"/>
    <x v="29"/>
    <n v="1584.4507809879681"/>
  </r>
  <r>
    <x v="14"/>
    <x v="30"/>
    <n v="1874.3346886127561"/>
  </r>
  <r>
    <x v="14"/>
    <x v="31"/>
    <n v="1788.3415570900499"/>
  </r>
  <r>
    <x v="14"/>
    <x v="32"/>
    <n v="1695.036356408951"/>
  </r>
  <r>
    <x v="14"/>
    <x v="33"/>
    <n v="1506.155946543799"/>
  </r>
  <r>
    <x v="15"/>
    <x v="0"/>
    <n v="7114.3214574000003"/>
  </r>
  <r>
    <x v="15"/>
    <x v="1"/>
    <n v="6659.1366575000011"/>
  </r>
  <r>
    <x v="15"/>
    <x v="2"/>
    <n v="6857.3204680999997"/>
  </r>
  <r>
    <x v="15"/>
    <x v="3"/>
    <n v="6672.0534614999997"/>
  </r>
  <r>
    <x v="15"/>
    <x v="4"/>
    <n v="7673.2886800999986"/>
  </r>
  <r>
    <x v="15"/>
    <x v="5"/>
    <n v="7799.0741863000003"/>
  </r>
  <r>
    <x v="15"/>
    <x v="6"/>
    <n v="8090.623603"/>
  </r>
  <r>
    <x v="15"/>
    <x v="7"/>
    <n v="8289.9201274999996"/>
  </r>
  <r>
    <x v="15"/>
    <x v="8"/>
    <n v="8639.2282075000003"/>
  </r>
  <r>
    <x v="15"/>
    <x v="9"/>
    <n v="8985.2096633000001"/>
  </r>
  <r>
    <x v="15"/>
    <x v="10"/>
    <n v="10067.122196"/>
  </r>
  <r>
    <x v="15"/>
    <x v="11"/>
    <n v="9971.7677559000003"/>
  </r>
  <r>
    <x v="15"/>
    <x v="12"/>
    <n v="10958.74574"/>
  </r>
  <r>
    <x v="15"/>
    <x v="13"/>
    <n v="11410.561803000001"/>
  </r>
  <r>
    <x v="15"/>
    <x v="14"/>
    <n v="12682.802476999999"/>
  </r>
  <r>
    <x v="15"/>
    <x v="15"/>
    <n v="13871.262111"/>
  </r>
  <r>
    <x v="15"/>
    <x v="16"/>
    <n v="14054.668385000001"/>
  </r>
  <r>
    <x v="15"/>
    <x v="17"/>
    <n v="15335.567902000001"/>
  </r>
  <r>
    <x v="15"/>
    <x v="18"/>
    <n v="12937.725793"/>
  </r>
  <r>
    <x v="15"/>
    <x v="19"/>
    <n v="12350.545722000001"/>
  </r>
  <r>
    <x v="15"/>
    <x v="20"/>
    <n v="12395.26226"/>
  </r>
  <r>
    <x v="15"/>
    <x v="21"/>
    <n v="12251.625982"/>
  </r>
  <r>
    <x v="15"/>
    <x v="22"/>
    <n v="11843.481179"/>
  </r>
  <r>
    <x v="15"/>
    <x v="23"/>
    <n v="11594.286629"/>
  </r>
  <r>
    <x v="15"/>
    <x v="24"/>
    <n v="11727.472626999999"/>
  </r>
  <r>
    <x v="15"/>
    <x v="25"/>
    <n v="11761.845212"/>
  </r>
  <r>
    <x v="15"/>
    <x v="26"/>
    <n v="11710.213506"/>
  </r>
  <r>
    <x v="15"/>
    <x v="27"/>
    <n v="11886.832587999999"/>
  </r>
  <r>
    <x v="15"/>
    <x v="28"/>
    <n v="12521.578689"/>
  </r>
  <r>
    <x v="15"/>
    <x v="29"/>
    <n v="12701.756617999999"/>
  </r>
  <r>
    <x v="15"/>
    <x v="30"/>
    <n v="13190.013462999999"/>
  </r>
  <r>
    <x v="15"/>
    <x v="31"/>
    <n v="13407.154995000001"/>
  </r>
  <r>
    <x v="15"/>
    <x v="32"/>
    <n v="12373.719078"/>
  </r>
  <r>
    <x v="15"/>
    <x v="33"/>
    <n v="12371.87113"/>
  </r>
  <r>
    <x v="16"/>
    <x v="0"/>
    <n v="145.0210447124"/>
  </r>
  <r>
    <x v="16"/>
    <x v="1"/>
    <n v="109.50607135830001"/>
  </r>
  <r>
    <x v="16"/>
    <x v="2"/>
    <n v="161.748432842"/>
  </r>
  <r>
    <x v="16"/>
    <x v="3"/>
    <n v="234.667881795"/>
  </r>
  <r>
    <x v="16"/>
    <x v="4"/>
    <n v="217.6027602451"/>
  </r>
  <r>
    <x v="16"/>
    <x v="5"/>
    <n v="216.72923452890001"/>
  </r>
  <r>
    <x v="16"/>
    <x v="6"/>
    <n v="229.29324055949999"/>
  </r>
  <r>
    <x v="16"/>
    <x v="7"/>
    <n v="204.05638835400001"/>
  </r>
  <r>
    <x v="16"/>
    <x v="8"/>
    <n v="166.448423402"/>
  </r>
  <r>
    <x v="16"/>
    <x v="9"/>
    <n v="117.984112809"/>
  </r>
  <r>
    <x v="16"/>
    <x v="10"/>
    <n v="164.945804227"/>
  </r>
  <r>
    <x v="16"/>
    <x v="11"/>
    <n v="121.4885405087"/>
  </r>
  <r>
    <x v="16"/>
    <x v="12"/>
    <n v="99.505869443699993"/>
  </r>
  <r>
    <x v="16"/>
    <x v="13"/>
    <n v="102.1212292085"/>
  </r>
  <r>
    <x v="16"/>
    <x v="14"/>
    <n v="95.518000432099996"/>
  </r>
  <r>
    <x v="16"/>
    <x v="15"/>
    <n v="112.9662672935"/>
  </r>
  <r>
    <x v="16"/>
    <x v="16"/>
    <n v="120.1243283643"/>
  </r>
  <r>
    <x v="16"/>
    <x v="17"/>
    <n v="133.33673256439999"/>
  </r>
  <r>
    <x v="16"/>
    <x v="18"/>
    <n v="158.1964042537"/>
  </r>
  <r>
    <x v="16"/>
    <x v="19"/>
    <n v="146.27957381659999"/>
  </r>
  <r>
    <x v="16"/>
    <x v="20"/>
    <n v="147.0421593977"/>
  </r>
  <r>
    <x v="16"/>
    <x v="21"/>
    <n v="168.71105500420001"/>
  </r>
  <r>
    <x v="16"/>
    <x v="22"/>
    <n v="161.29376988050001"/>
  </r>
  <r>
    <x v="16"/>
    <x v="23"/>
    <n v="167.12502834899999"/>
  </r>
  <r>
    <x v="16"/>
    <x v="24"/>
    <n v="182.34196607999999"/>
  </r>
  <r>
    <x v="16"/>
    <x v="25"/>
    <n v="190.23782531200001"/>
  </r>
  <r>
    <x v="16"/>
    <x v="26"/>
    <n v="192.077829326"/>
  </r>
  <r>
    <x v="16"/>
    <x v="27"/>
    <n v="190.06835555999999"/>
  </r>
  <r>
    <x v="16"/>
    <x v="28"/>
    <n v="159.3274961393"/>
  </r>
  <r>
    <x v="16"/>
    <x v="29"/>
    <n v="170.39938978800001"/>
  </r>
  <r>
    <x v="16"/>
    <x v="30"/>
    <n v="180.116341777"/>
  </r>
  <r>
    <x v="16"/>
    <x v="31"/>
    <n v="163.915290306"/>
  </r>
  <r>
    <x v="16"/>
    <x v="32"/>
    <n v="175.86925573510001"/>
  </r>
  <r>
    <x v="16"/>
    <x v="33"/>
    <n v="180.63831076950001"/>
  </r>
  <r>
    <x v="17"/>
    <x v="0"/>
    <n v="1975582.7120388551"/>
  </r>
  <r>
    <x v="17"/>
    <x v="1"/>
    <n v="2018226.5459692869"/>
  </r>
  <r>
    <x v="17"/>
    <x v="2"/>
    <n v="1708134.9375001171"/>
  </r>
  <r>
    <x v="17"/>
    <x v="3"/>
    <n v="1866500.641487316"/>
  </r>
  <r>
    <x v="17"/>
    <x v="4"/>
    <n v="1923568.8275384719"/>
  </r>
  <r>
    <x v="17"/>
    <x v="5"/>
    <n v="2031837.047196178"/>
  </r>
  <r>
    <x v="17"/>
    <x v="6"/>
    <n v="2016007.4957916429"/>
  </r>
  <r>
    <x v="17"/>
    <x v="7"/>
    <n v="1962762.5030785231"/>
  </r>
  <r>
    <x v="17"/>
    <x v="8"/>
    <n v="1809526.130819187"/>
  </r>
  <r>
    <x v="17"/>
    <x v="9"/>
    <n v="2264935.3889703718"/>
  </r>
  <r>
    <x v="17"/>
    <x v="10"/>
    <n v="2434354.0649794922"/>
  </r>
  <r>
    <x v="17"/>
    <x v="11"/>
    <n v="2544883.7271476849"/>
  </r>
  <r>
    <x v="17"/>
    <x v="12"/>
    <n v="2642199.6793598528"/>
  </r>
  <r>
    <x v="17"/>
    <x v="13"/>
    <n v="2687140.197957281"/>
  </r>
  <r>
    <x v="17"/>
    <x v="14"/>
    <n v="2750312.5930390758"/>
  </r>
  <r>
    <x v="17"/>
    <x v="15"/>
    <n v="2661540.798511127"/>
  </r>
  <r>
    <x v="17"/>
    <x v="16"/>
    <n v="2877469.7629538272"/>
  </r>
  <r>
    <x v="17"/>
    <x v="17"/>
    <n v="2632602.384318925"/>
  </r>
  <r>
    <x v="17"/>
    <x v="18"/>
    <n v="2514998.2746273922"/>
  </r>
  <r>
    <x v="17"/>
    <x v="19"/>
    <n v="2019894.885107731"/>
  </r>
  <r>
    <x v="17"/>
    <x v="20"/>
    <n v="1993501.616583074"/>
  </r>
  <r>
    <x v="17"/>
    <x v="21"/>
    <n v="1944984.0747682131"/>
  </r>
  <r>
    <x v="17"/>
    <x v="22"/>
    <n v="1877314.760011032"/>
  </r>
  <r>
    <x v="17"/>
    <x v="23"/>
    <n v="1864058.592701768"/>
  </r>
  <r>
    <x v="17"/>
    <x v="24"/>
    <n v="2080880.482585558"/>
  </r>
  <r>
    <x v="17"/>
    <x v="25"/>
    <n v="2373623.4769669361"/>
  </r>
  <r>
    <x v="17"/>
    <x v="26"/>
    <n v="2367699.035637191"/>
  </r>
  <r>
    <x v="17"/>
    <x v="27"/>
    <n v="2620220.1823716871"/>
  </r>
  <r>
    <x v="17"/>
    <x v="28"/>
    <n v="2696693.941212717"/>
  </r>
  <r>
    <x v="17"/>
    <x v="29"/>
    <n v="2542202.562936394"/>
  </r>
  <r>
    <x v="17"/>
    <x v="30"/>
    <n v="2489006.226660517"/>
  </r>
  <r>
    <x v="17"/>
    <x v="31"/>
    <n v="2675528.6243234789"/>
  </r>
  <r>
    <x v="17"/>
    <x v="32"/>
    <n v="2780554.2354791509"/>
  </r>
  <r>
    <x v="17"/>
    <x v="33"/>
    <n v="2780554.2354791509"/>
  </r>
  <r>
    <x v="18"/>
    <x v="0"/>
    <n v="184.15402277677239"/>
  </r>
  <r>
    <x v="18"/>
    <x v="1"/>
    <n v="148.23174550404511"/>
  </r>
  <r>
    <x v="18"/>
    <x v="2"/>
    <n v="112.30946823131779"/>
  </r>
  <r>
    <x v="18"/>
    <x v="3"/>
    <n v="124.85033378844361"/>
  </r>
  <r>
    <x v="18"/>
    <x v="4"/>
    <n v="135.75524933669439"/>
  </r>
  <r>
    <x v="18"/>
    <x v="5"/>
    <n v="148.70834637209421"/>
  </r>
  <r>
    <x v="18"/>
    <x v="6"/>
    <n v="182.17374264136231"/>
  </r>
  <r>
    <x v="18"/>
    <x v="7"/>
    <n v="255.5608797704312"/>
  </r>
  <r>
    <x v="18"/>
    <x v="8"/>
    <n v="263.4114428994543"/>
  </r>
  <r>
    <x v="18"/>
    <x v="9"/>
    <n v="331.17695458925601"/>
  </r>
  <r>
    <x v="18"/>
    <x v="10"/>
    <n v="412.16661313285209"/>
  </r>
  <r>
    <x v="18"/>
    <x v="11"/>
    <n v="462.91006667615801"/>
  </r>
  <r>
    <x v="18"/>
    <x v="12"/>
    <n v="485.39094428739082"/>
  </r>
  <r>
    <x v="18"/>
    <x v="13"/>
    <n v="477.47893108135241"/>
  </r>
  <r>
    <x v="18"/>
    <x v="14"/>
    <n v="406.12760593005828"/>
  </r>
  <r>
    <x v="18"/>
    <x v="15"/>
    <n v="351.04992578117577"/>
  </r>
  <r>
    <x v="18"/>
    <x v="16"/>
    <n v="360.74340706385777"/>
  </r>
  <r>
    <x v="18"/>
    <x v="17"/>
    <n v="322.00569006969693"/>
  </r>
  <r>
    <x v="18"/>
    <x v="18"/>
    <n v="355.37204590946089"/>
  </r>
  <r>
    <x v="18"/>
    <x v="19"/>
    <n v="361.16605837036087"/>
  </r>
  <r>
    <x v="18"/>
    <x v="20"/>
    <n v="466.28048693078341"/>
  </r>
  <r>
    <x v="18"/>
    <x v="21"/>
    <n v="470.19861263871798"/>
  </r>
  <r>
    <x v="18"/>
    <x v="22"/>
    <n v="434.02907447975849"/>
  </r>
  <r>
    <x v="18"/>
    <x v="23"/>
    <n v="450.24642828245612"/>
  </r>
  <r>
    <x v="18"/>
    <x v="24"/>
    <n v="478.21849155996568"/>
  </r>
  <r>
    <x v="18"/>
    <x v="25"/>
    <n v="527.21936555272532"/>
  </r>
  <r>
    <x v="18"/>
    <x v="26"/>
    <n v="559.34729711222121"/>
  </r>
  <r>
    <x v="18"/>
    <x v="27"/>
    <n v="579.62263201934161"/>
  </r>
  <r>
    <x v="18"/>
    <x v="28"/>
    <n v="597.71471738308117"/>
  </r>
  <r>
    <x v="18"/>
    <x v="29"/>
    <n v="569.70840952001151"/>
  </r>
  <r>
    <x v="18"/>
    <x v="30"/>
    <n v="563.75290419214275"/>
  </r>
  <r>
    <x v="18"/>
    <x v="31"/>
    <n v="569.94913466225262"/>
  </r>
  <r>
    <x v="18"/>
    <x v="32"/>
    <n v="499.49541712162869"/>
  </r>
  <r>
    <x v="18"/>
    <x v="33"/>
    <n v="465.22437186633351"/>
  </r>
  <r>
    <x v="19"/>
    <x v="0"/>
    <n v="4507201.6516999993"/>
  </r>
  <r>
    <x v="19"/>
    <x v="1"/>
    <n v="4472838.0717000002"/>
  </r>
  <r>
    <x v="19"/>
    <x v="2"/>
    <n v="3962797.4271999998"/>
  </r>
  <r>
    <x v="19"/>
    <x v="3"/>
    <n v="3637909.2073599999"/>
  </r>
  <r>
    <x v="19"/>
    <x v="4"/>
    <n v="3913715.8135000002"/>
  </r>
  <r>
    <x v="19"/>
    <x v="5"/>
    <n v="4054708.8563000001"/>
  </r>
  <r>
    <x v="19"/>
    <x v="6"/>
    <n v="3919711.9237000002"/>
  </r>
  <r>
    <x v="19"/>
    <x v="7"/>
    <n v="4115025.9911000002"/>
  </r>
  <r>
    <x v="19"/>
    <x v="8"/>
    <n v="4308831.4851000002"/>
  </r>
  <r>
    <x v="19"/>
    <x v="9"/>
    <n v="4384006.9429000001"/>
  </r>
  <r>
    <x v="19"/>
    <x v="10"/>
    <n v="4601662.9521000003"/>
  </r>
  <r>
    <x v="19"/>
    <x v="11"/>
    <n v="4556581.1164999995"/>
  </r>
  <r>
    <x v="19"/>
    <x v="12"/>
    <n v="4251727.2911"/>
  </r>
  <r>
    <x v="19"/>
    <x v="13"/>
    <n v="4225223.9002999999"/>
  </r>
  <r>
    <x v="19"/>
    <x v="14"/>
    <n v="4422663.8839999996"/>
  </r>
  <r>
    <x v="19"/>
    <x v="15"/>
    <n v="4638280.3427999998"/>
  </r>
  <r>
    <x v="19"/>
    <x v="16"/>
    <n v="4720348.5058999993"/>
  </r>
  <r>
    <x v="19"/>
    <x v="17"/>
    <n v="4885443.9456999991"/>
  </r>
  <r>
    <x v="19"/>
    <x v="18"/>
    <n v="4552774.7008999996"/>
  </r>
  <r>
    <x v="19"/>
    <x v="19"/>
    <n v="3955247.5078099999"/>
  </r>
  <r>
    <x v="19"/>
    <x v="20"/>
    <n v="4464697.8487999998"/>
  </r>
  <r>
    <x v="19"/>
    <x v="21"/>
    <n v="4578288.3174999999"/>
  </r>
  <r>
    <x v="19"/>
    <x v="22"/>
    <n v="4407569.9301000005"/>
  </r>
  <r>
    <x v="19"/>
    <x v="23"/>
    <n v="4266445.5078699999"/>
  </r>
  <r>
    <x v="19"/>
    <x v="24"/>
    <n v="4201184.9916000003"/>
  </r>
  <r>
    <x v="19"/>
    <x v="25"/>
    <n v="4040693.7771000001"/>
  </r>
  <r>
    <x v="19"/>
    <x v="26"/>
    <n v="3933458.7516200002"/>
  </r>
  <r>
    <x v="19"/>
    <x v="27"/>
    <n v="3934361.33017"/>
  </r>
  <r>
    <x v="19"/>
    <x v="28"/>
    <n v="3896284.3244099999"/>
  </r>
  <r>
    <x v="19"/>
    <x v="29"/>
    <n v="3788063.0375600001"/>
  </r>
  <r>
    <x v="19"/>
    <x v="30"/>
    <n v="3404609.1383600002"/>
  </r>
  <r>
    <x v="19"/>
    <x v="31"/>
    <n v="4067050.7613400002"/>
  </r>
  <r>
    <x v="19"/>
    <x v="32"/>
    <n v="3929278.39243"/>
  </r>
  <r>
    <x v="19"/>
    <x v="33"/>
    <n v="3721843.7163499999"/>
  </r>
  <r>
    <x v="20"/>
    <x v="0"/>
    <n v="175694.5710886092"/>
  </r>
  <r>
    <x v="20"/>
    <x v="1"/>
    <n v="177657.15739351939"/>
  </r>
  <r>
    <x v="20"/>
    <x v="2"/>
    <n v="152106.28374772429"/>
  </r>
  <r>
    <x v="20"/>
    <x v="3"/>
    <n v="220614.4544220294"/>
  </r>
  <r>
    <x v="20"/>
    <x v="4"/>
    <n v="227259.7884584548"/>
  </r>
  <r>
    <x v="20"/>
    <x v="5"/>
    <n v="217882.13209162539"/>
  </r>
  <r>
    <x v="20"/>
    <x v="6"/>
    <n v="229177.412399472"/>
  </r>
  <r>
    <x v="20"/>
    <x v="7"/>
    <n v="70018.647741935492"/>
  </r>
  <r>
    <x v="20"/>
    <x v="8"/>
    <n v="85659.171568627455"/>
  </r>
  <r>
    <x v="20"/>
    <x v="9"/>
    <n v="107313.72016161621"/>
  </r>
  <r>
    <x v="20"/>
    <x v="10"/>
    <n v="164967.9945336096"/>
  </r>
  <r>
    <x v="20"/>
    <x v="11"/>
    <n v="120657.2599875539"/>
  </r>
  <r>
    <x v="20"/>
    <x v="12"/>
    <n v="159211.69695213539"/>
  </r>
  <r>
    <x v="20"/>
    <x v="13"/>
    <n v="174762.8049491134"/>
  </r>
  <r>
    <x v="20"/>
    <x v="14"/>
    <n v="169026.99178015109"/>
  </r>
  <r>
    <x v="20"/>
    <x v="15"/>
    <n v="174981.56696225141"/>
  </r>
  <r>
    <x v="20"/>
    <x v="16"/>
    <n v="182363.70819836669"/>
  </r>
  <r>
    <x v="20"/>
    <x v="17"/>
    <n v="229213.0734175726"/>
  </r>
  <r>
    <x v="20"/>
    <x v="18"/>
    <n v="124092.3172861217"/>
  </r>
  <r>
    <x v="20"/>
    <x v="19"/>
    <n v="184006.87620344831"/>
  </r>
  <r>
    <x v="20"/>
    <x v="20"/>
    <n v="206273.25322218661"/>
  </r>
  <r>
    <x v="20"/>
    <x v="21"/>
    <n v="197983.423660256"/>
  </r>
  <r>
    <x v="20"/>
    <x v="22"/>
    <n v="101033.99634399189"/>
  </r>
  <r>
    <x v="20"/>
    <x v="23"/>
    <n v="92838.518061924755"/>
  </r>
  <r>
    <x v="20"/>
    <x v="24"/>
    <n v="91632.523874274426"/>
  </r>
  <r>
    <x v="20"/>
    <x v="25"/>
    <n v="91632.523874274426"/>
  </r>
  <r>
    <x v="20"/>
    <x v="26"/>
    <n v="91632.523874274426"/>
  </r>
  <r>
    <x v="20"/>
    <x v="27"/>
    <n v="102547.8969017777"/>
  </r>
  <r>
    <x v="20"/>
    <x v="28"/>
    <n v="117933.2993260529"/>
  </r>
  <r>
    <x v="20"/>
    <x v="29"/>
    <n v="118420.0638491241"/>
  </r>
  <r>
    <x v="20"/>
    <x v="30"/>
    <n v="102067.3006854406"/>
  </r>
  <r>
    <x v="20"/>
    <x v="31"/>
    <n v="102067.3006854406"/>
  </r>
  <r>
    <x v="20"/>
    <x v="32"/>
    <n v="102067.3006854406"/>
  </r>
  <r>
    <x v="20"/>
    <x v="33"/>
    <n v="102067.3006854406"/>
  </r>
  <r>
    <x v="21"/>
    <x v="0"/>
    <n v="423.81014157151583"/>
  </r>
  <r>
    <x v="21"/>
    <x v="1"/>
    <n v="274.88283910185061"/>
  </r>
  <r>
    <x v="21"/>
    <x v="2"/>
    <n v="225.66389029278321"/>
  </r>
  <r>
    <x v="21"/>
    <x v="3"/>
    <n v="248.67219703570419"/>
  </r>
  <r>
    <x v="21"/>
    <x v="4"/>
    <n v="267.96885517763599"/>
  </r>
  <r>
    <x v="21"/>
    <x v="5"/>
    <n v="272.14443214581883"/>
  </r>
  <r>
    <x v="21"/>
    <x v="6"/>
    <n v="262.9800056985294"/>
  </r>
  <r>
    <x v="21"/>
    <x v="7"/>
    <n v="221.36977206628751"/>
  </r>
  <r>
    <x v="21"/>
    <x v="8"/>
    <n v="243.79325521796869"/>
  </r>
  <r>
    <x v="21"/>
    <x v="9"/>
    <n v="255.36804742769101"/>
  </r>
  <r>
    <x v="21"/>
    <x v="10"/>
    <n v="255.72714110147041"/>
  </r>
  <r>
    <x v="21"/>
    <x v="11"/>
    <n v="333.85948453026958"/>
  </r>
  <r>
    <x v="21"/>
    <x v="12"/>
    <n v="357.3517219236154"/>
  </r>
  <r>
    <x v="21"/>
    <x v="13"/>
    <n v="345.01005952380962"/>
  </r>
  <r>
    <x v="21"/>
    <x v="14"/>
    <n v="355.49778370519749"/>
  </r>
  <r>
    <x v="21"/>
    <x v="15"/>
    <n v="419.07452201548"/>
  </r>
  <r>
    <x v="21"/>
    <x v="16"/>
    <n v="429.96873643885999"/>
  </r>
  <r>
    <x v="21"/>
    <x v="17"/>
    <n v="437.18539240200101"/>
  </r>
  <r>
    <x v="21"/>
    <x v="18"/>
    <n v="449.34892398022248"/>
  </r>
  <r>
    <x v="21"/>
    <x v="19"/>
    <n v="414.57390069852909"/>
  </r>
  <r>
    <x v="21"/>
    <x v="20"/>
    <n v="438.92645175409109"/>
  </r>
  <r>
    <x v="21"/>
    <x v="21"/>
    <n v="449.36123755405231"/>
  </r>
  <r>
    <x v="21"/>
    <x v="22"/>
    <n v="464.44864242145331"/>
  </r>
  <r>
    <x v="21"/>
    <x v="23"/>
    <n v="480.12908978506999"/>
  </r>
  <r>
    <x v="21"/>
    <x v="24"/>
    <n v="484.76755095021701"/>
  </r>
  <r>
    <x v="21"/>
    <x v="25"/>
    <n v="526.9803314209546"/>
  </r>
  <r>
    <x v="21"/>
    <x v="26"/>
    <n v="526.60003097880349"/>
  </r>
  <r>
    <x v="21"/>
    <x v="27"/>
    <n v="598.0974065322589"/>
  </r>
  <r>
    <x v="21"/>
    <x v="28"/>
    <n v="529.29903099356022"/>
  </r>
  <r>
    <x v="21"/>
    <x v="29"/>
    <n v="530.99917340580919"/>
  </r>
  <r>
    <x v="21"/>
    <x v="30"/>
    <n v="500.47404721531052"/>
  </r>
  <r>
    <x v="21"/>
    <x v="31"/>
    <n v="511.09340387090481"/>
  </r>
  <r>
    <x v="21"/>
    <x v="32"/>
    <n v="442.07325923799738"/>
  </r>
  <r>
    <x v="21"/>
    <x v="33"/>
    <n v="442.07325923799738"/>
  </r>
  <r>
    <x v="22"/>
    <x v="0"/>
    <n v="150.00993451275031"/>
  </r>
  <r>
    <x v="22"/>
    <x v="1"/>
    <n v="151.54258788002241"/>
  </r>
  <r>
    <x v="22"/>
    <x v="2"/>
    <n v="195.604688626447"/>
  </r>
  <r>
    <x v="22"/>
    <x v="3"/>
    <n v="206.0290363972853"/>
  </r>
  <r>
    <x v="22"/>
    <x v="4"/>
    <n v="225.85367707781899"/>
  </r>
  <r>
    <x v="22"/>
    <x v="5"/>
    <n v="239.0919445037355"/>
  </r>
  <r>
    <x v="22"/>
    <x v="6"/>
    <n v="273.65057404580102"/>
  </r>
  <r>
    <x v="22"/>
    <x v="7"/>
    <n v="279.834180685359"/>
  </r>
  <r>
    <x v="22"/>
    <x v="8"/>
    <n v="315.19963847203201"/>
  </r>
  <r>
    <x v="22"/>
    <x v="9"/>
    <n v="316.67122065727699"/>
  </r>
  <r>
    <x v="22"/>
    <x v="10"/>
    <n v="387.61697110163698"/>
  </r>
  <r>
    <x v="22"/>
    <x v="11"/>
    <n v="392.84262101076001"/>
  </r>
  <r>
    <x v="22"/>
    <x v="12"/>
    <n v="355.18093160377401"/>
  </r>
  <r>
    <x v="22"/>
    <x v="13"/>
    <n v="424.38753874370201"/>
  </r>
  <r>
    <x v="22"/>
    <x v="14"/>
    <n v="406.79812203236298"/>
  </r>
  <r>
    <x v="22"/>
    <x v="15"/>
    <n v="424.70530990658102"/>
  </r>
  <r>
    <x v="22"/>
    <x v="16"/>
    <n v="471.83881397051101"/>
  </r>
  <r>
    <x v="22"/>
    <x v="17"/>
    <n v="459.22574031890701"/>
  </r>
  <r>
    <x v="22"/>
    <x v="18"/>
    <n v="326.29702186738501"/>
  </r>
  <r>
    <x v="22"/>
    <x v="19"/>
    <n v="336.45735098885501"/>
  </r>
  <r>
    <x v="22"/>
    <x v="20"/>
    <n v="371.52586738297799"/>
  </r>
  <r>
    <x v="22"/>
    <x v="21"/>
    <n v="355.64572159744398"/>
  </r>
  <r>
    <x v="22"/>
    <x v="22"/>
    <n v="340.28300439103998"/>
  </r>
  <r>
    <x v="22"/>
    <x v="23"/>
    <n v="342.86001903980298"/>
  </r>
  <r>
    <x v="22"/>
    <x v="24"/>
    <n v="374.92963474896698"/>
  </r>
  <r>
    <x v="22"/>
    <x v="25"/>
    <n v="370.30533549207303"/>
  </r>
  <r>
    <x v="22"/>
    <x v="26"/>
    <n v="395.62372806170299"/>
  </r>
  <r>
    <x v="22"/>
    <x v="27"/>
    <n v="418.67980498265501"/>
  </r>
  <r>
    <x v="22"/>
    <x v="28"/>
    <n v="412.272149393917"/>
  </r>
  <r>
    <x v="22"/>
    <x v="29"/>
    <n v="428.72432436973003"/>
  </r>
  <r>
    <x v="22"/>
    <x v="30"/>
    <n v="418.401391051573"/>
  </r>
  <r>
    <x v="22"/>
    <x v="31"/>
    <n v="465.92989653725601"/>
  </r>
  <r>
    <x v="22"/>
    <x v="32"/>
    <n v="450.12290489382798"/>
  </r>
  <r>
    <x v="22"/>
    <x v="33"/>
    <n v="456.78979932847102"/>
  </r>
  <r>
    <x v="23"/>
    <x v="0"/>
    <n v="804.49517248560005"/>
  </r>
  <r>
    <x v="23"/>
    <x v="1"/>
    <n v="712.28063488630005"/>
  </r>
  <r>
    <x v="23"/>
    <x v="2"/>
    <n v="612.25704714999995"/>
  </r>
  <r>
    <x v="23"/>
    <x v="3"/>
    <n v="694.34761757449996"/>
  </r>
  <r>
    <x v="23"/>
    <x v="4"/>
    <n v="608.28508860110003"/>
  </r>
  <r>
    <x v="23"/>
    <x v="5"/>
    <n v="838.89111152529995"/>
  </r>
  <r>
    <x v="23"/>
    <x v="6"/>
    <n v="871.76861543259997"/>
  </r>
  <r>
    <x v="23"/>
    <x v="7"/>
    <n v="851.24978665499998"/>
  </r>
  <r>
    <x v="23"/>
    <x v="8"/>
    <n v="957.88206877050004"/>
  </r>
  <r>
    <x v="23"/>
    <x v="9"/>
    <n v="933.05460643169999"/>
  </r>
  <r>
    <x v="23"/>
    <x v="10"/>
    <n v="812.6679171024"/>
  </r>
  <r>
    <x v="23"/>
    <x v="11"/>
    <n v="744.6258664897"/>
  </r>
  <r>
    <x v="23"/>
    <x v="12"/>
    <n v="773.64437419489991"/>
  </r>
  <r>
    <x v="23"/>
    <x v="13"/>
    <n v="803.09856606280005"/>
  </r>
  <r>
    <x v="23"/>
    <x v="14"/>
    <n v="849.10921715179995"/>
  </r>
  <r>
    <x v="23"/>
    <x v="15"/>
    <n v="838.45776520410004"/>
  </r>
  <r>
    <x v="23"/>
    <x v="16"/>
    <n v="903.65166509979997"/>
  </r>
  <r>
    <x v="23"/>
    <x v="17"/>
    <n v="919.61212407130006"/>
  </r>
  <r>
    <x v="23"/>
    <x v="18"/>
    <n v="934.64984098269997"/>
  </r>
  <r>
    <x v="23"/>
    <x v="19"/>
    <n v="824.18838155759988"/>
  </r>
  <r>
    <x v="23"/>
    <x v="20"/>
    <n v="773.15679678610002"/>
  </r>
  <r>
    <x v="23"/>
    <x v="21"/>
    <n v="694.05026064840001"/>
  </r>
  <r>
    <x v="23"/>
    <x v="22"/>
    <n v="662.1361232022"/>
  </r>
  <r>
    <x v="23"/>
    <x v="23"/>
    <n v="636.81793493869998"/>
  </r>
  <r>
    <x v="23"/>
    <x v="24"/>
    <n v="653.97033331579996"/>
  </r>
  <r>
    <x v="23"/>
    <x v="25"/>
    <n v="678.45165137130004"/>
  </r>
  <r>
    <x v="23"/>
    <x v="26"/>
    <n v="700.63523298379994"/>
  </r>
  <r>
    <x v="23"/>
    <x v="27"/>
    <n v="677.44859971100004"/>
  </r>
  <r>
    <x v="23"/>
    <x v="28"/>
    <n v="608.34109064660004"/>
  </r>
  <r>
    <x v="23"/>
    <x v="29"/>
    <n v="1071.6401211498001"/>
  </r>
  <r>
    <x v="23"/>
    <x v="30"/>
    <n v="861.59353979579998"/>
  </r>
  <r>
    <x v="23"/>
    <x v="31"/>
    <n v="777.43927702319991"/>
  </r>
  <r>
    <x v="23"/>
    <x v="32"/>
    <n v="788.69956163209997"/>
  </r>
  <r>
    <x v="23"/>
    <x v="33"/>
    <n v="805.8245808726"/>
  </r>
  <r>
    <x v="24"/>
    <x v="0"/>
    <n v="290.06299416460308"/>
  </r>
  <r>
    <x v="24"/>
    <x v="1"/>
    <n v="295.69638702700217"/>
  </r>
  <r>
    <x v="24"/>
    <x v="2"/>
    <n v="127.4624269290403"/>
  </r>
  <r>
    <x v="24"/>
    <x v="3"/>
    <n v="239.77166678058941"/>
  </r>
  <r>
    <x v="24"/>
    <x v="4"/>
    <n v="368.96595950155768"/>
  </r>
  <r>
    <x v="24"/>
    <x v="5"/>
    <n v="419.51113880235368"/>
  </r>
  <r>
    <x v="24"/>
    <x v="6"/>
    <n v="510.26267834797642"/>
  </r>
  <r>
    <x v="24"/>
    <x v="7"/>
    <n v="449.53497991967879"/>
  </r>
  <r>
    <x v="24"/>
    <x v="8"/>
    <n v="438.17781367532859"/>
  </r>
  <r>
    <x v="24"/>
    <x v="9"/>
    <n v="425.27254135542381"/>
  </r>
  <r>
    <x v="24"/>
    <x v="10"/>
    <n v="557.26955991932323"/>
  </r>
  <r>
    <x v="24"/>
    <x v="11"/>
    <n v="558.95681297696103"/>
  </r>
  <r>
    <x v="24"/>
    <x v="12"/>
    <n v="600.03437876043927"/>
  </r>
  <r>
    <x v="24"/>
    <x v="13"/>
    <n v="663.73152749457893"/>
  </r>
  <r>
    <x v="24"/>
    <x v="14"/>
    <n v="626.05774884547372"/>
  </r>
  <r>
    <x v="24"/>
    <x v="15"/>
    <n v="603.58715947562882"/>
  </r>
  <r>
    <x v="24"/>
    <x v="16"/>
    <n v="604.75808261898351"/>
  </r>
  <r>
    <x v="24"/>
    <x v="17"/>
    <n v="677.53404844251668"/>
  </r>
  <r>
    <x v="24"/>
    <x v="18"/>
    <n v="574.91365043556164"/>
  </r>
  <r>
    <x v="24"/>
    <x v="19"/>
    <n v="500.64485339743408"/>
  </r>
  <r>
    <x v="24"/>
    <x v="20"/>
    <n v="654.77133506747646"/>
  </r>
  <r>
    <x v="24"/>
    <x v="21"/>
    <n v="704.29659751476265"/>
  </r>
  <r>
    <x v="24"/>
    <x v="22"/>
    <n v="655.62833083571547"/>
  </r>
  <r>
    <x v="24"/>
    <x v="23"/>
    <n v="710.18057155844394"/>
  </r>
  <r>
    <x v="24"/>
    <x v="24"/>
    <n v="731.22791140770755"/>
  </r>
  <r>
    <x v="24"/>
    <x v="25"/>
    <n v="704.863992913022"/>
  </r>
  <r>
    <x v="24"/>
    <x v="26"/>
    <n v="647.00219327776767"/>
  </r>
  <r>
    <x v="24"/>
    <x v="27"/>
    <n v="641.19931412520145"/>
  </r>
  <r>
    <x v="24"/>
    <x v="28"/>
    <n v="673.80423876499026"/>
  </r>
  <r>
    <x v="24"/>
    <x v="29"/>
    <n v="615.55137030004266"/>
  </r>
  <r>
    <x v="24"/>
    <x v="30"/>
    <n v="674.23679299554612"/>
  </r>
  <r>
    <x v="24"/>
    <x v="31"/>
    <n v="737.0933488816529"/>
  </r>
  <r>
    <x v="24"/>
    <x v="32"/>
    <n v="930.97343190078868"/>
  </r>
  <r>
    <x v="24"/>
    <x v="33"/>
    <n v="884.48822154451955"/>
  </r>
  <r>
    <x v="25"/>
    <x v="0"/>
    <n v="1238.175496497561"/>
  </r>
  <r>
    <x v="25"/>
    <x v="1"/>
    <n v="1264.3561917662901"/>
  </r>
  <r>
    <x v="25"/>
    <x v="2"/>
    <n v="1187.998248998201"/>
  </r>
  <r>
    <x v="25"/>
    <x v="3"/>
    <n v="1902.499070720949"/>
  </r>
  <r>
    <x v="25"/>
    <x v="4"/>
    <n v="2390.7634841271142"/>
  </r>
  <r>
    <x v="25"/>
    <x v="5"/>
    <n v="5186.9841532854171"/>
  </r>
  <r>
    <x v="25"/>
    <x v="6"/>
    <n v="6096.367299654572"/>
  </r>
  <r>
    <x v="25"/>
    <x v="7"/>
    <n v="7246.1048280130399"/>
  </r>
  <r>
    <x v="25"/>
    <x v="8"/>
    <n v="9006.8486511863011"/>
  </r>
  <r>
    <x v="25"/>
    <x v="9"/>
    <n v="6420.235707250029"/>
  </r>
  <r>
    <x v="25"/>
    <x v="10"/>
    <n v="7409.3303441864209"/>
  </r>
  <r>
    <x v="25"/>
    <x v="11"/>
    <n v="6315.2690169490534"/>
  </r>
  <r>
    <x v="25"/>
    <x v="12"/>
    <n v="5385.6238298593908"/>
  </r>
  <r>
    <x v="25"/>
    <x v="13"/>
    <n v="4342.1584812980236"/>
  </r>
  <r>
    <x v="25"/>
    <x v="14"/>
    <n v="9042.1106017674629"/>
  </r>
  <r>
    <x v="25"/>
    <x v="15"/>
    <n v="7723.0711734335937"/>
  </r>
  <r>
    <x v="25"/>
    <x v="16"/>
    <n v="5993.2184263614599"/>
  </r>
  <r>
    <x v="25"/>
    <x v="17"/>
    <n v="4443.4170882427043"/>
  </r>
  <r>
    <x v="25"/>
    <x v="18"/>
    <n v="3049.6361559891889"/>
  </r>
  <r>
    <x v="25"/>
    <x v="19"/>
    <n v="4516.3770906139553"/>
  </r>
  <r>
    <x v="25"/>
    <x v="20"/>
    <n v="10561.722050353979"/>
  </r>
  <r>
    <x v="25"/>
    <x v="21"/>
    <n v="13465.904759761021"/>
  </r>
  <r>
    <x v="25"/>
    <x v="22"/>
    <n v="13133.60888262178"/>
  </r>
  <r>
    <x v="25"/>
    <x v="23"/>
    <n v="10538.938402846259"/>
  </r>
  <r>
    <x v="25"/>
    <x v="24"/>
    <n v="9817.244576506364"/>
  </r>
  <r>
    <x v="25"/>
    <x v="25"/>
    <n v="10776.028832120781"/>
  </r>
  <r>
    <x v="25"/>
    <x v="26"/>
    <n v="10144.27413327515"/>
  </r>
  <r>
    <x v="25"/>
    <x v="27"/>
    <n v="3423.990113038366"/>
  </r>
  <r>
    <x v="25"/>
    <x v="28"/>
    <n v="2897.746639806468"/>
  </r>
  <r>
    <x v="25"/>
    <x v="29"/>
    <n v="3083.9463047037439"/>
  </r>
  <r>
    <x v="25"/>
    <x v="30"/>
    <n v="5876.3708136702944"/>
  </r>
  <r>
    <x v="25"/>
    <x v="31"/>
    <n v="7071.096808250878"/>
  </r>
  <r>
    <x v="25"/>
    <x v="32"/>
    <n v="5718.6257068856476"/>
  </r>
  <r>
    <x v="25"/>
    <x v="33"/>
    <n v="6684.1637984601612"/>
  </r>
  <r>
    <x v="26"/>
    <x v="0"/>
    <n v="315.69554226399998"/>
  </r>
  <r>
    <x v="26"/>
    <x v="1"/>
    <n v="315.69554226399998"/>
  </r>
  <r>
    <x v="26"/>
    <x v="2"/>
    <n v="258.04734897200001"/>
  </r>
  <r>
    <x v="26"/>
    <x v="3"/>
    <n v="164.027500304"/>
  </r>
  <r>
    <x v="26"/>
    <x v="4"/>
    <n v="296.40003267100002"/>
  </r>
  <r>
    <x v="26"/>
    <x v="5"/>
    <n v="399.97042469399997"/>
  </r>
  <r>
    <x v="26"/>
    <x v="6"/>
    <n v="460.032404676"/>
  </r>
  <r>
    <x v="26"/>
    <x v="7"/>
    <n v="706.47612705999995"/>
  </r>
  <r>
    <x v="26"/>
    <x v="8"/>
    <n v="825.62864701600006"/>
  </r>
  <r>
    <x v="26"/>
    <x v="9"/>
    <n v="928.98610379700006"/>
  </r>
  <r>
    <x v="26"/>
    <x v="10"/>
    <n v="975.16615518600008"/>
  </r>
  <r>
    <x v="26"/>
    <x v="11"/>
    <n v="943.20493947499995"/>
  </r>
  <r>
    <x v="26"/>
    <x v="12"/>
    <n v="966.68664321999995"/>
  </r>
  <r>
    <x v="26"/>
    <x v="13"/>
    <n v="973.21016118400007"/>
  </r>
  <r>
    <x v="26"/>
    <x v="14"/>
    <n v="952.85504485299998"/>
  </r>
  <r>
    <x v="26"/>
    <x v="15"/>
    <n v="977.77240891400004"/>
  </r>
  <r>
    <x v="26"/>
    <x v="16"/>
    <n v="1001.79060363"/>
  </r>
  <r>
    <x v="26"/>
    <x v="17"/>
    <n v="765.05237126700001"/>
  </r>
  <r>
    <x v="26"/>
    <x v="18"/>
    <n v="683.71793889900005"/>
  </r>
  <r>
    <x v="26"/>
    <x v="19"/>
    <n v="741.20112256099992"/>
  </r>
  <r>
    <x v="26"/>
    <x v="20"/>
    <n v="909.48654440399991"/>
  </r>
  <r>
    <x v="26"/>
    <x v="21"/>
    <n v="978.96638917999996"/>
  </r>
  <r>
    <x v="26"/>
    <x v="22"/>
    <n v="952.79796576399997"/>
  </r>
  <r>
    <x v="26"/>
    <x v="23"/>
    <n v="966.2879829719999"/>
  </r>
  <r>
    <x v="26"/>
    <x v="24"/>
    <n v="970.95184660900009"/>
  </r>
  <r>
    <x v="26"/>
    <x v="25"/>
    <n v="980.24271627999997"/>
  </r>
  <r>
    <x v="26"/>
    <x v="26"/>
    <n v="1067.531747152"/>
  </r>
  <r>
    <x v="26"/>
    <x v="27"/>
    <n v="1187.076332162"/>
  </r>
  <r>
    <x v="26"/>
    <x v="28"/>
    <n v="1146.494761294"/>
  </r>
  <r>
    <x v="26"/>
    <x v="29"/>
    <n v="1163.225576693"/>
  </r>
  <r>
    <x v="26"/>
    <x v="30"/>
    <n v="1123.6757789999999"/>
  </r>
  <r>
    <x v="26"/>
    <x v="31"/>
    <n v="1266.226089"/>
  </r>
  <r>
    <x v="26"/>
    <x v="32"/>
    <n v="1115.877639"/>
  </r>
  <r>
    <x v="26"/>
    <x v="33"/>
    <n v="1217.1913159999999"/>
  </r>
  <r>
    <x v="27"/>
    <x v="0"/>
    <s v="NO"/>
  </r>
  <r>
    <x v="27"/>
    <x v="1"/>
    <s v="NO"/>
  </r>
  <r>
    <x v="27"/>
    <x v="2"/>
    <s v="NO"/>
  </r>
  <r>
    <x v="27"/>
    <x v="3"/>
    <s v="NO"/>
  </r>
  <r>
    <x v="27"/>
    <x v="4"/>
    <s v="NO"/>
  </r>
  <r>
    <x v="27"/>
    <x v="5"/>
    <s v="NO"/>
  </r>
  <r>
    <x v="27"/>
    <x v="6"/>
    <s v="NO"/>
  </r>
  <r>
    <x v="27"/>
    <x v="7"/>
    <s v="NO"/>
  </r>
  <r>
    <x v="27"/>
    <x v="8"/>
    <s v="NO"/>
  </r>
  <r>
    <x v="27"/>
    <x v="9"/>
    <s v="NO"/>
  </r>
  <r>
    <x v="27"/>
    <x v="10"/>
    <s v="NO"/>
  </r>
  <r>
    <x v="27"/>
    <x v="11"/>
    <s v="NO"/>
  </r>
  <r>
    <x v="27"/>
    <x v="12"/>
    <s v="NO"/>
  </r>
  <r>
    <x v="27"/>
    <x v="13"/>
    <s v="NO"/>
  </r>
  <r>
    <x v="27"/>
    <x v="14"/>
    <s v="NO"/>
  </r>
  <r>
    <x v="27"/>
    <x v="15"/>
    <s v="NO"/>
  </r>
  <r>
    <x v="27"/>
    <x v="16"/>
    <s v="NO"/>
  </r>
  <r>
    <x v="27"/>
    <x v="17"/>
    <s v="NO"/>
  </r>
  <r>
    <x v="27"/>
    <x v="18"/>
    <s v="NO"/>
  </r>
  <r>
    <x v="27"/>
    <x v="19"/>
    <s v="NO"/>
  </r>
  <r>
    <x v="27"/>
    <x v="20"/>
    <s v="NO"/>
  </r>
  <r>
    <x v="27"/>
    <x v="21"/>
    <s v="NO"/>
  </r>
  <r>
    <x v="27"/>
    <x v="22"/>
    <s v="NO"/>
  </r>
  <r>
    <x v="27"/>
    <x v="23"/>
    <s v="NO"/>
  </r>
  <r>
    <x v="27"/>
    <x v="24"/>
    <s v="NO"/>
  </r>
  <r>
    <x v="27"/>
    <x v="25"/>
    <s v="NO"/>
  </r>
  <r>
    <x v="27"/>
    <x v="26"/>
    <s v="NO"/>
  </r>
  <r>
    <x v="27"/>
    <x v="27"/>
    <s v="NO"/>
  </r>
  <r>
    <x v="27"/>
    <x v="28"/>
    <s v="NO"/>
  </r>
  <r>
    <x v="27"/>
    <x v="29"/>
    <s v="NO"/>
  </r>
  <r>
    <x v="27"/>
    <x v="30"/>
    <s v="NO"/>
  </r>
  <r>
    <x v="27"/>
    <x v="31"/>
    <s v="NO"/>
  </r>
  <r>
    <x v="27"/>
    <x v="32"/>
    <s v="NO"/>
  </r>
  <r>
    <x v="27"/>
    <x v="33"/>
    <s v="NO"/>
  </r>
  <r>
    <x v="28"/>
    <x v="0"/>
    <n v="184.4002563"/>
  </r>
  <r>
    <x v="28"/>
    <x v="1"/>
    <n v="155.47994249999999"/>
  </r>
  <r>
    <x v="28"/>
    <x v="2"/>
    <n v="143.862402"/>
  </r>
  <r>
    <x v="28"/>
    <x v="3"/>
    <n v="93.041418000000007"/>
  </r>
  <r>
    <x v="28"/>
    <x v="4"/>
    <n v="69.529757000000004"/>
  </r>
  <r>
    <x v="28"/>
    <x v="5"/>
    <n v="85.503636"/>
  </r>
  <r>
    <x v="28"/>
    <x v="6"/>
    <n v="71.394686000000007"/>
  </r>
  <r>
    <x v="28"/>
    <x v="7"/>
    <n v="83.186206999999996"/>
  </r>
  <r>
    <x v="28"/>
    <x v="8"/>
    <n v="55.056522000000008"/>
  </r>
  <r>
    <x v="28"/>
    <x v="9"/>
    <n v="71.182386000000008"/>
  </r>
  <r>
    <x v="28"/>
    <x v="10"/>
    <n v="82.791770999999997"/>
  </r>
  <r>
    <x v="28"/>
    <x v="11"/>
    <n v="35.996847299999999"/>
  </r>
  <r>
    <x v="28"/>
    <x v="12"/>
    <n v="36.961018000000003"/>
  </r>
  <r>
    <x v="28"/>
    <x v="13"/>
    <n v="39.083423600000003"/>
  </r>
  <r>
    <x v="28"/>
    <x v="14"/>
    <n v="25.081800000000001"/>
  </r>
  <r>
    <x v="28"/>
    <x v="15"/>
    <n v="40.922893100000003"/>
  </r>
  <r>
    <x v="28"/>
    <x v="16"/>
    <n v="27.4830459"/>
  </r>
  <r>
    <x v="28"/>
    <x v="17"/>
    <n v="9.438539500000001"/>
  </r>
  <r>
    <x v="28"/>
    <x v="18"/>
    <n v="34.973214499999997"/>
  </r>
  <r>
    <x v="28"/>
    <x v="19"/>
    <n v="42.531135000000013"/>
  </r>
  <r>
    <x v="28"/>
    <x v="20"/>
    <n v="47.349851999999998"/>
  </r>
  <r>
    <x v="28"/>
    <x v="21"/>
    <n v="36.713832699999998"/>
  </r>
  <r>
    <x v="28"/>
    <x v="22"/>
    <n v="33.432200999999999"/>
  </r>
  <r>
    <x v="28"/>
    <x v="23"/>
    <n v="40.129080999999999"/>
  </r>
  <r>
    <x v="28"/>
    <x v="24"/>
    <n v="38.256539600000004"/>
  </r>
  <r>
    <x v="28"/>
    <x v="25"/>
    <n v="25.356704300000001"/>
  </r>
  <r>
    <x v="28"/>
    <x v="26"/>
    <n v="35.586733999999993"/>
  </r>
  <r>
    <x v="28"/>
    <x v="27"/>
    <n v="28.8739746"/>
  </r>
  <r>
    <x v="28"/>
    <x v="28"/>
    <n v="22.0656851"/>
  </r>
  <r>
    <x v="28"/>
    <x v="29"/>
    <n v="24.084733100000001"/>
  </r>
  <r>
    <x v="28"/>
    <x v="30"/>
    <n v="21.916552800000002"/>
  </r>
  <r>
    <x v="28"/>
    <x v="31"/>
    <n v="22.927914300000001"/>
  </r>
  <r>
    <x v="28"/>
    <x v="32"/>
    <n v="20.858931599999998"/>
  </r>
  <r>
    <x v="28"/>
    <x v="33"/>
    <n v="21.616236600000001"/>
  </r>
  <r>
    <x v="29"/>
    <x v="0"/>
    <n v="518.6184545454546"/>
  </r>
  <r>
    <x v="29"/>
    <x v="1"/>
    <n v="477.93485454545458"/>
  </r>
  <r>
    <x v="29"/>
    <x v="2"/>
    <n v="572.37339436363641"/>
  </r>
  <r>
    <x v="29"/>
    <x v="3"/>
    <n v="652.68964145454538"/>
  </r>
  <r>
    <x v="29"/>
    <x v="4"/>
    <n v="760.94607272727274"/>
  </r>
  <r>
    <x v="29"/>
    <x v="5"/>
    <n v="687.50173636363638"/>
  </r>
  <r>
    <x v="29"/>
    <x v="6"/>
    <n v="675.89991818181829"/>
  </r>
  <r>
    <x v="29"/>
    <x v="7"/>
    <n v="775.90317272727293"/>
  </r>
  <r>
    <x v="29"/>
    <x v="8"/>
    <n v="895.05908181818188"/>
  </r>
  <r>
    <x v="29"/>
    <x v="9"/>
    <n v="1103.207072727273"/>
  </r>
  <r>
    <x v="29"/>
    <x v="10"/>
    <n v="1223.3830090909089"/>
  </r>
  <r>
    <x v="29"/>
    <x v="11"/>
    <n v="1168.706413636364"/>
  </r>
  <r>
    <x v="29"/>
    <x v="12"/>
    <n v="1258.399472727273"/>
  </r>
  <r>
    <x v="29"/>
    <x v="13"/>
    <n v="1409.7114818181819"/>
  </r>
  <r>
    <x v="29"/>
    <x v="14"/>
    <n v="1618.403563636364"/>
  </r>
  <r>
    <x v="29"/>
    <x v="15"/>
    <n v="1553.700354545455"/>
  </r>
  <r>
    <x v="29"/>
    <x v="16"/>
    <n v="1627.739181818182"/>
  </r>
  <r>
    <x v="29"/>
    <x v="17"/>
    <n v="1828.9836049090909"/>
  </r>
  <r>
    <x v="29"/>
    <x v="18"/>
    <n v="1724.2803564545461"/>
  </r>
  <r>
    <x v="29"/>
    <x v="19"/>
    <n v="1699.764273"/>
  </r>
  <r>
    <x v="29"/>
    <x v="20"/>
    <n v="1847.0403703636371"/>
  </r>
  <r>
    <x v="29"/>
    <x v="21"/>
    <n v="1867.0712882727271"/>
  </r>
  <r>
    <x v="29"/>
    <x v="22"/>
    <n v="1898.466926727272"/>
  </r>
  <r>
    <x v="29"/>
    <x v="23"/>
    <n v="1952.7654362727269"/>
  </r>
  <r>
    <x v="29"/>
    <x v="24"/>
    <n v="1987.281901636364"/>
  </r>
  <r>
    <x v="29"/>
    <x v="25"/>
    <n v="2042.7552171818179"/>
  </r>
  <r>
    <x v="29"/>
    <x v="26"/>
    <n v="2155.7022823636371"/>
  </r>
  <r>
    <x v="29"/>
    <x v="27"/>
    <n v="2254.0921797272731"/>
  </r>
  <r>
    <x v="29"/>
    <x v="28"/>
    <n v="2340.4700029090909"/>
  </r>
  <r>
    <x v="29"/>
    <x v="29"/>
    <n v="2353.2667821818181"/>
  </r>
  <r>
    <x v="29"/>
    <x v="30"/>
    <n v="2407.8447499090912"/>
  </r>
  <r>
    <x v="29"/>
    <x v="31"/>
    <n v="2590.4934319090912"/>
  </r>
  <r>
    <x v="29"/>
    <x v="32"/>
    <n v="2420.1751524545448"/>
  </r>
  <r>
    <x v="29"/>
    <x v="33"/>
    <n v="2426.9251524545448"/>
  </r>
  <r>
    <x v="30"/>
    <x v="0"/>
    <n v="1231746.860780247"/>
  </r>
  <r>
    <x v="30"/>
    <x v="1"/>
    <n v="1225983.6979645011"/>
  </r>
  <r>
    <x v="30"/>
    <x v="2"/>
    <n v="1145243.1385244371"/>
  </r>
  <r>
    <x v="30"/>
    <x v="3"/>
    <n v="1115237.169168696"/>
  </r>
  <r>
    <x v="30"/>
    <x v="4"/>
    <n v="1110983.397727405"/>
  </r>
  <r>
    <x v="30"/>
    <x v="5"/>
    <n v="1076598.2177029471"/>
  </r>
  <r>
    <x v="30"/>
    <x v="6"/>
    <n v="1129592.4099502601"/>
  </r>
  <r>
    <x v="30"/>
    <x v="7"/>
    <n v="1068962.3017266339"/>
  </r>
  <r>
    <x v="30"/>
    <x v="8"/>
    <n v="987138.87733633607"/>
  </r>
  <r>
    <x v="30"/>
    <x v="9"/>
    <n v="1052794.3888013989"/>
  </r>
  <r>
    <x v="30"/>
    <x v="10"/>
    <n v="1130904.8576076101"/>
  </r>
  <r>
    <x v="30"/>
    <x v="11"/>
    <n v="1096863.8648130831"/>
  </r>
  <r>
    <x v="30"/>
    <x v="12"/>
    <n v="1140894.0681157799"/>
  </r>
  <r>
    <x v="30"/>
    <x v="13"/>
    <n v="1229292.277452975"/>
  </r>
  <r>
    <x v="30"/>
    <x v="14"/>
    <n v="1227972.9452226411"/>
  </r>
  <r>
    <x v="30"/>
    <x v="15"/>
    <n v="1254788.9683666781"/>
  </r>
  <r>
    <x v="30"/>
    <x v="16"/>
    <n v="1281318.5988776169"/>
  </r>
  <r>
    <x v="30"/>
    <x v="17"/>
    <n v="1234189.9739297549"/>
  </r>
  <r>
    <x v="30"/>
    <x v="18"/>
    <n v="1239904.241448709"/>
  </r>
  <r>
    <x v="30"/>
    <x v="19"/>
    <n v="1275581.7121282639"/>
  </r>
  <r>
    <x v="30"/>
    <x v="20"/>
    <n v="1167540.707939853"/>
  </r>
  <r>
    <x v="30"/>
    <x v="21"/>
    <n v="1200266.168337445"/>
  </r>
  <r>
    <x v="30"/>
    <x v="22"/>
    <n v="1268681.7640405991"/>
  </r>
  <r>
    <x v="30"/>
    <x v="23"/>
    <n v="1113901.3323003401"/>
  </r>
  <r>
    <x v="30"/>
    <x v="24"/>
    <n v="1197583.366742006"/>
  </r>
  <r>
    <x v="30"/>
    <x v="25"/>
    <n v="1308097.3203290841"/>
  </r>
  <r>
    <x v="30"/>
    <x v="26"/>
    <n v="1288483.1827501501"/>
  </r>
  <r>
    <x v="30"/>
    <x v="27"/>
    <n v="1265533.254367566"/>
  </r>
  <r>
    <x v="30"/>
    <x v="28"/>
    <n v="1307131.2504083039"/>
  </r>
  <r>
    <x v="30"/>
    <x v="29"/>
    <n v="1309638.842772855"/>
  </r>
  <r>
    <x v="30"/>
    <x v="30"/>
    <n v="1211938.6427090829"/>
  </r>
  <r>
    <x v="30"/>
    <x v="31"/>
    <n v="1314890.3871404"/>
  </r>
  <r>
    <x v="30"/>
    <x v="32"/>
    <n v="1284300.9655019999"/>
  </r>
  <r>
    <x v="30"/>
    <x v="33"/>
    <n v="1261355.17376899"/>
  </r>
  <r>
    <x v="31"/>
    <x v="0"/>
    <n v="1187.4060583357559"/>
  </r>
  <r>
    <x v="31"/>
    <x v="1"/>
    <n v="904.00347990041871"/>
  </r>
  <r>
    <x v="31"/>
    <x v="2"/>
    <n v="979.16189257639712"/>
  </r>
  <r>
    <x v="31"/>
    <x v="3"/>
    <n v="989.93313371946965"/>
  </r>
  <r>
    <x v="31"/>
    <x v="4"/>
    <n v="654.09947060111494"/>
  </r>
  <r>
    <x v="31"/>
    <x v="5"/>
    <n v="702.67975185241926"/>
  </r>
  <r>
    <x v="31"/>
    <x v="6"/>
    <n v="668.35991405545394"/>
  </r>
  <r>
    <x v="31"/>
    <x v="7"/>
    <n v="696.08883596039857"/>
  </r>
  <r>
    <x v="31"/>
    <x v="8"/>
    <n v="738.55766156449886"/>
  </r>
  <r>
    <x v="31"/>
    <x v="9"/>
    <n v="895.7335025577986"/>
  </r>
  <r>
    <x v="31"/>
    <x v="10"/>
    <n v="1069.1663803618339"/>
  </r>
  <r>
    <x v="31"/>
    <x v="11"/>
    <n v="1045.749462759326"/>
  </r>
  <r>
    <x v="31"/>
    <x v="12"/>
    <n v="1217.8110322758521"/>
  </r>
  <r>
    <x v="31"/>
    <x v="13"/>
    <n v="1439.3974703282331"/>
  </r>
  <r>
    <x v="31"/>
    <x v="14"/>
    <n v="1563.1504191657809"/>
  </r>
  <r>
    <x v="31"/>
    <x v="15"/>
    <n v="1441.8536357546111"/>
  </r>
  <r>
    <x v="31"/>
    <x v="16"/>
    <n v="1342.421269811606"/>
  </r>
  <r>
    <x v="31"/>
    <x v="17"/>
    <n v="1558.864619990256"/>
  </r>
  <r>
    <x v="31"/>
    <x v="18"/>
    <n v="1586.116696004427"/>
  </r>
  <r>
    <x v="31"/>
    <x v="19"/>
    <n v="1501.2681682199"/>
  </r>
  <r>
    <x v="31"/>
    <x v="20"/>
    <n v="1822.76550515751"/>
  </r>
  <r>
    <x v="31"/>
    <x v="21"/>
    <n v="1896.0699343491581"/>
  </r>
  <r>
    <x v="31"/>
    <x v="22"/>
    <n v="2390.9004498945269"/>
  </r>
  <r>
    <x v="31"/>
    <x v="23"/>
    <n v="2541.277894957635"/>
  </r>
  <r>
    <x v="31"/>
    <x v="24"/>
    <n v="2482.448526126173"/>
  </r>
  <r>
    <x v="31"/>
    <x v="25"/>
    <n v="2493.736366194385"/>
  </r>
  <r>
    <x v="31"/>
    <x v="26"/>
    <n v="2529.388628462711"/>
  </r>
  <r>
    <x v="31"/>
    <x v="27"/>
    <n v="2500.937895560854"/>
  </r>
  <r>
    <x v="31"/>
    <x v="28"/>
    <n v="2296.02307937249"/>
  </r>
  <r>
    <x v="31"/>
    <x v="29"/>
    <n v="2372.3692906358751"/>
  </r>
  <r>
    <x v="31"/>
    <x v="30"/>
    <n v="2323.4651556786439"/>
  </r>
  <r>
    <x v="31"/>
    <x v="31"/>
    <n v="2262.3445397027108"/>
  </r>
  <r>
    <x v="31"/>
    <x v="32"/>
    <n v="1914.406792623005"/>
  </r>
  <r>
    <x v="31"/>
    <x v="33"/>
    <n v="1798.131382664651"/>
  </r>
  <r>
    <x v="32"/>
    <x v="0"/>
    <n v="445373.87934896332"/>
  </r>
  <r>
    <x v="32"/>
    <x v="1"/>
    <n v="335839.03797771648"/>
  </r>
  <r>
    <x v="32"/>
    <x v="2"/>
    <n v="239531.25680604941"/>
  </r>
  <r>
    <x v="32"/>
    <x v="3"/>
    <n v="304951.26375814353"/>
  </r>
  <r>
    <x v="32"/>
    <x v="4"/>
    <n v="345844.97797459603"/>
  </r>
  <r>
    <x v="32"/>
    <x v="5"/>
    <n v="338026.33098217333"/>
  </r>
  <r>
    <x v="32"/>
    <x v="6"/>
    <n v="371115.51759160031"/>
  </r>
  <r>
    <x v="32"/>
    <x v="7"/>
    <n v="429552.5243277814"/>
  </r>
  <r>
    <x v="32"/>
    <x v="8"/>
    <n v="542973.66448350949"/>
  </r>
  <r>
    <x v="32"/>
    <x v="9"/>
    <n v="618950.62335634604"/>
  </r>
  <r>
    <x v="32"/>
    <x v="10"/>
    <n v="672219.42187066725"/>
  </r>
  <r>
    <x v="32"/>
    <x v="11"/>
    <n v="517547.45875456138"/>
  </r>
  <r>
    <x v="32"/>
    <x v="12"/>
    <n v="609244.41642177966"/>
  </r>
  <r>
    <x v="32"/>
    <x v="13"/>
    <n v="667372.14097734448"/>
  </r>
  <r>
    <x v="32"/>
    <x v="14"/>
    <n v="766288.96952467388"/>
  </r>
  <r>
    <x v="32"/>
    <x v="15"/>
    <n v="1014655.801762752"/>
  </r>
  <r>
    <x v="32"/>
    <x v="16"/>
    <n v="1005846.661802806"/>
  </r>
  <r>
    <x v="32"/>
    <x v="17"/>
    <n v="1061545.1016315499"/>
  </r>
  <r>
    <x v="32"/>
    <x v="18"/>
    <n v="1054489.6419219801"/>
  </r>
  <r>
    <x v="32"/>
    <x v="19"/>
    <n v="934500.23104162421"/>
  </r>
  <r>
    <x v="32"/>
    <x v="20"/>
    <n v="900754.65139546792"/>
  </r>
  <r>
    <x v="32"/>
    <x v="21"/>
    <n v="821763.69612567849"/>
  </r>
  <r>
    <x v="32"/>
    <x v="22"/>
    <n v="662875.46995883819"/>
  </r>
  <r>
    <x v="32"/>
    <x v="23"/>
    <n v="640275.52033334912"/>
  </r>
  <r>
    <x v="32"/>
    <x v="24"/>
    <n v="719729.5315165245"/>
  </r>
  <r>
    <x v="32"/>
    <x v="25"/>
    <n v="783219.73633598723"/>
  </r>
  <r>
    <x v="32"/>
    <x v="26"/>
    <n v="827760.47139867372"/>
  </r>
  <r>
    <x v="32"/>
    <x v="27"/>
    <n v="842209.21090463235"/>
  </r>
  <r>
    <x v="32"/>
    <x v="28"/>
    <n v="797203.54450166388"/>
  </r>
  <r>
    <x v="32"/>
    <x v="29"/>
    <n v="730719.12522293685"/>
  </r>
  <r>
    <x v="32"/>
    <x v="30"/>
    <n v="617591.72061518487"/>
  </r>
  <r>
    <x v="32"/>
    <x v="31"/>
    <n v="654700.75260444917"/>
  </r>
  <r>
    <x v="32"/>
    <x v="32"/>
    <n v="589824.04671562719"/>
  </r>
  <r>
    <x v="32"/>
    <x v="33"/>
    <n v="630415.41551942262"/>
  </r>
  <r>
    <x v="33"/>
    <x v="0"/>
    <n v="215.3552963578403"/>
  </r>
  <r>
    <x v="33"/>
    <x v="1"/>
    <n v="182.6141657012854"/>
  </r>
  <r>
    <x v="33"/>
    <x v="2"/>
    <n v="167.6416865108651"/>
  </r>
  <r>
    <x v="33"/>
    <x v="3"/>
    <n v="154.698718248419"/>
  </r>
  <r>
    <x v="33"/>
    <x v="4"/>
    <n v="167.45346460447149"/>
  </r>
  <r>
    <x v="33"/>
    <x v="5"/>
    <n v="170.60401240325581"/>
  </r>
  <r>
    <x v="33"/>
    <x v="6"/>
    <n v="189.6607027766874"/>
  </r>
  <r>
    <x v="33"/>
    <x v="7"/>
    <n v="171.97850346501619"/>
  </r>
  <r>
    <x v="33"/>
    <x v="8"/>
    <n v="199.4381659993696"/>
  </r>
  <r>
    <x v="33"/>
    <x v="9"/>
    <n v="192.572689133159"/>
  </r>
  <r>
    <x v="33"/>
    <x v="10"/>
    <n v="206.80469928348191"/>
  </r>
  <r>
    <x v="33"/>
    <x v="11"/>
    <n v="206.36524964734519"/>
  </r>
  <r>
    <x v="33"/>
    <x v="12"/>
    <n v="213.303895010313"/>
  </r>
  <r>
    <x v="33"/>
    <x v="13"/>
    <n v="223.15439348709609"/>
  </r>
  <r>
    <x v="33"/>
    <x v="14"/>
    <n v="234.15687036876091"/>
  </r>
  <r>
    <x v="33"/>
    <x v="15"/>
    <n v="241.64137730266029"/>
  </r>
  <r>
    <x v="33"/>
    <x v="16"/>
    <n v="251.1633563203556"/>
  </r>
  <r>
    <x v="33"/>
    <x v="17"/>
    <n v="274.65043789100571"/>
  </r>
  <r>
    <x v="33"/>
    <x v="18"/>
    <n v="250.71673503484249"/>
  </r>
  <r>
    <x v="33"/>
    <x v="19"/>
    <n v="237.2234039508154"/>
  </r>
  <r>
    <x v="33"/>
    <x v="20"/>
    <n v="222.26945731503361"/>
  </r>
  <r>
    <x v="33"/>
    <x v="21"/>
    <n v="206.71421222938471"/>
  </r>
  <r>
    <x v="33"/>
    <x v="22"/>
    <n v="202.71889176638319"/>
  </r>
  <r>
    <x v="33"/>
    <x v="23"/>
    <n v="191.0265561864197"/>
  </r>
  <r>
    <x v="33"/>
    <x v="24"/>
    <n v="215.49583628178641"/>
  </r>
  <r>
    <x v="33"/>
    <x v="25"/>
    <n v="222.2394220791619"/>
  </r>
  <r>
    <x v="33"/>
    <x v="26"/>
    <n v="216.92280794481681"/>
  </r>
  <r>
    <x v="33"/>
    <x v="27"/>
    <n v="213.54620825709259"/>
  </r>
  <r>
    <x v="33"/>
    <x v="28"/>
    <n v="224.6873816349046"/>
  </r>
  <r>
    <x v="33"/>
    <x v="29"/>
    <n v="260.39321285495117"/>
  </r>
  <r>
    <x v="33"/>
    <x v="30"/>
    <n v="231.8466302768251"/>
  </r>
  <r>
    <x v="33"/>
    <x v="31"/>
    <n v="246.89342125923051"/>
  </r>
  <r>
    <x v="33"/>
    <x v="32"/>
    <n v="276.92708003781217"/>
  </r>
  <r>
    <x v="33"/>
    <x v="33"/>
    <n v="267.96022527407251"/>
  </r>
  <r>
    <x v="34"/>
    <x v="0"/>
    <n v="9144959"/>
  </r>
  <r>
    <x v="34"/>
    <x v="1"/>
    <n v="9097595"/>
  </r>
  <r>
    <x v="34"/>
    <x v="2"/>
    <n v="9022940"/>
  </r>
  <r>
    <x v="34"/>
    <x v="3"/>
    <n v="9589762"/>
  </r>
  <r>
    <x v="34"/>
    <x v="4"/>
    <n v="9857729"/>
  </r>
  <r>
    <x v="34"/>
    <x v="5"/>
    <n v="10137078"/>
  </r>
  <r>
    <x v="34"/>
    <x v="6"/>
    <n v="10103451"/>
  </r>
  <r>
    <x v="34"/>
    <x v="7"/>
    <n v="10774961"/>
  </r>
  <r>
    <x v="34"/>
    <x v="8"/>
    <n v="10870140"/>
  </r>
  <r>
    <x v="34"/>
    <x v="9"/>
    <n v="11032981"/>
  </r>
  <r>
    <x v="34"/>
    <x v="10"/>
    <n v="11544411"/>
  </r>
  <r>
    <x v="34"/>
    <x v="11"/>
    <n v="11419041"/>
  </r>
  <r>
    <x v="34"/>
    <x v="12"/>
    <n v="11830611"/>
  </r>
  <r>
    <x v="34"/>
    <x v="13"/>
    <n v="12299100"/>
  </r>
  <r>
    <x v="34"/>
    <x v="14"/>
    <n v="12804957"/>
  </r>
  <r>
    <x v="34"/>
    <x v="15"/>
    <n v="13704354"/>
  </r>
  <r>
    <x v="34"/>
    <x v="16"/>
    <n v="14448302"/>
  </r>
  <r>
    <x v="34"/>
    <x v="17"/>
    <n v="14996177"/>
  </r>
  <r>
    <x v="34"/>
    <x v="18"/>
    <n v="14894579"/>
  </r>
  <r>
    <x v="34"/>
    <x v="19"/>
    <n v="14619233"/>
  </r>
  <r>
    <x v="34"/>
    <x v="20"/>
    <n v="14974029"/>
  </r>
  <r>
    <x v="34"/>
    <x v="21"/>
    <n v="15150557"/>
  </r>
  <r>
    <x v="34"/>
    <x v="22"/>
    <n v="15412702"/>
  </r>
  <r>
    <x v="34"/>
    <x v="23"/>
    <n v="15553820"/>
  </r>
  <r>
    <x v="34"/>
    <x v="24"/>
    <n v="16207977"/>
  </r>
  <r>
    <x v="34"/>
    <x v="25"/>
    <n v="16483496"/>
  </r>
  <r>
    <x v="34"/>
    <x v="26"/>
    <n v="17028613"/>
  </r>
  <r>
    <x v="34"/>
    <x v="27"/>
    <n v="16898617"/>
  </r>
  <r>
    <x v="34"/>
    <x v="28"/>
    <n v="16893141"/>
  </r>
  <r>
    <x v="34"/>
    <x v="29"/>
    <n v="17311705"/>
  </r>
  <r>
    <x v="34"/>
    <x v="30"/>
    <n v="17989361"/>
  </r>
  <r>
    <x v="34"/>
    <x v="31"/>
    <n v="18275405"/>
  </r>
  <r>
    <x v="34"/>
    <x v="32"/>
    <n v="18356107"/>
  </r>
  <r>
    <x v="34"/>
    <x v="33"/>
    <n v="17806518"/>
  </r>
  <r>
    <x v="35"/>
    <x v="3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FC23D-6CAF-426F-B50A-2C9A17D6B618}" name="PivotTable7" cacheId="1" applyNumberFormats="0" applyBorderFormats="0" applyFontFormats="0" applyPatternFormats="0" applyAlignmentFormats="0" applyWidthHeightFormats="1" dataCaption="Werte" updatedVersion="8" minRefreshableVersion="3" colGrandTotals="0" itemPrintTitles="1" createdVersion="8" indent="0" outline="1" outlineData="1" multipleFieldFilters="0">
  <location ref="C104:AK131" firstHeaderRow="1" firstDataRow="2" firstDataCol="1"/>
  <pivotFields count="20">
    <pivotField axis="axisRow" showAll="0">
      <items count="38">
        <item x="0"/>
        <item x="1"/>
        <item x="2"/>
        <item h="1"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h="1" x="17"/>
        <item x="18"/>
        <item h="1" x="19"/>
        <item h="1" x="20"/>
        <item x="21"/>
        <item h="1" x="22"/>
        <item x="23"/>
        <item h="1" x="24"/>
        <item h="1" x="25"/>
        <item h="1" x="26"/>
        <item x="27"/>
        <item x="28"/>
        <item x="29"/>
        <item x="30"/>
        <item h="1" x="31"/>
        <item x="32"/>
        <item x="33"/>
        <item x="34"/>
        <item h="1" x="35"/>
        <item h="1" x="36"/>
        <item h="1" x="10"/>
        <item t="default"/>
      </items>
    </pivotField>
    <pivotField axis="axisCol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6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20"/>
    </i>
    <i>
      <x v="22"/>
    </i>
    <i>
      <x v="26"/>
    </i>
    <i>
      <x v="27"/>
    </i>
    <i>
      <x v="28"/>
    </i>
    <i>
      <x v="29"/>
    </i>
    <i>
      <x v="31"/>
    </i>
    <i>
      <x v="32"/>
    </i>
    <i>
      <x v="33"/>
    </i>
    <i t="grand">
      <x/>
    </i>
  </rowItems>
  <colFields count="1">
    <field x="1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</colItems>
  <dataFields count="1">
    <dataField name="Summe von LivingBMLosses(ktC)" fld="13" baseField="0" baseItem="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F93F3-0E31-4119-A1A4-6055E34187B4}" name="PivotTable3" cacheId="1" applyNumberFormats="0" applyBorderFormats="0" applyFontFormats="0" applyPatternFormats="0" applyAlignmentFormats="0" applyWidthHeightFormats="1" dataCaption="Werte" updatedVersion="8" minRefreshableVersion="3" colGrandTotals="0" itemPrintTitles="1" createdVersion="8" indent="0" outline="1" outlineData="1" multipleFieldFilters="0">
  <location ref="C5:AK32" firstHeaderRow="1" firstDataRow="2" firstDataCol="1"/>
  <pivotFields count="20">
    <pivotField axis="axisRow" showAll="0">
      <items count="38">
        <item x="0"/>
        <item x="1"/>
        <item x="2"/>
        <item h="1"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h="1" x="17"/>
        <item x="18"/>
        <item h="1" x="19"/>
        <item h="1" x="20"/>
        <item x="21"/>
        <item h="1" x="22"/>
        <item x="23"/>
        <item h="1" x="24"/>
        <item h="1" x="25"/>
        <item h="1" x="26"/>
        <item x="27"/>
        <item x="28"/>
        <item x="29"/>
        <item x="30"/>
        <item h="1" x="31"/>
        <item x="32"/>
        <item x="33"/>
        <item x="34"/>
        <item h="1" x="35"/>
        <item h="1" x="36"/>
        <item h="1" x="10"/>
        <item t="default"/>
      </items>
    </pivotField>
    <pivotField axis="axisCol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6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20"/>
    </i>
    <i>
      <x v="22"/>
    </i>
    <i>
      <x v="26"/>
    </i>
    <i>
      <x v="27"/>
    </i>
    <i>
      <x v="28"/>
    </i>
    <i>
      <x v="29"/>
    </i>
    <i>
      <x v="31"/>
    </i>
    <i>
      <x v="32"/>
    </i>
    <i>
      <x v="33"/>
    </i>
    <i t="grand">
      <x/>
    </i>
  </rowItems>
  <colFields count="1">
    <field x="1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</colItems>
  <dataFields count="1">
    <dataField name="Summe von TotalArea(kha)" fld="2" baseField="0" baseItem="6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8DF7A-B8E2-4076-A157-D61DA313430A}" name="PivotTable2" cacheId="1" applyNumberFormats="0" applyBorderFormats="0" applyFontFormats="0" applyPatternFormats="0" applyAlignmentFormats="0" applyWidthHeightFormats="1" dataCaption="Werte" updatedVersion="8" minRefreshableVersion="3" colGrandTotals="0" itemPrintTitles="1" createdVersion="8" indent="0" outline="1" outlineData="1" multipleFieldFilters="0">
  <location ref="C71:AK98" firstHeaderRow="1" firstDataRow="2" firstDataCol="1"/>
  <pivotFields count="20">
    <pivotField axis="axisRow" showAll="0">
      <items count="38">
        <item x="0"/>
        <item x="1"/>
        <item x="2"/>
        <item h="1"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h="1" x="17"/>
        <item x="18"/>
        <item h="1" x="19"/>
        <item h="1" x="20"/>
        <item x="21"/>
        <item h="1" x="22"/>
        <item x="23"/>
        <item h="1" x="24"/>
        <item h="1" x="25"/>
        <item h="1" x="26"/>
        <item x="27"/>
        <item x="28"/>
        <item x="29"/>
        <item x="30"/>
        <item h="1" x="31"/>
        <item x="32"/>
        <item x="33"/>
        <item x="34"/>
        <item h="1" x="35"/>
        <item h="1" x="36"/>
        <item h="1" x="10"/>
        <item t="default"/>
      </items>
    </pivotField>
    <pivotField axis="axisCol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6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20"/>
    </i>
    <i>
      <x v="22"/>
    </i>
    <i>
      <x v="26"/>
    </i>
    <i>
      <x v="27"/>
    </i>
    <i>
      <x v="28"/>
    </i>
    <i>
      <x v="29"/>
    </i>
    <i>
      <x v="31"/>
    </i>
    <i>
      <x v="32"/>
    </i>
    <i>
      <x v="33"/>
    </i>
    <i t="grand">
      <x/>
    </i>
  </rowItems>
  <colFields count="1">
    <field x="1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</colItems>
  <dataFields count="1">
    <dataField name="Summe von LivinBMLosses(tC/ha)" fld="6" baseField="0" baseItem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17C2B-01C7-4D07-9415-24B94BACDD61}" name="PivotTable1" cacheId="2" applyNumberFormats="0" applyBorderFormats="0" applyFontFormats="0" applyPatternFormats="0" applyAlignmentFormats="0" applyWidthHeightFormats="1" dataCaption="Werte" updatedVersion="8" minRefreshableVersion="3" colGrandTotals="0" itemPrintTitles="1" createdVersion="8" indent="0" outline="1" outlineData="1" multipleFieldFilters="0">
  <location ref="C38:AK65" firstHeaderRow="1" firstDataRow="2" firstDataCol="1"/>
  <pivotFields count="3">
    <pivotField axis="axisRow" showAll="0">
      <items count="37">
        <item x="11"/>
        <item x="12"/>
        <item x="13"/>
        <item h="1" x="0"/>
        <item x="1"/>
        <item x="14"/>
        <item x="15"/>
        <item x="16"/>
        <item x="17"/>
        <item x="18"/>
        <item x="10"/>
        <item x="19"/>
        <item x="2"/>
        <item x="20"/>
        <item x="21"/>
        <item x="22"/>
        <item h="1" x="3"/>
        <item x="23"/>
        <item h="1" x="4"/>
        <item h="1" x="5"/>
        <item x="24"/>
        <item h="1" x="25"/>
        <item x="26"/>
        <item h="1" x="6"/>
        <item h="1" x="27"/>
        <item h="1" x="28"/>
        <item x="7"/>
        <item x="29"/>
        <item x="30"/>
        <item x="31"/>
        <item h="1" x="8"/>
        <item x="32"/>
        <item x="33"/>
        <item x="34"/>
        <item h="1" x="9"/>
        <item h="1" x="35"/>
        <item t="default"/>
      </items>
    </pivotField>
    <pivotField axis="axisCol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</pivotFields>
  <rowFields count="1">
    <field x="0"/>
  </rowFields>
  <rowItems count="26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20"/>
    </i>
    <i>
      <x v="22"/>
    </i>
    <i>
      <x v="26"/>
    </i>
    <i>
      <x v="27"/>
    </i>
    <i>
      <x v="28"/>
    </i>
    <i>
      <x v="29"/>
    </i>
    <i>
      <x v="31"/>
    </i>
    <i>
      <x v="32"/>
    </i>
    <i>
      <x v="33"/>
    </i>
    <i t="grand">
      <x/>
    </i>
  </rowItems>
  <colFields count="1">
    <field x="1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</colItems>
  <dataFields count="1">
    <dataField name="Summe von HWP in use from domestic harvest (kt C)" fld="2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nfccc.int/ghg-inventories-annex-i-parties/20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B993-C467-43F4-9CAC-DC9ECAE0C129}">
  <dimension ref="B2:D11"/>
  <sheetViews>
    <sheetView workbookViewId="0"/>
  </sheetViews>
  <sheetFormatPr baseColWidth="10" defaultColWidth="11.42578125" defaultRowHeight="15" x14ac:dyDescent="0.25"/>
  <cols>
    <col min="1" max="1" width="5.7109375" customWidth="1"/>
    <col min="2" max="2" width="5.7109375" style="15" customWidth="1"/>
    <col min="3" max="3" width="35.7109375" customWidth="1"/>
  </cols>
  <sheetData>
    <row r="2" spans="2:4" x14ac:dyDescent="0.25">
      <c r="B2" s="16" t="s">
        <v>0</v>
      </c>
    </row>
    <row r="4" spans="2:4" x14ac:dyDescent="0.25">
      <c r="B4" s="15" t="s">
        <v>1</v>
      </c>
      <c r="C4" t="s">
        <v>2</v>
      </c>
      <c r="D4" t="s">
        <v>3</v>
      </c>
    </row>
    <row r="5" spans="2:4" x14ac:dyDescent="0.25">
      <c r="B5" s="15">
        <v>1</v>
      </c>
      <c r="C5" s="14" t="s">
        <v>4</v>
      </c>
    </row>
    <row r="6" spans="2:4" x14ac:dyDescent="0.25">
      <c r="B6" s="15">
        <v>2</v>
      </c>
      <c r="C6" s="14" t="s">
        <v>5</v>
      </c>
      <c r="D6" t="s">
        <v>6</v>
      </c>
    </row>
    <row r="7" spans="2:4" x14ac:dyDescent="0.25">
      <c r="B7" s="15">
        <v>3</v>
      </c>
      <c r="C7" s="14" t="s">
        <v>7</v>
      </c>
      <c r="D7" t="s">
        <v>7</v>
      </c>
    </row>
    <row r="8" spans="2:4" x14ac:dyDescent="0.25">
      <c r="B8" s="15">
        <v>4</v>
      </c>
      <c r="C8" s="14" t="s">
        <v>8</v>
      </c>
      <c r="D8" t="s">
        <v>9</v>
      </c>
    </row>
    <row r="9" spans="2:4" x14ac:dyDescent="0.25">
      <c r="B9" s="15">
        <v>5</v>
      </c>
      <c r="C9" s="14" t="s">
        <v>10</v>
      </c>
      <c r="D9" t="s">
        <v>10</v>
      </c>
    </row>
    <row r="10" spans="2:4" x14ac:dyDescent="0.25">
      <c r="B10" s="15">
        <v>6</v>
      </c>
      <c r="C10" s="14" t="s">
        <v>11</v>
      </c>
      <c r="D10" t="s">
        <v>12</v>
      </c>
    </row>
    <row r="11" spans="2:4" x14ac:dyDescent="0.25">
      <c r="B11" s="15">
        <v>7</v>
      </c>
      <c r="C11" s="14" t="s">
        <v>13</v>
      </c>
      <c r="D11" t="s">
        <v>12</v>
      </c>
    </row>
  </sheetData>
  <hyperlinks>
    <hyperlink ref="C5" location="'Index'!A2" display="Index" xr:uid="{B0041A0D-B4D6-4EFE-B4BF-423B495C82AA}"/>
    <hyperlink ref="C6" location="'Tabelle2'!A2" display="Tabelle2" xr:uid="{A4EC386D-E01B-452B-A8B4-9AE402A0B02D}"/>
    <hyperlink ref="C7" location="'Table S4'!A2" display="Table S4" xr:uid="{6648D5B5-B958-411B-B3A5-BA76EB38F7F3}"/>
    <hyperlink ref="C8" location="'Table S5 weighted avg'!A2" display="Table S5 weighted avg" xr:uid="{B744446C-8578-44AE-A9A5-21360A47CEB1}"/>
    <hyperlink ref="C9" location="'pivot tables'!A2" display="pivot tables" xr:uid="{516F7805-6DC7-4AF9-A6E6-9680039AE0D2}"/>
    <hyperlink ref="C10" location="'Table4.A FL'!A2" display="Table4.A FL" xr:uid="{336DEAB4-DFC5-4176-8DF3-31F5647C0378}"/>
    <hyperlink ref="C11" location="'Total HWP Domestic gains'!A2" display="Total HWP Domestic gains" xr:uid="{613CD93D-A373-45FB-8CFC-016FEAC25A11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90BC-0606-4620-98BD-DB0F4A43FD38}">
  <dimension ref="A1:C7"/>
  <sheetViews>
    <sheetView workbookViewId="0">
      <selection activeCell="C14" sqref="C14"/>
    </sheetView>
  </sheetViews>
  <sheetFormatPr baseColWidth="10" defaultColWidth="11.42578125" defaultRowHeight="15" x14ac:dyDescent="0.25"/>
  <cols>
    <col min="2" max="2" width="18.85546875" customWidth="1"/>
  </cols>
  <sheetData>
    <row r="1" spans="1:3" ht="15.75" x14ac:dyDescent="0.25">
      <c r="A1" s="17" t="s">
        <v>6</v>
      </c>
    </row>
    <row r="4" spans="1:3" ht="15.75" x14ac:dyDescent="0.25">
      <c r="B4" s="17" t="s">
        <v>14</v>
      </c>
      <c r="C4" s="18" t="s">
        <v>15</v>
      </c>
    </row>
    <row r="5" spans="1:3" ht="15.75" x14ac:dyDescent="0.25">
      <c r="B5" s="17" t="s">
        <v>16</v>
      </c>
      <c r="C5" s="17" t="s">
        <v>17</v>
      </c>
    </row>
    <row r="6" spans="1:3" ht="15.75" x14ac:dyDescent="0.25">
      <c r="B6" s="17" t="s">
        <v>18</v>
      </c>
      <c r="C6" s="17" t="s">
        <v>19</v>
      </c>
    </row>
    <row r="7" spans="1:3" ht="15.75" x14ac:dyDescent="0.25">
      <c r="B7" s="17" t="s">
        <v>20</v>
      </c>
    </row>
  </sheetData>
  <hyperlinks>
    <hyperlink ref="C4" r:id="rId1" xr:uid="{7F96563D-2256-479D-9E55-246848259A9D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E277-125A-48E7-9319-6D8A8C18D35F}">
  <dimension ref="A1:AJ100"/>
  <sheetViews>
    <sheetView workbookViewId="0">
      <selection activeCell="F16" sqref="F16"/>
    </sheetView>
  </sheetViews>
  <sheetFormatPr baseColWidth="10" defaultColWidth="11.42578125" defaultRowHeight="15" x14ac:dyDescent="0.25"/>
  <sheetData>
    <row r="1" spans="1:31" x14ac:dyDescent="0.25">
      <c r="A1" t="s">
        <v>7</v>
      </c>
    </row>
    <row r="3" spans="1:31" x14ac:dyDescent="0.25">
      <c r="B3" s="11" t="s">
        <v>23</v>
      </c>
      <c r="C3" s="11" t="s">
        <v>63</v>
      </c>
      <c r="D3" s="11" t="s">
        <v>64</v>
      </c>
      <c r="E3" s="11" t="s">
        <v>65</v>
      </c>
      <c r="G3" s="11" t="s">
        <v>23</v>
      </c>
      <c r="H3" s="11">
        <v>2000</v>
      </c>
      <c r="I3" s="11">
        <v>2001</v>
      </c>
      <c r="J3" s="11">
        <v>2002</v>
      </c>
      <c r="K3" s="11">
        <v>2003</v>
      </c>
      <c r="L3" s="11">
        <v>2004</v>
      </c>
      <c r="M3" s="11">
        <v>2005</v>
      </c>
      <c r="N3" s="11">
        <v>2006</v>
      </c>
      <c r="O3" s="11">
        <v>2007</v>
      </c>
      <c r="P3" s="11">
        <v>2008</v>
      </c>
      <c r="Q3" s="11">
        <v>2009</v>
      </c>
      <c r="R3" s="11">
        <v>2010</v>
      </c>
      <c r="S3" s="11">
        <v>2011</v>
      </c>
      <c r="T3" s="11">
        <v>2012</v>
      </c>
      <c r="U3" s="11">
        <v>2013</v>
      </c>
      <c r="V3" s="11">
        <v>2014</v>
      </c>
      <c r="W3" s="11">
        <v>2015</v>
      </c>
      <c r="X3" s="11">
        <v>2016</v>
      </c>
      <c r="Y3" s="11">
        <v>2017</v>
      </c>
      <c r="Z3" s="11">
        <v>2018</v>
      </c>
      <c r="AA3" s="11">
        <v>2019</v>
      </c>
      <c r="AB3" s="11">
        <v>2020</v>
      </c>
      <c r="AC3" s="11">
        <v>2021</v>
      </c>
      <c r="AD3" s="11">
        <v>2022</v>
      </c>
      <c r="AE3" s="11">
        <v>2023</v>
      </c>
    </row>
    <row r="4" spans="1:31" x14ac:dyDescent="0.25">
      <c r="B4" s="12" t="s">
        <v>51</v>
      </c>
      <c r="C4" s="13">
        <f>AVERAGE(C88:U88)</f>
        <v>-0.40198960753603563</v>
      </c>
      <c r="D4" s="13">
        <f>AVERAGE(V88:AD88)</f>
        <v>-0.33294288964088381</v>
      </c>
      <c r="E4" s="13">
        <f>AVERAGE(AE88:AJ88)</f>
        <v>-0.2730451247741465</v>
      </c>
      <c r="G4" s="11" t="s">
        <v>51</v>
      </c>
      <c r="H4" s="13">
        <v>-0.42848631296572293</v>
      </c>
      <c r="I4" s="13">
        <v>-0.46384928941816367</v>
      </c>
      <c r="J4" s="13">
        <v>-0.42628872383106919</v>
      </c>
      <c r="K4" s="13">
        <v>-0.40179481237374987</v>
      </c>
      <c r="L4" s="13">
        <v>-0.39299492504022793</v>
      </c>
      <c r="M4" s="13">
        <v>-0.39901451043134178</v>
      </c>
      <c r="N4" s="13">
        <v>-0.36064145541833664</v>
      </c>
      <c r="O4" s="13">
        <v>-0.36834041278053925</v>
      </c>
      <c r="P4" s="13">
        <v>-0.35888133186187066</v>
      </c>
      <c r="Q4" s="13">
        <v>-0.33179841075289651</v>
      </c>
      <c r="R4" s="13">
        <v>-0.35701842305292297</v>
      </c>
      <c r="S4" s="13">
        <v>-0.34826225010643269</v>
      </c>
      <c r="T4" s="13">
        <v>-0.34106016788848442</v>
      </c>
      <c r="U4" s="13">
        <v>-0.32178640098040179</v>
      </c>
      <c r="V4" s="13">
        <v>-0.33210685925476319</v>
      </c>
      <c r="W4" s="13">
        <v>-0.31486709685513831</v>
      </c>
      <c r="X4" s="13">
        <v>-0.32369578743450805</v>
      </c>
      <c r="Y4" s="13">
        <v>-0.32589061044240614</v>
      </c>
      <c r="Z4" s="13">
        <v>-0.3090848941240506</v>
      </c>
      <c r="AA4" s="13">
        <v>-0.26794321691032663</v>
      </c>
      <c r="AB4" s="13">
        <v>-0.25673680999164955</v>
      </c>
      <c r="AC4" s="13">
        <v>-0.28522407425451629</v>
      </c>
      <c r="AD4" s="13">
        <v>-0.27536465415600886</v>
      </c>
      <c r="AE4" s="13">
        <v>-0.24391709920832716</v>
      </c>
    </row>
    <row r="5" spans="1:31" x14ac:dyDescent="0.25">
      <c r="B5" s="12" t="s">
        <v>52</v>
      </c>
      <c r="C5" s="13">
        <f>AVERAGE(C94:U94)</f>
        <v>-6.010933292648437E-2</v>
      </c>
      <c r="D5" s="13">
        <f>AVERAGE(V94:AD94)</f>
        <v>-5.1968725117232162E-2</v>
      </c>
      <c r="E5" s="13">
        <f>AVERAGE(AE94:AJ94)</f>
        <v>-5.677164114140084E-2</v>
      </c>
      <c r="G5" s="11" t="s">
        <v>52</v>
      </c>
      <c r="H5" s="13">
        <v>-0.15317280951202994</v>
      </c>
      <c r="I5" s="13">
        <v>-0.19803328693437508</v>
      </c>
      <c r="J5" s="13">
        <v>-0.21290779354055311</v>
      </c>
      <c r="K5" s="13">
        <v>-0.19441588896140591</v>
      </c>
      <c r="L5" s="13">
        <v>-0.19217722374863302</v>
      </c>
      <c r="M5" s="13">
        <v>-0.22568876921079226</v>
      </c>
      <c r="N5" s="13">
        <v>-0.22400016175097054</v>
      </c>
      <c r="O5" s="13">
        <v>-0.21348893524045653</v>
      </c>
      <c r="P5" s="13">
        <v>-0.21786980580019671</v>
      </c>
      <c r="Q5" s="13">
        <v>-0.21126833168208578</v>
      </c>
      <c r="R5" s="13">
        <v>-0.21891333484422637</v>
      </c>
      <c r="S5" s="13">
        <v>-0.19775535393068394</v>
      </c>
      <c r="T5" s="13">
        <v>-0.20144325695041179</v>
      </c>
      <c r="U5" s="13">
        <v>-0.20926011479002604</v>
      </c>
      <c r="V5" s="13">
        <v>-0.20461702531505077</v>
      </c>
      <c r="W5" s="13">
        <v>-0.21469731583348997</v>
      </c>
      <c r="X5" s="13">
        <v>-0.21193511942577392</v>
      </c>
      <c r="Y5" s="13">
        <v>-0.23251981980061326</v>
      </c>
      <c r="Z5" s="13">
        <v>-0.20208514624078516</v>
      </c>
      <c r="AA5" s="13">
        <v>-0.20626310479203133</v>
      </c>
      <c r="AB5" s="13">
        <v>-0.20137595848384629</v>
      </c>
      <c r="AC5" s="13">
        <v>-0.20147824654760638</v>
      </c>
      <c r="AD5" s="13">
        <v>-0.17035183599066506</v>
      </c>
      <c r="AE5" s="13">
        <v>-0.17343350867329907</v>
      </c>
    </row>
    <row r="6" spans="1:31" x14ac:dyDescent="0.25">
      <c r="B6" s="12" t="s">
        <v>53</v>
      </c>
      <c r="C6" s="13">
        <f>AVERAGE(C89:U89)</f>
        <v>-0.19303597126425184</v>
      </c>
      <c r="D6" s="13">
        <f>AVERAGE(V89:AD89)</f>
        <v>-0.2113788525080402</v>
      </c>
      <c r="E6" s="13">
        <f>AVERAGE(AE89:AJ89)</f>
        <v>-0.19249796678803888</v>
      </c>
      <c r="G6" s="11" t="s">
        <v>53</v>
      </c>
      <c r="H6" s="13">
        <v>-0.25584332874897658</v>
      </c>
      <c r="I6" s="13">
        <v>-0.25699829225733706</v>
      </c>
      <c r="J6" s="13">
        <v>-0.25281147914354984</v>
      </c>
      <c r="K6" s="13">
        <v>-0.26727034620019607</v>
      </c>
      <c r="L6" s="13">
        <v>-0.26582883427486315</v>
      </c>
      <c r="M6" s="13">
        <v>-0.26474898673105185</v>
      </c>
      <c r="N6" s="13">
        <v>-0.27931529343088579</v>
      </c>
      <c r="O6" s="13">
        <v>-0.29432338306532135</v>
      </c>
      <c r="P6" s="13">
        <v>-0.29540941940978394</v>
      </c>
      <c r="Q6" s="13">
        <v>-0.25713937461109665</v>
      </c>
      <c r="R6" s="13">
        <v>-0.26495434750883451</v>
      </c>
      <c r="S6" s="13">
        <v>-0.25789098123676135</v>
      </c>
      <c r="T6" s="13">
        <v>-0.24544047690242735</v>
      </c>
      <c r="U6" s="13">
        <v>-0.20964491506183205</v>
      </c>
      <c r="V6" s="13">
        <v>-0.20327374460121411</v>
      </c>
      <c r="W6" s="13">
        <v>-0.21393885514093494</v>
      </c>
      <c r="X6" s="13">
        <v>-0.21383055037708892</v>
      </c>
      <c r="Y6" s="13">
        <v>-0.20737194464575942</v>
      </c>
      <c r="Z6" s="13">
        <v>-0.17090152954190799</v>
      </c>
      <c r="AA6" s="13">
        <v>-0.14749703366549505</v>
      </c>
      <c r="AB6" s="13">
        <v>-0.16041865243966211</v>
      </c>
      <c r="AC6" s="13">
        <v>-0.18004206528122471</v>
      </c>
      <c r="AD6" s="13">
        <v>-0.20249353867073291</v>
      </c>
      <c r="AE6" s="13">
        <v>-0.24071921729880175</v>
      </c>
    </row>
    <row r="7" spans="1:31" x14ac:dyDescent="0.25">
      <c r="B7" s="12" t="s">
        <v>54</v>
      </c>
      <c r="C7" s="13">
        <f>AVERAGE(C90:U90)</f>
        <v>-0.26504293522483985</v>
      </c>
      <c r="D7" s="13">
        <f>AVERAGE(V90:AD90)</f>
        <v>-0.23038724334288327</v>
      </c>
      <c r="E7" s="13">
        <f>AVERAGE(AE90:AJ90)</f>
        <v>-0.18367867281630409</v>
      </c>
      <c r="G7" s="11" t="s">
        <v>54</v>
      </c>
      <c r="H7" s="13">
        <v>-0.21040994250135944</v>
      </c>
      <c r="I7" s="13">
        <v>-0.18740570478924623</v>
      </c>
      <c r="J7" s="13">
        <v>-0.15583700215765875</v>
      </c>
      <c r="K7" s="13">
        <v>-0.18598812000780673</v>
      </c>
      <c r="L7" s="13">
        <v>-0.17089120649638923</v>
      </c>
      <c r="M7" s="13">
        <v>-0.18765423563586853</v>
      </c>
      <c r="N7" s="13">
        <v>-0.23413498181944564</v>
      </c>
      <c r="O7" s="13">
        <v>-0.25143831201895611</v>
      </c>
      <c r="P7" s="13">
        <v>-0.27715407400513514</v>
      </c>
      <c r="Q7" s="13">
        <v>-0.28242187659355028</v>
      </c>
      <c r="R7" s="13">
        <v>-0.26570190398451082</v>
      </c>
      <c r="S7" s="13">
        <v>-0.18839344281559492</v>
      </c>
      <c r="T7" s="13">
        <v>-0.15959903116485688</v>
      </c>
      <c r="U7" s="13">
        <v>-0.15318424788318308</v>
      </c>
      <c r="V7" s="13">
        <v>-0.16466053002116685</v>
      </c>
      <c r="W7" s="13">
        <v>-0.17811159904786045</v>
      </c>
      <c r="X7" s="13">
        <v>-0.18274585713310013</v>
      </c>
      <c r="Y7" s="13">
        <v>-0.18222607247984191</v>
      </c>
      <c r="Z7" s="13">
        <v>-0.16724603629981566</v>
      </c>
      <c r="AA7" s="13">
        <v>-0.16279947961481642</v>
      </c>
      <c r="AB7" s="13">
        <v>-0.19135309675656687</v>
      </c>
      <c r="AC7" s="13">
        <v>-0.19885430823900227</v>
      </c>
      <c r="AD7" s="13">
        <v>-0.18794069531603785</v>
      </c>
      <c r="AE7" s="13">
        <v>-0.14891736161978697</v>
      </c>
    </row>
    <row r="8" spans="1:31" x14ac:dyDescent="0.25">
      <c r="B8" s="12" t="s">
        <v>55</v>
      </c>
      <c r="C8" s="13">
        <f>AVERAGE(C91:U91)</f>
        <v>-0.29265022717662209</v>
      </c>
      <c r="D8" s="13">
        <f>AVERAGE(V91:AD91)</f>
        <v>-0.19522717345818502</v>
      </c>
      <c r="E8" s="13">
        <f>AVERAGE(AE91:AJ91)</f>
        <v>-0.1761851629743377</v>
      </c>
      <c r="G8" s="11" t="s">
        <v>55</v>
      </c>
      <c r="H8" s="13">
        <v>-0.28213770985377867</v>
      </c>
      <c r="I8" s="13">
        <v>-0.26602530647160927</v>
      </c>
      <c r="J8" s="13">
        <v>-0.26627659521083635</v>
      </c>
      <c r="K8" s="13">
        <v>-0.26983640302445938</v>
      </c>
      <c r="L8" s="13">
        <v>-0.2754634458570242</v>
      </c>
      <c r="M8" s="13">
        <v>-0.24605729154549733</v>
      </c>
      <c r="N8" s="13">
        <v>-0.28362248588909916</v>
      </c>
      <c r="O8" s="13">
        <v>-0.2679089381570971</v>
      </c>
      <c r="P8" s="13">
        <v>-0.24678585812542367</v>
      </c>
      <c r="Q8" s="13">
        <v>-0.24287605864224804</v>
      </c>
      <c r="R8" s="13">
        <v>-0.23939158907913749</v>
      </c>
      <c r="S8" s="13">
        <v>-0.23768505496715692</v>
      </c>
      <c r="T8" s="13">
        <v>-0.23537228248267214</v>
      </c>
      <c r="U8" s="13">
        <v>-0.22297922363361969</v>
      </c>
      <c r="V8" s="13">
        <v>-0.23015771830991891</v>
      </c>
      <c r="W8" s="13">
        <v>-0.22171326807356956</v>
      </c>
      <c r="X8" s="13">
        <v>-0.22590399822173302</v>
      </c>
      <c r="Y8" s="13">
        <v>-0.23049562282740049</v>
      </c>
      <c r="Z8" s="13">
        <v>-0.22033215123896699</v>
      </c>
      <c r="AA8" s="13">
        <v>-0.22732299973248804</v>
      </c>
      <c r="AB8" s="13">
        <v>-0.21837898096304045</v>
      </c>
      <c r="AC8" s="13">
        <v>-0.21833810138196505</v>
      </c>
      <c r="AD8" s="13">
        <v>-0.21916066432319023</v>
      </c>
      <c r="AE8" s="13">
        <v>-0.21072234364588385</v>
      </c>
    </row>
    <row r="9" spans="1:31" x14ac:dyDescent="0.25">
      <c r="B9" s="12" t="s">
        <v>56</v>
      </c>
      <c r="C9" s="13">
        <f>AVERAGE(C92:U92)</f>
        <v>-0.27375697126453208</v>
      </c>
      <c r="D9" s="13">
        <f>AVERAGE(V92:AD92)</f>
        <v>-0.23184164624860626</v>
      </c>
      <c r="E9" s="13">
        <f>AVERAGE(AE92:AJ92)</f>
        <v>-0.21904254021425576</v>
      </c>
      <c r="G9" s="11" t="s">
        <v>56</v>
      </c>
      <c r="H9" s="13">
        <v>-0.16243878759564365</v>
      </c>
      <c r="I9" s="13">
        <v>-0.1781478701938049</v>
      </c>
      <c r="J9" s="13">
        <v>-0.18278268675011156</v>
      </c>
      <c r="K9" s="13">
        <v>-0.18857440413087506</v>
      </c>
      <c r="L9" s="13">
        <v>-0.1947350335954226</v>
      </c>
      <c r="M9" s="13">
        <v>-0.20258076374186373</v>
      </c>
      <c r="N9" s="13">
        <v>-0.20591126814759722</v>
      </c>
      <c r="O9" s="13">
        <v>-0.21129795961006434</v>
      </c>
      <c r="P9" s="13">
        <v>-0.20228418070160847</v>
      </c>
      <c r="Q9" s="13">
        <v>-0.13415341466388747</v>
      </c>
      <c r="R9" s="13">
        <v>-0.1808719999537349</v>
      </c>
      <c r="S9" s="13">
        <v>-0.18982022983048411</v>
      </c>
      <c r="T9" s="13">
        <v>-0.19036840197300253</v>
      </c>
      <c r="U9" s="13">
        <v>-0.18590266487161788</v>
      </c>
      <c r="V9" s="13">
        <v>-0.1733050629306844</v>
      </c>
      <c r="W9" s="13">
        <v>-0.16216435704390952</v>
      </c>
      <c r="X9" s="13">
        <v>-0.14810337025223408</v>
      </c>
      <c r="Y9" s="13">
        <v>-0.13704202698693072</v>
      </c>
      <c r="Z9" s="13">
        <v>-0.12783914448618416</v>
      </c>
      <c r="AA9" s="13">
        <v>-0.11899991219001294</v>
      </c>
      <c r="AB9" s="13">
        <v>-0.10641008685897958</v>
      </c>
      <c r="AC9" s="13">
        <v>-0.12180073331939997</v>
      </c>
      <c r="AD9" s="13">
        <v>-0.11978216010802674</v>
      </c>
      <c r="AE9" s="13">
        <v>-0.11527635998689531</v>
      </c>
    </row>
    <row r="10" spans="1:31" x14ac:dyDescent="0.25">
      <c r="B10" s="12" t="s">
        <v>57</v>
      </c>
      <c r="C10" s="13">
        <f>AVERAGE(C95:U95)</f>
        <v>-0.11589878652997625</v>
      </c>
      <c r="D10" s="13">
        <f>AVERAGE(V95:AD95)</f>
        <v>-0.12207347356970819</v>
      </c>
      <c r="E10" s="13">
        <f>AVERAGE(AE95:AJ95)</f>
        <v>-0.13616407770329017</v>
      </c>
      <c r="G10" s="11" t="s">
        <v>57</v>
      </c>
      <c r="H10" s="13">
        <v>-5.6774066108163608E-2</v>
      </c>
      <c r="I10" s="13">
        <v>-5.7480431666597429E-2</v>
      </c>
      <c r="J10" s="13">
        <v>-6.334879239691335E-2</v>
      </c>
      <c r="K10" s="13">
        <v>-5.7259991179089677E-2</v>
      </c>
      <c r="L10" s="13">
        <v>-6.5075360782232208E-2</v>
      </c>
      <c r="M10" s="13">
        <v>-6.4612811183650254E-2</v>
      </c>
      <c r="N10" s="13">
        <v>-6.8919832685291116E-2</v>
      </c>
      <c r="O10" s="13">
        <v>-5.2937163539256857E-2</v>
      </c>
      <c r="P10" s="13">
        <v>-6.6253904258933835E-2</v>
      </c>
      <c r="Q10" s="13">
        <v>-6.0353541841603214E-2</v>
      </c>
      <c r="R10" s="13">
        <v>-5.9726077895483953E-2</v>
      </c>
      <c r="S10" s="13">
        <v>-4.9857346365109571E-2</v>
      </c>
      <c r="T10" s="13">
        <v>-4.3451877675194601E-2</v>
      </c>
      <c r="U10" s="13">
        <v>-5.0571409769130223E-2</v>
      </c>
      <c r="V10" s="13">
        <v>-5.2703806177091098E-2</v>
      </c>
      <c r="W10" s="13">
        <v>-5.5168152219224359E-2</v>
      </c>
      <c r="X10" s="13">
        <v>-5.5436514508225225E-2</v>
      </c>
      <c r="Y10" s="13">
        <v>-4.044979960402724E-2</v>
      </c>
      <c r="Z10" s="13">
        <v>-4.8899856328388995E-2</v>
      </c>
      <c r="AA10" s="13">
        <v>-7.6889034619134752E-2</v>
      </c>
      <c r="AB10" s="13">
        <v>-5.5565955516097915E-2</v>
      </c>
      <c r="AC10" s="13">
        <v>-4.9209957275678132E-2</v>
      </c>
      <c r="AD10" s="13">
        <v>-4.9887638656104495E-2</v>
      </c>
      <c r="AE10" s="13">
        <v>-6.0177404453000717E-2</v>
      </c>
    </row>
    <row r="11" spans="1:31" x14ac:dyDescent="0.25">
      <c r="B11" s="12" t="s">
        <v>58</v>
      </c>
      <c r="C11" s="13">
        <f>AVERAGE(C96:U96)</f>
        <v>-0.18985263488205203</v>
      </c>
      <c r="D11" s="13">
        <f>AVERAGE(V96:AD96)</f>
        <v>-0.18434048729379768</v>
      </c>
      <c r="E11" s="13">
        <f>AVERAGE(AE96:AJ96)</f>
        <v>-0.18583309026533271</v>
      </c>
      <c r="G11" s="11" t="s">
        <v>58</v>
      </c>
      <c r="H11" s="13">
        <v>-0.14698418088397247</v>
      </c>
      <c r="I11" s="13">
        <v>-0.14931928564739824</v>
      </c>
      <c r="J11" s="13">
        <v>-0.14485922234314774</v>
      </c>
      <c r="K11" s="13">
        <v>-0.14199615413676783</v>
      </c>
      <c r="L11" s="13">
        <v>-0.14573415775034387</v>
      </c>
      <c r="M11" s="13">
        <v>-0.14500724796707951</v>
      </c>
      <c r="N11" s="13">
        <v>-0.16497767811563585</v>
      </c>
      <c r="O11" s="13">
        <v>-0.12306187139295571</v>
      </c>
      <c r="P11" s="13">
        <v>-0.12006304974497557</v>
      </c>
      <c r="Q11" s="13">
        <v>-0.10102362454531064</v>
      </c>
      <c r="R11" s="13">
        <v>-0.109144812189772</v>
      </c>
      <c r="S11" s="13">
        <v>-0.12297281866029727</v>
      </c>
      <c r="T11" s="13">
        <v>-0.12638249740177995</v>
      </c>
      <c r="U11" s="13">
        <v>-0.1263497797679671</v>
      </c>
      <c r="V11" s="13">
        <v>-0.11784678014994714</v>
      </c>
      <c r="W11" s="13">
        <v>-0.12287239533386608</v>
      </c>
      <c r="X11" s="13">
        <v>-0.12925968526374843</v>
      </c>
      <c r="Y11" s="13">
        <v>-0.14280886881468516</v>
      </c>
      <c r="Z11" s="13">
        <v>-0.13642440357154895</v>
      </c>
      <c r="AA11" s="13">
        <v>-0.14323736545507965</v>
      </c>
      <c r="AB11" s="13">
        <v>-0.13294326383679853</v>
      </c>
      <c r="AC11" s="13">
        <v>-0.14922965879627223</v>
      </c>
      <c r="AD11" s="13">
        <v>-0.12308317832762322</v>
      </c>
      <c r="AE11" s="13">
        <v>-0.13206659623241832</v>
      </c>
    </row>
    <row r="12" spans="1:31" x14ac:dyDescent="0.25">
      <c r="B12" s="12" t="s">
        <v>59</v>
      </c>
      <c r="C12" s="13">
        <f>AVERAGE(C97:U97)</f>
        <v>-0.1994973699203991</v>
      </c>
      <c r="D12" s="13">
        <f>AVERAGE(V97:AD97)</f>
        <v>-0.36273742593852648</v>
      </c>
      <c r="E12" s="13">
        <f>AVERAGE(AE97:AJ97)</f>
        <v>-0.33267095066511371</v>
      </c>
      <c r="G12" s="11" t="s">
        <v>59</v>
      </c>
      <c r="H12" s="13">
        <v>-0.17268361266105617</v>
      </c>
      <c r="I12" s="13">
        <v>-0.18703201238168163</v>
      </c>
      <c r="J12" s="13">
        <v>-0.19641352105420865</v>
      </c>
      <c r="K12" s="13">
        <v>-0.19971579982622309</v>
      </c>
      <c r="L12" s="13">
        <v>-0.18687453603071552</v>
      </c>
      <c r="M12" s="13">
        <v>-0.19166011968617444</v>
      </c>
      <c r="N12" s="13">
        <v>-0.18020794275301139</v>
      </c>
      <c r="O12" s="13">
        <v>-0.17364578120401372</v>
      </c>
      <c r="P12" s="13">
        <v>-0.19222070788968881</v>
      </c>
      <c r="Q12" s="13">
        <v>-0.20557201520959378</v>
      </c>
      <c r="R12" s="13">
        <v>-0.18794903038555447</v>
      </c>
      <c r="S12" s="13">
        <v>-0.17842790063202024</v>
      </c>
      <c r="T12" s="13">
        <v>-0.19055775677763648</v>
      </c>
      <c r="U12" s="13">
        <v>-0.16820293026870869</v>
      </c>
      <c r="V12" s="13">
        <v>-0.17457843005618179</v>
      </c>
      <c r="W12" s="13">
        <v>-0.18822753635295492</v>
      </c>
      <c r="X12" s="13">
        <v>-0.18695379417806318</v>
      </c>
      <c r="Y12" s="13">
        <v>-0.1785949917834655</v>
      </c>
      <c r="Z12" s="13">
        <v>-0.19011142809480971</v>
      </c>
      <c r="AA12" s="13">
        <v>-0.18859634716780724</v>
      </c>
      <c r="AB12" s="13">
        <v>-0.18476685209627955</v>
      </c>
      <c r="AC12" s="13">
        <v>-0.18808133847250152</v>
      </c>
      <c r="AD12" s="13">
        <v>-0.18307852999269414</v>
      </c>
      <c r="AE12" s="13">
        <v>-0.18036404576790416</v>
      </c>
    </row>
    <row r="13" spans="1:31" x14ac:dyDescent="0.25">
      <c r="B13" s="12" t="s">
        <v>60</v>
      </c>
      <c r="C13" s="13">
        <f>AVERAGE(C98:U98)</f>
        <v>-0.2019278383009328</v>
      </c>
      <c r="D13" s="13">
        <f>AVERAGE(V98:AD98)</f>
        <v>-0.19326467923308391</v>
      </c>
      <c r="E13" s="13">
        <f>AVERAGE(AE98:AJ98)</f>
        <v>-0.18076941300677588</v>
      </c>
      <c r="G13" s="11" t="s">
        <v>60</v>
      </c>
      <c r="H13" s="13">
        <v>-0.20508698008663806</v>
      </c>
      <c r="I13" s="13">
        <v>-0.20819161829445693</v>
      </c>
      <c r="J13" s="13">
        <v>-0.216480775188472</v>
      </c>
      <c r="K13" s="13">
        <v>-0.25178044852512116</v>
      </c>
      <c r="L13" s="13">
        <v>-0.26554407111912248</v>
      </c>
      <c r="M13" s="13">
        <v>-0.2602003651568815</v>
      </c>
      <c r="N13" s="13">
        <v>-0.24087206475725539</v>
      </c>
      <c r="O13" s="13">
        <v>-0.26687523948583552</v>
      </c>
      <c r="P13" s="13">
        <v>-0.27484777160558771</v>
      </c>
      <c r="Q13" s="13">
        <v>-0.26145744644101077</v>
      </c>
      <c r="R13" s="13">
        <v>-0.31125792932458207</v>
      </c>
      <c r="S13" s="13">
        <v>-0.30317951316197694</v>
      </c>
      <c r="T13" s="13">
        <v>-0.37175377271841015</v>
      </c>
      <c r="U13" s="13">
        <v>-0.39334429074421284</v>
      </c>
      <c r="V13" s="13">
        <v>-0.40347341352555599</v>
      </c>
      <c r="W13" s="13">
        <v>-0.40083703014535765</v>
      </c>
      <c r="X13" s="13">
        <v>-0.42080045343565281</v>
      </c>
      <c r="Y13" s="13">
        <v>-0.39853298394997866</v>
      </c>
      <c r="Z13" s="13">
        <v>-0.35108076773315061</v>
      </c>
      <c r="AA13" s="13">
        <v>-0.37012941342924655</v>
      </c>
      <c r="AB13" s="13">
        <v>-0.35690033782428077</v>
      </c>
      <c r="AC13" s="13">
        <v>-0.34223259175836984</v>
      </c>
      <c r="AD13" s="13">
        <v>-0.28435973978306583</v>
      </c>
      <c r="AE13" s="13">
        <v>-0.29132285346256892</v>
      </c>
    </row>
    <row r="14" spans="1:31" x14ac:dyDescent="0.25">
      <c r="B14" s="12" t="s">
        <v>61</v>
      </c>
      <c r="C14" s="13">
        <f>AVERAGE(C99:U99)</f>
        <v>-1.0880995070031414</v>
      </c>
      <c r="D14" s="13">
        <f>AVERAGE(V99:AD99)</f>
        <v>-0.55004862892583495</v>
      </c>
      <c r="E14" s="13">
        <f>AVERAGE(AE99:AJ99)</f>
        <v>-2.6785215955424637</v>
      </c>
      <c r="G14" s="11" t="s">
        <v>61</v>
      </c>
      <c r="H14" s="13">
        <v>-0.23885839848221874</v>
      </c>
      <c r="I14" s="13">
        <v>-0.18250128083138398</v>
      </c>
      <c r="J14" s="13">
        <v>-0.21342211515336504</v>
      </c>
      <c r="K14" s="13">
        <v>-0.22085962672693568</v>
      </c>
      <c r="L14" s="13">
        <v>-0.23313140865218429</v>
      </c>
      <c r="M14" s="13">
        <v>-0.22508238371727285</v>
      </c>
      <c r="N14" s="13">
        <v>-0.26948107563625157</v>
      </c>
      <c r="O14" s="13">
        <v>-0.27847876222010021</v>
      </c>
      <c r="P14" s="13">
        <v>-0.25167844090354641</v>
      </c>
      <c r="Q14" s="13">
        <v>-0.22906633370329418</v>
      </c>
      <c r="R14" s="13">
        <v>-0.20545562839287196</v>
      </c>
      <c r="S14" s="13">
        <v>-0.19329271285890981</v>
      </c>
      <c r="T14" s="13">
        <v>-0.17804958247577615</v>
      </c>
      <c r="U14" s="13">
        <v>-0.18011988355879893</v>
      </c>
      <c r="V14" s="13">
        <v>-0.16948863213355186</v>
      </c>
      <c r="W14" s="13">
        <v>-0.18857777911023213</v>
      </c>
      <c r="X14" s="13">
        <v>-0.19603567584950451</v>
      </c>
      <c r="Y14" s="13">
        <v>-0.19929588501481554</v>
      </c>
      <c r="Z14" s="13">
        <v>-0.18015431885332756</v>
      </c>
      <c r="AA14" s="13">
        <v>-0.17634271908998503</v>
      </c>
      <c r="AB14" s="13">
        <v>-0.18065140755548986</v>
      </c>
      <c r="AC14" s="13">
        <v>-0.18740074769000312</v>
      </c>
      <c r="AD14" s="13">
        <v>-0.16829948777910209</v>
      </c>
      <c r="AE14" s="13">
        <v>-0.1917677970727476</v>
      </c>
    </row>
    <row r="15" spans="1:31" x14ac:dyDescent="0.25">
      <c r="B15" s="12" t="s">
        <v>62</v>
      </c>
      <c r="C15" s="13">
        <f>AVERAGE(C100:U100)</f>
        <v>-0.14293590818839993</v>
      </c>
      <c r="D15" s="13">
        <f>AVERAGE(V100:AD100)</f>
        <v>-0.12270673458743864</v>
      </c>
      <c r="E15" s="13">
        <f>AVERAGE(AE100:AJ100)</f>
        <v>-0.11504123605064441</v>
      </c>
      <c r="G15" s="11" t="s">
        <v>62</v>
      </c>
      <c r="H15" s="13">
        <v>-0.73674165122952429</v>
      </c>
      <c r="I15" s="13">
        <v>-0.68218643652684618</v>
      </c>
      <c r="J15" s="13">
        <v>-0.6577170602136686</v>
      </c>
      <c r="K15" s="13">
        <v>-0.69277556745826885</v>
      </c>
      <c r="L15" s="13">
        <v>-0.7321317813061281</v>
      </c>
      <c r="M15" s="13">
        <v>-0.76097626150137421</v>
      </c>
      <c r="N15" s="13">
        <v>-0.79670230995311664</v>
      </c>
      <c r="O15" s="13">
        <v>-0.87666233600733479</v>
      </c>
      <c r="P15" s="13">
        <v>-0.80506856715273101</v>
      </c>
      <c r="Q15" s="13">
        <v>-0.76633772203677208</v>
      </c>
      <c r="R15" s="13">
        <v>-0.72238946046984398</v>
      </c>
      <c r="S15" s="13">
        <v>-0.72829088852586632</v>
      </c>
      <c r="T15" s="13">
        <v>-0.77973932653966449</v>
      </c>
      <c r="U15" s="13">
        <v>-0.80833251860105582</v>
      </c>
      <c r="V15" s="13">
        <v>-0.27582518710560194</v>
      </c>
      <c r="W15" s="13">
        <v>-0.29009548257268242</v>
      </c>
      <c r="X15" s="13">
        <v>-0.28883708598253433</v>
      </c>
      <c r="Y15" s="13">
        <v>-0.29058998849849366</v>
      </c>
      <c r="Z15" s="13">
        <v>-0.31262112315751117</v>
      </c>
      <c r="AA15" s="13">
        <v>-1.945352189658381</v>
      </c>
      <c r="AB15" s="13">
        <v>-2.1099513561243346</v>
      </c>
      <c r="AC15" s="13">
        <v>-2.873831674330106</v>
      </c>
      <c r="AD15" s="13">
        <v>-4.470941823626986</v>
      </c>
      <c r="AE15" s="13">
        <v>-4.3584314063574645</v>
      </c>
    </row>
    <row r="16" spans="1:31" x14ac:dyDescent="0.25">
      <c r="B16" s="12" t="s">
        <v>50</v>
      </c>
      <c r="C16" s="13">
        <f>AVERAGE(C93:U93)</f>
        <v>-0.17255954237013535</v>
      </c>
      <c r="D16" s="13">
        <f>AVERAGE(V93:AD93)</f>
        <v>-0.16685905872294285</v>
      </c>
      <c r="E16" s="13">
        <f>AVERAGE(AE93:AJ93)</f>
        <v>-0.11835139949158313</v>
      </c>
      <c r="G16" s="11" t="s">
        <v>50</v>
      </c>
      <c r="H16" s="13">
        <v>-0.1525905407001</v>
      </c>
      <c r="I16" s="13">
        <v>-0.14923155636438662</v>
      </c>
      <c r="J16" s="13">
        <v>-0.14782480723802777</v>
      </c>
      <c r="K16" s="13">
        <v>-0.15054541580981481</v>
      </c>
      <c r="L16" s="13">
        <v>-0.14595937961649838</v>
      </c>
      <c r="M16" s="13">
        <v>-0.14258456442655901</v>
      </c>
      <c r="N16" s="13">
        <v>-0.13427819429263571</v>
      </c>
      <c r="O16" s="13">
        <v>-0.13326259673469656</v>
      </c>
      <c r="P16" s="13">
        <v>-0.12555852273165394</v>
      </c>
      <c r="Q16" s="13">
        <v>-0.12095163374138586</v>
      </c>
      <c r="R16" s="13">
        <v>-0.12235222268553717</v>
      </c>
      <c r="S16" s="13">
        <v>-0.12449611532417897</v>
      </c>
      <c r="T16" s="13">
        <v>-0.13020302942809817</v>
      </c>
      <c r="U16" s="13">
        <v>-0.12408249588788146</v>
      </c>
      <c r="V16" s="13">
        <v>-0.12149109968468029</v>
      </c>
      <c r="W16" s="13">
        <v>-0.12283158532003514</v>
      </c>
      <c r="X16" s="13">
        <v>-0.12086216908929033</v>
      </c>
      <c r="Y16" s="13">
        <v>-0.11709026012586024</v>
      </c>
      <c r="Z16" s="13">
        <v>-0.11529379298443168</v>
      </c>
      <c r="AA16" s="13">
        <v>-0.1127923813841412</v>
      </c>
      <c r="AB16" s="13">
        <v>-0.1119837464043961</v>
      </c>
      <c r="AC16" s="13">
        <v>-0.118246372973193</v>
      </c>
      <c r="AD16" s="13">
        <v>-0.11592953880612886</v>
      </c>
      <c r="AE16" s="13">
        <v>-0.11600158375157565</v>
      </c>
    </row>
    <row r="21" spans="2:36" ht="15.75" x14ac:dyDescent="0.25">
      <c r="C21" s="9" t="s">
        <v>21</v>
      </c>
      <c r="D21" s="10"/>
      <c r="E21" s="10"/>
      <c r="F21" s="10"/>
      <c r="G21" s="10"/>
    </row>
    <row r="22" spans="2:36" x14ac:dyDescent="0.25">
      <c r="B22" t="s">
        <v>22</v>
      </c>
    </row>
    <row r="23" spans="2:36" s="6" customFormat="1" x14ac:dyDescent="0.25">
      <c r="B23" s="6" t="s">
        <v>23</v>
      </c>
      <c r="C23" s="6">
        <v>1990</v>
      </c>
      <c r="D23" s="6">
        <v>1991</v>
      </c>
      <c r="E23" s="6">
        <v>1992</v>
      </c>
      <c r="F23" s="6">
        <v>1993</v>
      </c>
      <c r="G23" s="6">
        <v>1994</v>
      </c>
      <c r="H23" s="6">
        <v>1995</v>
      </c>
      <c r="I23" s="6">
        <v>1996</v>
      </c>
      <c r="J23" s="6">
        <v>1997</v>
      </c>
      <c r="K23" s="6">
        <v>1998</v>
      </c>
      <c r="L23" s="6">
        <v>1999</v>
      </c>
      <c r="M23" s="6">
        <v>2000</v>
      </c>
      <c r="N23" s="6">
        <v>2001</v>
      </c>
      <c r="O23" s="6">
        <v>2002</v>
      </c>
      <c r="P23" s="6">
        <v>2003</v>
      </c>
      <c r="Q23" s="6">
        <v>2004</v>
      </c>
      <c r="R23" s="6">
        <v>2005</v>
      </c>
      <c r="S23" s="6">
        <v>2006</v>
      </c>
      <c r="T23" s="6">
        <v>2007</v>
      </c>
      <c r="U23" s="6">
        <v>2008</v>
      </c>
      <c r="V23" s="6">
        <v>2009</v>
      </c>
      <c r="W23" s="6">
        <v>2010</v>
      </c>
      <c r="X23" s="6">
        <v>2011</v>
      </c>
      <c r="Y23" s="6">
        <v>2012</v>
      </c>
      <c r="Z23" s="6">
        <v>2013</v>
      </c>
      <c r="AA23" s="6">
        <v>2014</v>
      </c>
      <c r="AB23" s="6">
        <v>2015</v>
      </c>
      <c r="AC23" s="6">
        <v>2016</v>
      </c>
      <c r="AD23" s="6">
        <v>2017</v>
      </c>
      <c r="AE23" s="6">
        <v>2018</v>
      </c>
      <c r="AF23" s="6">
        <v>2019</v>
      </c>
      <c r="AG23" s="6">
        <v>2020</v>
      </c>
      <c r="AH23" s="6">
        <v>2021</v>
      </c>
      <c r="AI23" s="6">
        <v>2022</v>
      </c>
      <c r="AJ23" s="6">
        <v>2023</v>
      </c>
    </row>
    <row r="24" spans="2:36" x14ac:dyDescent="0.25">
      <c r="B24" t="s">
        <v>24</v>
      </c>
      <c r="C24" s="7">
        <f>'pivot tables'!D40/'pivot tables'!D7</f>
        <v>0.62546484658120483</v>
      </c>
      <c r="D24" s="7">
        <f>'pivot tables'!E40/'pivot tables'!E7</f>
        <v>0.56221324543524775</v>
      </c>
      <c r="E24" s="7">
        <f>'pivot tables'!F40/'pivot tables'!F7</f>
        <v>0.5487055510106279</v>
      </c>
      <c r="F24" s="7">
        <f>'pivot tables'!G40/'pivot tables'!G7</f>
        <v>0.54027307769325805</v>
      </c>
      <c r="G24" s="7">
        <f>'pivot tables'!H40/'pivot tables'!H7</f>
        <v>0.61211409785950832</v>
      </c>
      <c r="H24" s="7">
        <f>'pivot tables'!I40/'pivot tables'!I7</f>
        <v>0.61904805161770537</v>
      </c>
      <c r="I24" s="7">
        <f>'pivot tables'!J40/'pivot tables'!J7</f>
        <v>0.65489671078168643</v>
      </c>
      <c r="J24" s="7">
        <f>'pivot tables'!K40/'pivot tables'!K7</f>
        <v>0.64302803831166355</v>
      </c>
      <c r="K24" s="7">
        <f>'pivot tables'!L40/'pivot tables'!L7</f>
        <v>0.64277158805291457</v>
      </c>
      <c r="L24" s="7">
        <f>'pivot tables'!M40/'pivot tables'!M7</f>
        <v>0.59952441136582146</v>
      </c>
      <c r="M24" s="7">
        <f>'pivot tables'!N40/'pivot tables'!N7</f>
        <v>0.5944342702899067</v>
      </c>
      <c r="N24" s="7">
        <f>'pivot tables'!O40/'pivot tables'!O7</f>
        <v>0.65230351080259463</v>
      </c>
      <c r="O24" s="7">
        <f>'pivot tables'!P40/'pivot tables'!P7</f>
        <v>0.72412905367008029</v>
      </c>
      <c r="P24" s="7">
        <f>'pivot tables'!Q40/'pivot tables'!Q7</f>
        <v>0.77809651208567832</v>
      </c>
      <c r="Q24" s="7">
        <f>'pivot tables'!R40/'pivot tables'!R7</f>
        <v>0.73722092615152368</v>
      </c>
      <c r="R24" s="7">
        <f>'pivot tables'!S40/'pivot tables'!S7</f>
        <v>0.74720109168844639</v>
      </c>
      <c r="S24" s="7">
        <f>'pivot tables'!T40/'pivot tables'!T7</f>
        <v>0.78193496306980759</v>
      </c>
      <c r="T24" s="7">
        <f>'pivot tables'!U40/'pivot tables'!U7</f>
        <v>0.88266785681415127</v>
      </c>
      <c r="U24" s="7">
        <f>'pivot tables'!V40/'pivot tables'!V7</f>
        <v>0.88051417365219542</v>
      </c>
      <c r="V24" s="7">
        <f>'pivot tables'!W40/'pivot tables'!W7</f>
        <v>0.63674741636598875</v>
      </c>
      <c r="W24" s="7">
        <f>'pivot tables'!X40/'pivot tables'!X7</f>
        <v>0.72624140743115606</v>
      </c>
      <c r="X24" s="7">
        <f>'pivot tables'!Y40/'pivot tables'!Y7</f>
        <v>0.7475778475827467</v>
      </c>
      <c r="Y24" s="7">
        <f>'pivot tables'!Z40/'pivot tables'!Z7</f>
        <v>0.70830155930795158</v>
      </c>
      <c r="Z24" s="7">
        <f>'pivot tables'!AA40/'pivot tables'!AA7</f>
        <v>0.64425439978590204</v>
      </c>
      <c r="AA24" s="7">
        <f>'pivot tables'!AB40/'pivot tables'!AB7</f>
        <v>0.65667930117939965</v>
      </c>
      <c r="AB24" s="7">
        <f>'pivot tables'!AC40/'pivot tables'!AC7</f>
        <v>0.64612017173447633</v>
      </c>
      <c r="AC24" s="7">
        <f>'pivot tables'!AD40/'pivot tables'!AD7</f>
        <v>0.63478636426120716</v>
      </c>
      <c r="AD24" s="7">
        <f>'pivot tables'!AE40/'pivot tables'!AE7</f>
        <v>0.67270062898005933</v>
      </c>
      <c r="AE24" s="7">
        <f>'pivot tables'!AF40/'pivot tables'!AF7</f>
        <v>0.69209753938278695</v>
      </c>
      <c r="AF24" s="7">
        <f>'pivot tables'!AG40/'pivot tables'!AG7</f>
        <v>0.66024148737507893</v>
      </c>
      <c r="AG24" s="7">
        <f>'pivot tables'!AH40/'pivot tables'!AH7</f>
        <v>0.56409375609278944</v>
      </c>
      <c r="AH24" s="7">
        <f>'pivot tables'!AI40/'pivot tables'!AI7</f>
        <v>0.68263061205398756</v>
      </c>
      <c r="AI24" s="7">
        <f>'pivot tables'!AJ40/'pivot tables'!AJ7</f>
        <v>0.69600250384371165</v>
      </c>
      <c r="AJ24" s="7">
        <f>'pivot tables'!AK40/'pivot tables'!AK7</f>
        <v>0.60614888650938403</v>
      </c>
    </row>
    <row r="25" spans="2:36" x14ac:dyDescent="0.25">
      <c r="B25" t="s">
        <v>25</v>
      </c>
      <c r="C25" s="8">
        <f>'pivot tables'!D41/'pivot tables'!D8/1000</f>
        <v>0.99867325378043781</v>
      </c>
      <c r="D25" s="8">
        <f>'pivot tables'!E41/'pivot tables'!E8/1000</f>
        <v>0.8576247427978595</v>
      </c>
      <c r="E25" s="8">
        <f>'pivot tables'!F41/'pivot tables'!F8/1000</f>
        <v>0.8098997343644152</v>
      </c>
      <c r="F25" s="8">
        <f>'pivot tables'!G41/'pivot tables'!G8/1000</f>
        <v>0.83254549908260422</v>
      </c>
      <c r="G25" s="8">
        <f>'pivot tables'!H41/'pivot tables'!H8/1000</f>
        <v>0.75346372912557702</v>
      </c>
      <c r="H25" s="8">
        <f>'pivot tables'!I41/'pivot tables'!I8/1000</f>
        <v>0.85897321257371118</v>
      </c>
      <c r="I25" s="8">
        <f>'pivot tables'!J41/'pivot tables'!J8/1000</f>
        <v>0.95518284375973195</v>
      </c>
      <c r="J25" s="8">
        <f>'pivot tables'!K41/'pivot tables'!K8/1000</f>
        <v>0.79228688899412392</v>
      </c>
      <c r="K25" s="8">
        <f>'pivot tables'!L41/'pivot tables'!L8/1000</f>
        <v>1.0207485603884099</v>
      </c>
      <c r="L25" s="8">
        <f>'pivot tables'!M41/'pivot tables'!M8/1000</f>
        <v>0.8342065270673219</v>
      </c>
      <c r="M25" s="8">
        <f>'pivot tables'!N41/'pivot tables'!N8/1000</f>
        <v>0.653394692823967</v>
      </c>
      <c r="N25" s="8">
        <f>'pivot tables'!O41/'pivot tables'!O8/1000</f>
        <v>0.57161272143907937</v>
      </c>
      <c r="O25" s="8">
        <f>'pivot tables'!P41/'pivot tables'!P8/1000</f>
        <v>0.84065800130150625</v>
      </c>
      <c r="P25" s="8">
        <f>'pivot tables'!Q41/'pivot tables'!Q8/1000</f>
        <v>0.80386107140577456</v>
      </c>
      <c r="Q25" s="8">
        <f>'pivot tables'!R41/'pivot tables'!R8/1000</f>
        <v>0.75451371060959183</v>
      </c>
      <c r="R25" s="8">
        <f>'pivot tables'!S41/'pivot tables'!S8/1000</f>
        <v>0.78914435551196804</v>
      </c>
      <c r="S25" s="8">
        <f>'pivot tables'!T41/'pivot tables'!T8/1000</f>
        <v>0.78813926835622228</v>
      </c>
      <c r="T25" s="8">
        <f>'pivot tables'!U41/'pivot tables'!U8/1000</f>
        <v>0.67930611994500611</v>
      </c>
      <c r="U25" s="8">
        <f>'pivot tables'!V41/'pivot tables'!V8/1000</f>
        <v>0.65955113965365997</v>
      </c>
      <c r="V25" s="8">
        <f>'pivot tables'!W41/'pivot tables'!W8/1000</f>
        <v>0.59912508820893517</v>
      </c>
      <c r="W25" s="8">
        <f>'pivot tables'!X41/'pivot tables'!X8/1000</f>
        <v>0.49769365448007802</v>
      </c>
      <c r="X25" s="8">
        <f>'pivot tables'!Y41/'pivot tables'!Y8/1000</f>
        <v>0.47917486383392338</v>
      </c>
      <c r="Y25" s="8">
        <f>'pivot tables'!Z41/'pivot tables'!Z8/1000</f>
        <v>0.47226313869549902</v>
      </c>
      <c r="Z25" s="8">
        <f>'pivot tables'!AA41/'pivot tables'!AA8/1000</f>
        <v>0.52948163375584512</v>
      </c>
      <c r="AA25" s="8">
        <f>'pivot tables'!AB41/'pivot tables'!AB8/1000</f>
        <v>0.54706163897628368</v>
      </c>
      <c r="AB25" s="8">
        <f>'pivot tables'!AC41/'pivot tables'!AC8/1000</f>
        <v>0.5680462669677887</v>
      </c>
      <c r="AC25" s="8">
        <f>'pivot tables'!AD41/'pivot tables'!AD8/1000</f>
        <v>0.5611298519762844</v>
      </c>
      <c r="AD25" s="8">
        <f>'pivot tables'!AE41/'pivot tables'!AE8/1000</f>
        <v>0.51293268535084302</v>
      </c>
      <c r="AE25" s="8">
        <f>'pivot tables'!AF41/'pivot tables'!AF8/1000</f>
        <v>0.51055089900725414</v>
      </c>
      <c r="AF25" s="8">
        <f>'pivot tables'!AG41/'pivot tables'!AG8/1000</f>
        <v>0.46669554555582238</v>
      </c>
      <c r="AG25" s="8">
        <f>'pivot tables'!AH41/'pivot tables'!AH8/1000</f>
        <v>0.46249415999335419</v>
      </c>
      <c r="AH25" s="8">
        <f>'pivot tables'!AI41/'pivot tables'!AI8/1000</f>
        <v>0.44034550230110631</v>
      </c>
      <c r="AI25" s="8">
        <f>'pivot tables'!AJ41/'pivot tables'!AJ8/1000</f>
        <v>0.51084439844367846</v>
      </c>
      <c r="AJ25" s="8">
        <f>'pivot tables'!AK41/'pivot tables'!AK8/1000</f>
        <v>0.43340094184490668</v>
      </c>
    </row>
    <row r="26" spans="2:36" x14ac:dyDescent="0.25">
      <c r="B26" t="s">
        <v>26</v>
      </c>
      <c r="C26" s="7">
        <f>'pivot tables'!D42/'pivot tables'!D9</f>
        <v>0.11862676244423102</v>
      </c>
      <c r="D26" s="7">
        <f>'pivot tables'!E42/'pivot tables'!E9</f>
        <v>0.10936028909049447</v>
      </c>
      <c r="E26" s="7">
        <f>'pivot tables'!F42/'pivot tables'!F9</f>
        <v>5.4903366158297121E-2</v>
      </c>
      <c r="F26" s="7">
        <f>'pivot tables'!G42/'pivot tables'!G9</f>
        <v>4.7017160999022846E-2</v>
      </c>
      <c r="G26" s="7">
        <f>'pivot tables'!H42/'pivot tables'!H9</f>
        <v>4.8233210731363052E-2</v>
      </c>
      <c r="H26" s="7">
        <f>'pivot tables'!I42/'pivot tables'!I9</f>
        <v>5.0124448748026199E-2</v>
      </c>
      <c r="I26" s="7">
        <f>'pivot tables'!J42/'pivot tables'!J9</f>
        <v>5.7500468645004396E-2</v>
      </c>
      <c r="J26" s="7">
        <f>'pivot tables'!K42/'pivot tables'!K9</f>
        <v>6.2258250650979653E-2</v>
      </c>
      <c r="K26" s="7">
        <f>'pivot tables'!L42/'pivot tables'!L9</f>
        <v>5.6265177264281103E-2</v>
      </c>
      <c r="L26" s="7">
        <f>'pivot tables'!M42/'pivot tables'!M9</f>
        <v>7.1648281740131728E-2</v>
      </c>
      <c r="M26" s="7">
        <f>'pivot tables'!N42/'pivot tables'!N9</f>
        <v>9.0539483333207368E-2</v>
      </c>
      <c r="N26" s="7">
        <f>'pivot tables'!O42/'pivot tables'!O9</f>
        <v>9.6181814776078942E-2</v>
      </c>
      <c r="O26" s="7">
        <f>'pivot tables'!P42/'pivot tables'!P9</f>
        <v>0.10661681743879034</v>
      </c>
      <c r="P26" s="7">
        <f>'pivot tables'!Q42/'pivot tables'!Q9</f>
        <v>0.10559892342598645</v>
      </c>
      <c r="Q26" s="7">
        <f>'pivot tables'!R42/'pivot tables'!R9</f>
        <v>0.14008558442347302</v>
      </c>
      <c r="R26" s="7">
        <f>'pivot tables'!S42/'pivot tables'!S9</f>
        <v>0.15392835127414312</v>
      </c>
      <c r="S26" s="7">
        <f>'pivot tables'!T42/'pivot tables'!T9</f>
        <v>0.15426136704965274</v>
      </c>
      <c r="T26" s="7">
        <f>'pivot tables'!U42/'pivot tables'!U9</f>
        <v>0.21545186991218099</v>
      </c>
      <c r="U26" s="7">
        <f>'pivot tables'!V42/'pivot tables'!V9</f>
        <v>0.16262794382261742</v>
      </c>
      <c r="V26" s="7">
        <f>'pivot tables'!W42/'pivot tables'!W9</f>
        <v>0.1600693263035296</v>
      </c>
      <c r="W26" s="7">
        <f>'pivot tables'!X42/'pivot tables'!X9</f>
        <v>0.16773085672715377</v>
      </c>
      <c r="X26" s="7">
        <f>'pivot tables'!Y42/'pivot tables'!Y9</f>
        <v>0.19222550509059114</v>
      </c>
      <c r="Y26" s="7">
        <f>'pivot tables'!Z42/'pivot tables'!Z9</f>
        <v>0.19247300003210283</v>
      </c>
      <c r="Z26" s="7">
        <f>'pivot tables'!AA42/'pivot tables'!AA9</f>
        <v>0.18811627864628841</v>
      </c>
      <c r="AA26" s="7">
        <f>'pivot tables'!AB42/'pivot tables'!AB9</f>
        <v>0.19388234881092398</v>
      </c>
      <c r="AB26" s="7">
        <f>'pivot tables'!AC42/'pivot tables'!AC9</f>
        <v>0.21655456927586597</v>
      </c>
      <c r="AC26" s="7">
        <f>'pivot tables'!AD42/'pivot tables'!AD9</f>
        <v>0.19252198761152811</v>
      </c>
      <c r="AD26" s="7">
        <f>'pivot tables'!AE42/'pivot tables'!AE9</f>
        <v>0.21252154431445319</v>
      </c>
      <c r="AE26" s="7">
        <f>'pivot tables'!AF42/'pivot tables'!AF9</f>
        <v>0.21058815411924009</v>
      </c>
      <c r="AF26" s="7">
        <f>'pivot tables'!AG42/'pivot tables'!AG9</f>
        <v>0.20121093504783744</v>
      </c>
      <c r="AG26" s="7">
        <f>'pivot tables'!AH42/'pivot tables'!AH9</f>
        <v>0.21766083919579005</v>
      </c>
      <c r="AH26" s="7">
        <f>'pivot tables'!AI42/'pivot tables'!AI9</f>
        <v>0.22081136056764872</v>
      </c>
      <c r="AI26" s="7">
        <f>'pivot tables'!AJ42/'pivot tables'!AJ9</f>
        <v>0.21076849468183095</v>
      </c>
      <c r="AJ26" s="7">
        <f>'pivot tables'!AK42/'pivot tables'!AK9</f>
        <v>0.23181709894129732</v>
      </c>
    </row>
    <row r="27" spans="2:36" x14ac:dyDescent="0.25">
      <c r="B27" t="s">
        <v>27</v>
      </c>
      <c r="C27" s="7">
        <f>'pivot tables'!D43/'pivot tables'!D10</f>
        <v>0</v>
      </c>
      <c r="D27" s="7">
        <f>'pivot tables'!E43/'pivot tables'!E10</f>
        <v>0</v>
      </c>
      <c r="E27" s="7">
        <f>'pivot tables'!F43/'pivot tables'!F10</f>
        <v>0</v>
      </c>
      <c r="F27" s="7">
        <f>'pivot tables'!G43/'pivot tables'!G10</f>
        <v>0</v>
      </c>
      <c r="G27" s="7">
        <f>'pivot tables'!H43/'pivot tables'!H10</f>
        <v>0</v>
      </c>
      <c r="H27" s="7">
        <f>'pivot tables'!I43/'pivot tables'!I10</f>
        <v>0</v>
      </c>
      <c r="I27" s="7">
        <f>'pivot tables'!J43/'pivot tables'!J10</f>
        <v>0</v>
      </c>
      <c r="J27" s="7">
        <f>'pivot tables'!K43/'pivot tables'!K10</f>
        <v>0</v>
      </c>
      <c r="K27" s="7">
        <f>'pivot tables'!L43/'pivot tables'!L10</f>
        <v>0</v>
      </c>
      <c r="L27" s="7">
        <f>'pivot tables'!M43/'pivot tables'!M10</f>
        <v>0</v>
      </c>
      <c r="M27" s="7">
        <f>'pivot tables'!N43/'pivot tables'!N10</f>
        <v>0</v>
      </c>
      <c r="N27" s="7">
        <f>'pivot tables'!O43/'pivot tables'!O10</f>
        <v>0</v>
      </c>
      <c r="O27" s="7">
        <f>'pivot tables'!P43/'pivot tables'!P10</f>
        <v>0</v>
      </c>
      <c r="P27" s="7">
        <f>'pivot tables'!Q43/'pivot tables'!Q10</f>
        <v>0</v>
      </c>
      <c r="Q27" s="7">
        <f>'pivot tables'!R43/'pivot tables'!R10</f>
        <v>0</v>
      </c>
      <c r="R27" s="7">
        <f>'pivot tables'!S43/'pivot tables'!S10</f>
        <v>0</v>
      </c>
      <c r="S27" s="7">
        <f>'pivot tables'!T43/'pivot tables'!T10</f>
        <v>0</v>
      </c>
      <c r="T27" s="7">
        <f>'pivot tables'!U43/'pivot tables'!U10</f>
        <v>0</v>
      </c>
      <c r="U27" s="7">
        <f>'pivot tables'!V43/'pivot tables'!V10</f>
        <v>0</v>
      </c>
      <c r="V27" s="7">
        <f>'pivot tables'!W43/'pivot tables'!W10</f>
        <v>0</v>
      </c>
      <c r="W27" s="7">
        <f>'pivot tables'!X43/'pivot tables'!X10</f>
        <v>0</v>
      </c>
      <c r="X27" s="7">
        <f>'pivot tables'!Y43/'pivot tables'!Y10</f>
        <v>0</v>
      </c>
      <c r="Y27" s="7">
        <f>'pivot tables'!Z43/'pivot tables'!Z10</f>
        <v>0</v>
      </c>
      <c r="Z27" s="7">
        <f>'pivot tables'!AA43/'pivot tables'!AA10</f>
        <v>0</v>
      </c>
      <c r="AA27" s="7">
        <f>'pivot tables'!AB43/'pivot tables'!AB10</f>
        <v>0</v>
      </c>
      <c r="AB27" s="7">
        <f>'pivot tables'!AC43/'pivot tables'!AC10</f>
        <v>0</v>
      </c>
      <c r="AC27" s="7">
        <f>'pivot tables'!AD43/'pivot tables'!AD10</f>
        <v>0</v>
      </c>
      <c r="AD27" s="7">
        <f>'pivot tables'!AE43/'pivot tables'!AE10</f>
        <v>0</v>
      </c>
      <c r="AE27" s="7">
        <f>'pivot tables'!AF43/'pivot tables'!AF10</f>
        <v>0</v>
      </c>
      <c r="AF27" s="7">
        <f>'pivot tables'!AG43/'pivot tables'!AG10</f>
        <v>0</v>
      </c>
      <c r="AG27" s="7">
        <f>'pivot tables'!AH43/'pivot tables'!AH10</f>
        <v>0</v>
      </c>
      <c r="AH27" s="7">
        <f>'pivot tables'!AI43/'pivot tables'!AI10</f>
        <v>0</v>
      </c>
      <c r="AI27" s="7">
        <f>'pivot tables'!AJ43/'pivot tables'!AJ10</f>
        <v>0</v>
      </c>
      <c r="AJ27" s="7">
        <f>'pivot tables'!AK43/'pivot tables'!AK10</f>
        <v>0</v>
      </c>
    </row>
    <row r="28" spans="2:36" x14ac:dyDescent="0.25">
      <c r="B28" t="s">
        <v>28</v>
      </c>
      <c r="C28" s="7">
        <f>'pivot tables'!D44/'pivot tables'!D11</f>
        <v>0.56004075538068132</v>
      </c>
      <c r="D28" s="7">
        <f>'pivot tables'!E44/'pivot tables'!E11</f>
        <v>0.42049519771710969</v>
      </c>
      <c r="E28" s="7">
        <f>'pivot tables'!F44/'pivot tables'!F11</f>
        <v>0.29812009044873927</v>
      </c>
      <c r="F28" s="7">
        <f>'pivot tables'!G44/'pivot tables'!G11</f>
        <v>0.3975370100553598</v>
      </c>
      <c r="G28" s="7">
        <f>'pivot tables'!H44/'pivot tables'!H11</f>
        <v>0.40810897865991708</v>
      </c>
      <c r="H28" s="7">
        <f>'pivot tables'!I44/'pivot tables'!I11</f>
        <v>0.44862446864027328</v>
      </c>
      <c r="I28" s="7">
        <f>'pivot tables'!J44/'pivot tables'!J11</f>
        <v>0.44128512809431597</v>
      </c>
      <c r="J28" s="7">
        <f>'pivot tables'!K44/'pivot tables'!K11</f>
        <v>0.44803292318570903</v>
      </c>
      <c r="K28" s="7">
        <f>'pivot tables'!L44/'pivot tables'!L11</f>
        <v>0.42993383364805859</v>
      </c>
      <c r="L28" s="7">
        <f>'pivot tables'!M44/'pivot tables'!M11</f>
        <v>0.44431843706087881</v>
      </c>
      <c r="M28" s="7">
        <f>'pivot tables'!N44/'pivot tables'!N11</f>
        <v>0.49587432247474339</v>
      </c>
      <c r="N28" s="7">
        <f>'pivot tables'!O44/'pivot tables'!O11</f>
        <v>0.49335899762411117</v>
      </c>
      <c r="O28" s="7">
        <f>'pivot tables'!P44/'pivot tables'!P11</f>
        <v>0.48649954443962951</v>
      </c>
      <c r="P28" s="7">
        <f>'pivot tables'!Q44/'pivot tables'!Q11</f>
        <v>0.53102366653655309</v>
      </c>
      <c r="Q28" s="7">
        <f>'pivot tables'!R44/'pivot tables'!R11</f>
        <v>0.54352131658929559</v>
      </c>
      <c r="R28" s="7">
        <f>'pivot tables'!S44/'pivot tables'!S11</f>
        <v>0.53643628000971566</v>
      </c>
      <c r="S28" s="7">
        <f>'pivot tables'!T44/'pivot tables'!T11</f>
        <v>0.64386945514570815</v>
      </c>
      <c r="T28" s="7">
        <f>'pivot tables'!U44/'pivot tables'!U11</f>
        <v>0.70442887501597062</v>
      </c>
      <c r="U28" s="7">
        <f>'pivot tables'!V44/'pivot tables'!V11</f>
        <v>0.61962994618550393</v>
      </c>
      <c r="V28" s="7">
        <f>'pivot tables'!W44/'pivot tables'!W11</f>
        <v>0.51602907791161812</v>
      </c>
      <c r="W28" s="7">
        <f>'pivot tables'!X44/'pivot tables'!X11</f>
        <v>0.57352857784259614</v>
      </c>
      <c r="X28" s="7">
        <f>'pivot tables'!Y44/'pivot tables'!Y11</f>
        <v>0.50571045909169399</v>
      </c>
      <c r="Y28" s="7">
        <f>'pivot tables'!Z44/'pivot tables'!Z11</f>
        <v>0.47617341264089552</v>
      </c>
      <c r="Z28" s="7">
        <f>'pivot tables'!AA44/'pivot tables'!AA11</f>
        <v>0.41271406527200266</v>
      </c>
      <c r="AA28" s="7">
        <f>'pivot tables'!AB44/'pivot tables'!AB11</f>
        <v>0.40229438058569494</v>
      </c>
      <c r="AB28" s="7">
        <f>'pivot tables'!AC44/'pivot tables'!AC11</f>
        <v>0.43999324089350272</v>
      </c>
      <c r="AC28" s="7">
        <f>'pivot tables'!AD44/'pivot tables'!AD11</f>
        <v>0.47480863424724018</v>
      </c>
      <c r="AD28" s="7">
        <f>'pivot tables'!AE44/'pivot tables'!AE11</f>
        <v>0.50398251121143345</v>
      </c>
      <c r="AE28" s="7">
        <f>'pivot tables'!AF44/'pivot tables'!AF11</f>
        <v>0.54661641151481744</v>
      </c>
      <c r="AF28" s="7">
        <f>'pivot tables'!AG44/'pivot tables'!AG11</f>
        <v>0.59216975637815539</v>
      </c>
      <c r="AG28" s="7">
        <f>'pivot tables'!AH44/'pivot tables'!AH11</f>
        <v>0.70007634572153188</v>
      </c>
      <c r="AH28" s="7">
        <f>'pivot tables'!AI44/'pivot tables'!AI11</f>
        <v>0.66758951268985078</v>
      </c>
      <c r="AI28" s="7">
        <f>'pivot tables'!AJ44/'pivot tables'!AJ11</f>
        <v>0.63238847781454233</v>
      </c>
      <c r="AJ28" s="7">
        <f>'pivot tables'!AK44/'pivot tables'!AK11</f>
        <v>0.56162888332036431</v>
      </c>
    </row>
    <row r="29" spans="2:36" x14ac:dyDescent="0.25">
      <c r="B29" t="s">
        <v>29</v>
      </c>
      <c r="C29" s="7">
        <f>'pivot tables'!D45/'pivot tables'!D12</f>
        <v>0.66656767519589266</v>
      </c>
      <c r="D29" s="7">
        <f>'pivot tables'!E45/'pivot tables'!E12</f>
        <v>0.62330689933879735</v>
      </c>
      <c r="E29" s="7">
        <f>'pivot tables'!F45/'pivot tables'!F12</f>
        <v>0.6412279421023569</v>
      </c>
      <c r="F29" s="7">
        <f>'pivot tables'!G45/'pivot tables'!G12</f>
        <v>0.62329298417061496</v>
      </c>
      <c r="G29" s="7">
        <f>'pivot tables'!H45/'pivot tables'!H12</f>
        <v>0.71612640309017483</v>
      </c>
      <c r="H29" s="7">
        <f>'pivot tables'!I45/'pivot tables'!I12</f>
        <v>0.72715541969913267</v>
      </c>
      <c r="I29" s="7">
        <f>'pivot tables'!J45/'pivot tables'!J12</f>
        <v>0.75360312384936512</v>
      </c>
      <c r="J29" s="7">
        <f>'pivot tables'!K45/'pivot tables'!K12</f>
        <v>0.77141520204154335</v>
      </c>
      <c r="K29" s="7">
        <f>'pivot tables'!L45/'pivot tables'!L12</f>
        <v>0.80313886223915409</v>
      </c>
      <c r="L29" s="7">
        <f>'pivot tables'!M45/'pivot tables'!M12</f>
        <v>0.8344926021008291</v>
      </c>
      <c r="M29" s="7">
        <f>'pivot tables'!N45/'pivot tables'!N12</f>
        <v>0.93406841153884768</v>
      </c>
      <c r="N29" s="7">
        <f>'pivot tables'!O45/'pivot tables'!O12</f>
        <v>0.92507855798490712</v>
      </c>
      <c r="O29" s="7">
        <f>'pivot tables'!P45/'pivot tables'!P12</f>
        <v>1.0164861894175388</v>
      </c>
      <c r="P29" s="7">
        <f>'pivot tables'!Q45/'pivot tables'!Q12</f>
        <v>1.0582362808415247</v>
      </c>
      <c r="Q29" s="7">
        <f>'pivot tables'!R45/'pivot tables'!R12</f>
        <v>1.1760510327674822</v>
      </c>
      <c r="R29" s="7">
        <f>'pivot tables'!S45/'pivot tables'!S12</f>
        <v>1.2860649151506174</v>
      </c>
      <c r="S29" s="7">
        <f>'pivot tables'!T45/'pivot tables'!T12</f>
        <v>1.3025511035152657</v>
      </c>
      <c r="T29" s="7">
        <f>'pivot tables'!U45/'pivot tables'!U12</f>
        <v>1.420702702727741</v>
      </c>
      <c r="U29" s="7">
        <f>'pivot tables'!V45/'pivot tables'!V12</f>
        <v>1.1980965430876154</v>
      </c>
      <c r="V29" s="7">
        <f>'pivot tables'!W45/'pivot tables'!W12</f>
        <v>1.1432774067355969</v>
      </c>
      <c r="W29" s="7">
        <f>'pivot tables'!X45/'pivot tables'!X12</f>
        <v>1.1469740245259405</v>
      </c>
      <c r="X29" s="7">
        <f>'pivot tables'!Y45/'pivot tables'!Y12</f>
        <v>1.1334041268751995</v>
      </c>
      <c r="Y29" s="7">
        <f>'pivot tables'!Z45/'pivot tables'!Z12</f>
        <v>1.0953787198287124</v>
      </c>
      <c r="Z29" s="7">
        <f>'pivot tables'!AA45/'pivot tables'!AA12</f>
        <v>1.0720705641518602</v>
      </c>
      <c r="AA29" s="7">
        <f>'pivot tables'!AB45/'pivot tables'!AB12</f>
        <v>1.084123224631411</v>
      </c>
      <c r="AB29" s="7">
        <f>'pivot tables'!AC45/'pivot tables'!AC12</f>
        <v>1.0870394588871497</v>
      </c>
      <c r="AC29" s="7">
        <f>'pivot tables'!AD45/'pivot tables'!AD12</f>
        <v>1.0814428443404538</v>
      </c>
      <c r="AD29" s="7">
        <f>'pivot tables'!AE45/'pivot tables'!AE12</f>
        <v>1.0969191693823188</v>
      </c>
      <c r="AE29" s="7">
        <f>'pivot tables'!AF45/'pivot tables'!AF12</f>
        <v>1.1546185779787963</v>
      </c>
      <c r="AF29" s="7">
        <f>'pivot tables'!AG45/'pivot tables'!AG12</f>
        <v>1.1703479108723644</v>
      </c>
      <c r="AG29" s="7">
        <f>'pivot tables'!AH45/'pivot tables'!AH12</f>
        <v>1.2144201019191132</v>
      </c>
      <c r="AH29" s="7">
        <f>'pivot tables'!AI45/'pivot tables'!AI12</f>
        <v>1.2336121797988979</v>
      </c>
      <c r="AI29" s="7">
        <f>'pivot tables'!AJ45/'pivot tables'!AJ12</f>
        <v>1.1377885572322293</v>
      </c>
      <c r="AJ29" s="7">
        <f>'pivot tables'!AK45/'pivot tables'!AK12</f>
        <v>1.1368860255292934</v>
      </c>
    </row>
    <row r="30" spans="2:36" x14ac:dyDescent="0.25">
      <c r="B30" t="s">
        <v>30</v>
      </c>
      <c r="C30" s="7">
        <f>'pivot tables'!D46/'pivot tables'!D13</f>
        <v>0.26539215025107504</v>
      </c>
      <c r="D30" s="7">
        <f>'pivot tables'!E46/'pivot tables'!E13</f>
        <v>0.19882341439418061</v>
      </c>
      <c r="E30" s="7">
        <f>'pivot tables'!F46/'pivot tables'!F13</f>
        <v>0.29129500404929026</v>
      </c>
      <c r="F30" s="7">
        <f>'pivot tables'!G46/'pivot tables'!G13</f>
        <v>0.41921691423271323</v>
      </c>
      <c r="G30" s="7">
        <f>'pivot tables'!H46/'pivot tables'!H13</f>
        <v>0.38562913527000503</v>
      </c>
      <c r="H30" s="7">
        <f>'pivot tables'!I46/'pivot tables'!I13</f>
        <v>0.38104028167225085</v>
      </c>
      <c r="I30" s="7">
        <f>'pivot tables'!J46/'pivot tables'!J13</f>
        <v>0.39996300374265364</v>
      </c>
      <c r="J30" s="7">
        <f>'pivot tables'!K46/'pivot tables'!K13</f>
        <v>0.35316750589478152</v>
      </c>
      <c r="K30" s="7">
        <f>'pivot tables'!L46/'pivot tables'!L13</f>
        <v>0.28585025418157345</v>
      </c>
      <c r="L30" s="7">
        <f>'pivot tables'!M46/'pivot tables'!M13</f>
        <v>0.20106512883950331</v>
      </c>
      <c r="M30" s="7">
        <f>'pivot tables'!N46/'pivot tables'!N13</f>
        <v>0.27895516284482091</v>
      </c>
      <c r="N30" s="7">
        <f>'pivot tables'!O46/'pivot tables'!O13</f>
        <v>0.2039076597366552</v>
      </c>
      <c r="O30" s="7">
        <f>'pivot tables'!P46/'pivot tables'!P13</f>
        <v>0.16575888950374681</v>
      </c>
      <c r="P30" s="7">
        <f>'pivot tables'!Q46/'pivot tables'!Q13</f>
        <v>0.16884900531958311</v>
      </c>
      <c r="Q30" s="7">
        <f>'pivot tables'!R46/'pivot tables'!R13</f>
        <v>0.15676391996281888</v>
      </c>
      <c r="R30" s="7">
        <f>'pivot tables'!S46/'pivot tables'!S13</f>
        <v>0.18403982522955267</v>
      </c>
      <c r="S30" s="7">
        <f>'pivot tables'!T46/'pivot tables'!T13</f>
        <v>0.19424852575217616</v>
      </c>
      <c r="T30" s="7">
        <f>'pivot tables'!U46/'pivot tables'!U13</f>
        <v>0.21402486447653568</v>
      </c>
      <c r="U30" s="7">
        <f>'pivot tables'!V46/'pivot tables'!V13</f>
        <v>0.25207064911201721</v>
      </c>
      <c r="V30" s="7">
        <f>'pivot tables'!W46/'pivot tables'!W13</f>
        <v>0.23138960792299268</v>
      </c>
      <c r="W30" s="7">
        <f>'pivot tables'!X46/'pivot tables'!X13</f>
        <v>0.23091887544572504</v>
      </c>
      <c r="X30" s="7">
        <f>'pivot tables'!Y46/'pivot tables'!Y13</f>
        <v>0.26305167898706028</v>
      </c>
      <c r="Y30" s="7">
        <f>'pivot tables'!Z46/'pivot tables'!Z13</f>
        <v>0.2506254533439467</v>
      </c>
      <c r="Z30" s="7">
        <f>'pivot tables'!AA46/'pivot tables'!AA13</f>
        <v>0.25769802399299369</v>
      </c>
      <c r="AA30" s="7">
        <f>'pivot tables'!AB46/'pivot tables'!AB13</f>
        <v>0.28078277491601983</v>
      </c>
      <c r="AB30" s="7">
        <f>'pivot tables'!AC46/'pivot tables'!AC13</f>
        <v>0.29172105206856636</v>
      </c>
      <c r="AC30" s="7">
        <f>'pivot tables'!AD46/'pivot tables'!AD13</f>
        <v>0.2939940713443232</v>
      </c>
      <c r="AD30" s="7">
        <f>'pivot tables'!AE46/'pivot tables'!AE13</f>
        <v>0.2902243399338133</v>
      </c>
      <c r="AE30" s="7">
        <f>'pivot tables'!AF46/'pivot tables'!AF13</f>
        <v>0.24272784212210538</v>
      </c>
      <c r="AF30" s="7">
        <f>'pivot tables'!AG46/'pivot tables'!AG13</f>
        <v>0.25905134046774958</v>
      </c>
      <c r="AG30" s="7">
        <f>'pivot tables'!AH46/'pivot tables'!AH13</f>
        <v>0.27307194251088257</v>
      </c>
      <c r="AH30" s="7">
        <f>'pivot tables'!AI46/'pivot tables'!AI13</f>
        <v>0.24662816484832101</v>
      </c>
      <c r="AI30" s="7">
        <f>'pivot tables'!AJ46/'pivot tables'!AJ13</f>
        <v>0.26405751910252434</v>
      </c>
      <c r="AJ30" s="7">
        <f>'pivot tables'!AK46/'pivot tables'!AK13</f>
        <v>0.27097196315475119</v>
      </c>
    </row>
    <row r="31" spans="2:36" x14ac:dyDescent="0.25">
      <c r="B31" t="s">
        <v>31</v>
      </c>
      <c r="C31" s="8">
        <f>'pivot tables'!D47/'pivot tables'!D14/1000</f>
        <v>0.13912132175562014</v>
      </c>
      <c r="D31" s="8">
        <f>'pivot tables'!E47/'pivot tables'!E14/1000</f>
        <v>0.14087486366548044</v>
      </c>
      <c r="E31" s="8">
        <f>'pivot tables'!F47/'pivot tables'!F14/1000</f>
        <v>0.11819101250081636</v>
      </c>
      <c r="F31" s="8">
        <f>'pivot tables'!G47/'pivot tables'!G14/1000</f>
        <v>0.12803304893672551</v>
      </c>
      <c r="G31" s="8">
        <f>'pivot tables'!H47/'pivot tables'!H14/1000</f>
        <v>0.13081747369230046</v>
      </c>
      <c r="H31" s="8">
        <f>'pivot tables'!I47/'pivot tables'!I14/1000</f>
        <v>0.13700702900853287</v>
      </c>
      <c r="I31" s="8">
        <f>'pivot tables'!J47/'pivot tables'!J14/1000</f>
        <v>0.13479487731244105</v>
      </c>
      <c r="J31" s="8">
        <f>'pivot tables'!K47/'pivot tables'!K14/1000</f>
        <v>0.13013888098772755</v>
      </c>
      <c r="K31" s="8">
        <f>'pivot tables'!L47/'pivot tables'!L14/1000</f>
        <v>0.11898508678959054</v>
      </c>
      <c r="L31" s="8">
        <f>'pivot tables'!M47/'pivot tables'!M14/1000</f>
        <v>0.1477071895256524</v>
      </c>
      <c r="M31" s="8">
        <f>'pivot tables'!N47/'pivot tables'!N14/1000</f>
        <v>0.15746245061178843</v>
      </c>
      <c r="N31" s="8">
        <f>'pivot tables'!O47/'pivot tables'!O14/1000</f>
        <v>0.16294920593314186</v>
      </c>
      <c r="O31" s="8">
        <f>'pivot tables'!P47/'pivot tables'!P14/1000</f>
        <v>0.16748861513423813</v>
      </c>
      <c r="P31" s="8">
        <f>'pivot tables'!Q47/'pivot tables'!Q14/1000</f>
        <v>0.1686509386976271</v>
      </c>
      <c r="Q31" s="8">
        <f>'pivot tables'!R47/'pivot tables'!R14/1000</f>
        <v>0.17092352784761031</v>
      </c>
      <c r="R31" s="8">
        <f>'pivot tables'!S47/'pivot tables'!S14/1000</f>
        <v>0.16380079838886411</v>
      </c>
      <c r="S31" s="8">
        <f>'pivot tables'!T47/'pivot tables'!T14/1000</f>
        <v>0.17538711582141411</v>
      </c>
      <c r="T31" s="8">
        <f>'pivot tables'!U47/'pivot tables'!U14/1000</f>
        <v>0.15939394216748742</v>
      </c>
      <c r="U31" s="8">
        <f>'pivot tables'!V47/'pivot tables'!V14/1000</f>
        <v>0.15126661838033095</v>
      </c>
      <c r="V31" s="8">
        <f>'pivot tables'!W47/'pivot tables'!W14/1000</f>
        <v>0.12069020615275024</v>
      </c>
      <c r="W31" s="8">
        <f>'pivot tables'!X47/'pivot tables'!X14/1000</f>
        <v>0.11795550577405968</v>
      </c>
      <c r="X31" s="8">
        <f>'pivot tables'!Y47/'pivot tables'!Y14/1000</f>
        <v>0.11397695926754897</v>
      </c>
      <c r="Y31" s="8">
        <f>'pivot tables'!Z47/'pivot tables'!Z14/1000</f>
        <v>0.1089626717892707</v>
      </c>
      <c r="Z31" s="8">
        <f>'pivot tables'!AA47/'pivot tables'!AA14/1000</f>
        <v>0.10719794020045209</v>
      </c>
      <c r="AA31" s="8">
        <f>'pivot tables'!AB47/'pivot tables'!AB14/1000</f>
        <v>0.11857605738281909</v>
      </c>
      <c r="AB31" s="8">
        <f>'pivot tables'!AC47/'pivot tables'!AC14/1000</f>
        <v>0.13403578900259813</v>
      </c>
      <c r="AC31" s="8">
        <f>'pivot tables'!AD47/'pivot tables'!AD14/1000</f>
        <v>0.13303490240450436</v>
      </c>
      <c r="AD31" s="8">
        <f>'pivot tables'!AE47/'pivot tables'!AE14/1000</f>
        <v>0.14649332101257626</v>
      </c>
      <c r="AE31" s="8">
        <f>'pivot tables'!AF47/'pivot tables'!AF14/1000</f>
        <v>0.15002488966816019</v>
      </c>
      <c r="AF31" s="8">
        <f>'pivot tables'!AG47/'pivot tables'!AG14/1000</f>
        <v>0.14120222312339906</v>
      </c>
      <c r="AG31" s="8">
        <f>'pivot tables'!AH47/'pivot tables'!AH14/1000</f>
        <v>0.13802514693272822</v>
      </c>
      <c r="AH31" s="8">
        <f>'pivot tables'!AI47/'pivot tables'!AI14/1000</f>
        <v>0.14813026961810208</v>
      </c>
      <c r="AI31" s="8">
        <f>'pivot tables'!AJ47/'pivot tables'!AJ14/1000</f>
        <v>0.15369816371657252</v>
      </c>
      <c r="AJ31" s="8">
        <f>'pivot tables'!AK47/'pivot tables'!AK14/1000</f>
        <v>0.15345211975928866</v>
      </c>
    </row>
    <row r="32" spans="2:36" x14ac:dyDescent="0.25">
      <c r="B32" t="s">
        <v>32</v>
      </c>
      <c r="C32" s="7">
        <f>'pivot tables'!D48/'pivot tables'!D15</f>
        <v>7.7745223628953905E-2</v>
      </c>
      <c r="D32" s="7">
        <f>'pivot tables'!E48/'pivot tables'!E15</f>
        <v>6.2505163585107326E-2</v>
      </c>
      <c r="E32" s="7">
        <f>'pivot tables'!F48/'pivot tables'!F15</f>
        <v>4.7280094834829457E-2</v>
      </c>
      <c r="F32" s="7">
        <f>'pivot tables'!G48/'pivot tables'!G15</f>
        <v>5.2449506735844469E-2</v>
      </c>
      <c r="G32" s="7">
        <f>'pivot tables'!H48/'pivot tables'!H15</f>
        <v>5.6911467767217547E-2</v>
      </c>
      <c r="H32" s="7">
        <f>'pivot tables'!I48/'pivot tables'!I15</f>
        <v>6.2201416026357426E-2</v>
      </c>
      <c r="I32" s="7">
        <f>'pivot tables'!J48/'pivot tables'!J15</f>
        <v>7.6015695473352421E-2</v>
      </c>
      <c r="J32" s="7">
        <f>'pivot tables'!K48/'pivot tables'!K15</f>
        <v>0.10637121234728908</v>
      </c>
      <c r="K32" s="7">
        <f>'pivot tables'!L48/'pivot tables'!L15</f>
        <v>0.10937905083515387</v>
      </c>
      <c r="L32" s="7">
        <f>'pivot tables'!M48/'pivot tables'!M15</f>
        <v>0.13717142717055375</v>
      </c>
      <c r="M32" s="7">
        <f>'pivot tables'!N48/'pivot tables'!N15</f>
        <v>0.17032459469539804</v>
      </c>
      <c r="N32" s="7">
        <f>'pivot tables'!O48/'pivot tables'!O15</f>
        <v>0.19095366542467312</v>
      </c>
      <c r="O32" s="7">
        <f>'pivot tables'!P48/'pivot tables'!P15</f>
        <v>0.19993333136474165</v>
      </c>
      <c r="P32" s="7">
        <f>'pivot tables'!Q48/'pivot tables'!Q15</f>
        <v>0.19636797036680778</v>
      </c>
      <c r="Q32" s="7">
        <f>'pivot tables'!R48/'pivot tables'!R15</f>
        <v>0.16679977950332214</v>
      </c>
      <c r="R32" s="7">
        <f>'pivot tables'!S48/'pivot tables'!S15</f>
        <v>0.14399939199927464</v>
      </c>
      <c r="S32" s="7">
        <f>'pivot tables'!T48/'pivot tables'!T15</f>
        <v>0.1478168222362595</v>
      </c>
      <c r="T32" s="7">
        <f>'pivot tables'!U48/'pivot tables'!U15</f>
        <v>0.13182453811860106</v>
      </c>
      <c r="U32" s="7">
        <f>'pivot tables'!V48/'pivot tables'!V15</f>
        <v>0.14539615423083752</v>
      </c>
      <c r="V32" s="7">
        <f>'pivot tables'!W48/'pivot tables'!W15</f>
        <v>0.14770868813620933</v>
      </c>
      <c r="W32" s="7">
        <f>'pivot tables'!X48/'pivot tables'!X15</f>
        <v>0.19063938494486166</v>
      </c>
      <c r="X32" s="7">
        <f>'pivot tables'!Y48/'pivot tables'!Y15</f>
        <v>0.19215128449496297</v>
      </c>
      <c r="Y32" s="7">
        <f>'pivot tables'!Z48/'pivot tables'!Z15</f>
        <v>0.17728367101285844</v>
      </c>
      <c r="Z32" s="7">
        <f>'pivot tables'!AA48/'pivot tables'!AA15</f>
        <v>0.1838319031346011</v>
      </c>
      <c r="AA32" s="7">
        <f>'pivot tables'!AB48/'pivot tables'!AB15</f>
        <v>0.19519831192233739</v>
      </c>
      <c r="AB32" s="7">
        <f>'pivot tables'!AC48/'pivot tables'!AC15</f>
        <v>0.21517067548243277</v>
      </c>
      <c r="AC32" s="7">
        <f>'pivot tables'!AD48/'pivot tables'!AD15</f>
        <v>0.22828247051198247</v>
      </c>
      <c r="AD32" s="7">
        <f>'pivot tables'!AE48/'pivot tables'!AE15</f>
        <v>0.23658288711254893</v>
      </c>
      <c r="AE32" s="7">
        <f>'pivot tables'!AF48/'pivot tables'!AF15</f>
        <v>0.24393382784788117</v>
      </c>
      <c r="AF32" s="7">
        <f>'pivot tables'!AG48/'pivot tables'!AG15</f>
        <v>0.2324390767364074</v>
      </c>
      <c r="AG32" s="7">
        <f>'pivot tables'!AH48/'pivot tables'!AH15</f>
        <v>0.22991366473036212</v>
      </c>
      <c r="AH32" s="7">
        <f>'pivot tables'!AI48/'pivot tables'!AI15</f>
        <v>0.23234693988576985</v>
      </c>
      <c r="AI32" s="7">
        <f>'pivot tables'!AJ48/'pivot tables'!AJ15</f>
        <v>0.20354908802310598</v>
      </c>
      <c r="AJ32" s="7">
        <f>'pivot tables'!AK48/'pivot tables'!AK15</f>
        <v>0.18956624197129326</v>
      </c>
    </row>
    <row r="33" spans="2:36" x14ac:dyDescent="0.25">
      <c r="B33" t="s">
        <v>33</v>
      </c>
      <c r="C33" s="7">
        <f>'pivot tables'!D49/'pivot tables'!D16</f>
        <v>0.24216383419987222</v>
      </c>
      <c r="D33" s="7">
        <f>'pivot tables'!E49/'pivot tables'!E16</f>
        <v>0.22085579869803307</v>
      </c>
      <c r="E33" s="7">
        <f>'pivot tables'!F49/'pivot tables'!F16</f>
        <v>0.22582993314387265</v>
      </c>
      <c r="F33" s="7">
        <f>'pivot tables'!G49/'pivot tables'!G16</f>
        <v>0.2570570950651741</v>
      </c>
      <c r="G33" s="7">
        <f>'pivot tables'!H49/'pivot tables'!H16</f>
        <v>0.28185840455976957</v>
      </c>
      <c r="H33" s="7">
        <f>'pivot tables'!I49/'pivot tables'!I16</f>
        <v>0.28095249695394214</v>
      </c>
      <c r="I33" s="7">
        <f>'pivot tables'!J49/'pivot tables'!J16</f>
        <v>0.27507578728111448</v>
      </c>
      <c r="J33" s="7">
        <f>'pivot tables'!K49/'pivot tables'!K16</f>
        <v>0.31414667272713465</v>
      </c>
      <c r="K33" s="7">
        <f>'pivot tables'!L49/'pivot tables'!L16</f>
        <v>0.32181632226088497</v>
      </c>
      <c r="L33" s="7">
        <f>'pivot tables'!M49/'pivot tables'!M16</f>
        <v>0.32576507009622069</v>
      </c>
      <c r="M33" s="7">
        <f>'pivot tables'!N49/'pivot tables'!N16</f>
        <v>0.3331926460829005</v>
      </c>
      <c r="N33" s="7">
        <f>'pivot tables'!O49/'pivot tables'!O16</f>
        <v>0.30581138240100103</v>
      </c>
      <c r="O33" s="7">
        <f>'pivot tables'!P49/'pivot tables'!P16</f>
        <v>0.31003019634645496</v>
      </c>
      <c r="P33" s="7">
        <f>'pivot tables'!Q49/'pivot tables'!Q16</f>
        <v>0.31796649808025795</v>
      </c>
      <c r="Q33" s="7">
        <f>'pivot tables'!R49/'pivot tables'!R16</f>
        <v>0.32472494778304944</v>
      </c>
      <c r="R33" s="7">
        <f>'pivot tables'!S49/'pivot tables'!S16</f>
        <v>0.28091105473247591</v>
      </c>
      <c r="S33" s="7">
        <f>'pivot tables'!T49/'pivot tables'!T16</f>
        <v>0.31530484348607413</v>
      </c>
      <c r="T33" s="7">
        <f>'pivot tables'!U49/'pivot tables'!U16</f>
        <v>0.33140764133537493</v>
      </c>
      <c r="U33" s="7">
        <f>'pivot tables'!V49/'pivot tables'!V16</f>
        <v>0.28582954293316454</v>
      </c>
      <c r="V33" s="7">
        <f>'pivot tables'!W49/'pivot tables'!W16</f>
        <v>0.2374185605229176</v>
      </c>
      <c r="W33" s="7">
        <f>'pivot tables'!X49/'pivot tables'!X16</f>
        <v>0.28137418666436259</v>
      </c>
      <c r="X33" s="7">
        <f>'pivot tables'!Y49/'pivot tables'!Y16</f>
        <v>0.28196490109907757</v>
      </c>
      <c r="Y33" s="7">
        <f>'pivot tables'!Z49/'pivot tables'!Z16</f>
        <v>0.27581265841452512</v>
      </c>
      <c r="Z33" s="7">
        <f>'pivot tables'!AA49/'pivot tables'!AA16</f>
        <v>0.28387665195020068</v>
      </c>
      <c r="AA33" s="7">
        <f>'pivot tables'!AB49/'pivot tables'!AB16</f>
        <v>0.29229475121535209</v>
      </c>
      <c r="AB33" s="7">
        <f>'pivot tables'!AC49/'pivot tables'!AC16</f>
        <v>0.29204563839477837</v>
      </c>
      <c r="AC33" s="7">
        <f>'pivot tables'!AD49/'pivot tables'!AD16</f>
        <v>0.30590911878850158</v>
      </c>
      <c r="AD33" s="7">
        <f>'pivot tables'!AE49/'pivot tables'!AE16</f>
        <v>0.31870105421187567</v>
      </c>
      <c r="AE33" s="7">
        <f>'pivot tables'!AF49/'pivot tables'!AF16</f>
        <v>0.32503428483595209</v>
      </c>
      <c r="AF33" s="7">
        <f>'pivot tables'!AG49/'pivot tables'!AG16</f>
        <v>0.31417178844455546</v>
      </c>
      <c r="AG33" s="7">
        <f>'pivot tables'!AH49/'pivot tables'!AH16</f>
        <v>0.28646904214441216</v>
      </c>
      <c r="AH33" s="7">
        <f>'pivot tables'!AI49/'pivot tables'!AI16</f>
        <v>0.31534998551766386</v>
      </c>
      <c r="AI33" s="7">
        <f>'pivot tables'!AJ49/'pivot tables'!AJ16</f>
        <v>0.31206709531305582</v>
      </c>
      <c r="AJ33" s="7">
        <f>'pivot tables'!AK49/'pivot tables'!AK16</f>
        <v>0.29118548269349809</v>
      </c>
    </row>
    <row r="34" spans="2:36" x14ac:dyDescent="0.25">
      <c r="B34" t="s">
        <v>34</v>
      </c>
      <c r="C34" s="8">
        <f>'pivot tables'!D50/'pivot tables'!D17/1000</f>
        <v>0.19078789642186794</v>
      </c>
      <c r="D34" s="8">
        <f>'pivot tables'!E50/'pivot tables'!E17/1000</f>
        <v>0.18879126792290638</v>
      </c>
      <c r="E34" s="8">
        <f>'pivot tables'!F50/'pivot tables'!F17/1000</f>
        <v>0.16678456688346405</v>
      </c>
      <c r="F34" s="8">
        <f>'pivot tables'!G50/'pivot tables'!G17/1000</f>
        <v>0.1526723130878547</v>
      </c>
      <c r="G34" s="8">
        <f>'pivot tables'!H50/'pivot tables'!H17/1000</f>
        <v>0.16377500028469996</v>
      </c>
      <c r="H34" s="8">
        <f>'pivot tables'!I50/'pivot tables'!I17/1000</f>
        <v>0.16919136940873625</v>
      </c>
      <c r="I34" s="8">
        <f>'pivot tables'!J50/'pivot tables'!J17/1000</f>
        <v>0.16309209503776587</v>
      </c>
      <c r="J34" s="8">
        <f>'pivot tables'!K50/'pivot tables'!K17/1000</f>
        <v>0.17073713635529988</v>
      </c>
      <c r="K34" s="8">
        <f>'pivot tables'!L50/'pivot tables'!L17/1000</f>
        <v>0.17826943438542975</v>
      </c>
      <c r="L34" s="8">
        <f>'pivot tables'!M50/'pivot tables'!M17/1000</f>
        <v>0.18086472117355046</v>
      </c>
      <c r="M34" s="8">
        <f>'pivot tables'!N50/'pivot tables'!N17/1000</f>
        <v>0.18930572790151812</v>
      </c>
      <c r="N34" s="8">
        <f>'pivot tables'!O50/'pivot tables'!O17/1000</f>
        <v>0.18691536090389521</v>
      </c>
      <c r="O34" s="8">
        <f>'pivot tables'!P50/'pivot tables'!P17/1000</f>
        <v>0.17391037639030907</v>
      </c>
      <c r="P34" s="8">
        <f>'pivot tables'!Q50/'pivot tables'!Q17/1000</f>
        <v>0.17233309598969868</v>
      </c>
      <c r="Q34" s="8">
        <f>'pivot tables'!R50/'pivot tables'!R17/1000</f>
        <v>0.17987080535432551</v>
      </c>
      <c r="R34" s="8">
        <f>'pivot tables'!S50/'pivot tables'!S17/1000</f>
        <v>0.18810037475875757</v>
      </c>
      <c r="S34" s="8">
        <f>'pivot tables'!T50/'pivot tables'!T17/1000</f>
        <v>0.19088428837618462</v>
      </c>
      <c r="T34" s="8">
        <f>'pivot tables'!U50/'pivot tables'!U17/1000</f>
        <v>0.19705291509323289</v>
      </c>
      <c r="U34" s="8">
        <f>'pivot tables'!V50/'pivot tables'!V17/1000</f>
        <v>0.18316374247929548</v>
      </c>
      <c r="V34" s="8">
        <f>'pivot tables'!W50/'pivot tables'!W17/1000</f>
        <v>0.15871135599172942</v>
      </c>
      <c r="W34" s="8">
        <f>'pivot tables'!X50/'pivot tables'!X17/1000</f>
        <v>0.17869771590648934</v>
      </c>
      <c r="X34" s="8">
        <f>'pivot tables'!Y50/'pivot tables'!Y17/1000</f>
        <v>0.18277896445259148</v>
      </c>
      <c r="Y34" s="8">
        <f>'pivot tables'!Z50/'pivot tables'!Z17/1000</f>
        <v>0.17552076077015169</v>
      </c>
      <c r="Z34" s="8">
        <f>'pivot tables'!AA50/'pivot tables'!AA17/1000</f>
        <v>0.16946464017980725</v>
      </c>
      <c r="AA34" s="8">
        <f>'pivot tables'!AB50/'pivot tables'!AB17/1000</f>
        <v>0.16644148263795383</v>
      </c>
      <c r="AB34" s="8">
        <f>'pivot tables'!AC50/'pivot tables'!AC17/1000</f>
        <v>0.15967160356632373</v>
      </c>
      <c r="AC34" s="8">
        <f>'pivot tables'!AD50/'pivot tables'!AD17/1000</f>
        <v>0.15503091277203485</v>
      </c>
      <c r="AD34" s="8">
        <f>'pivot tables'!AE50/'pivot tables'!AE17/1000</f>
        <v>0.15466187710247081</v>
      </c>
      <c r="AE34" s="8">
        <f>'pivot tables'!AF50/'pivot tables'!AF17/1000</f>
        <v>0.15276199721670411</v>
      </c>
      <c r="AF34" s="8">
        <f>'pivot tables'!AG50/'pivot tables'!AG17/1000</f>
        <v>0.14810698277581766</v>
      </c>
      <c r="AG34" s="8">
        <f>'pivot tables'!AH50/'pivot tables'!AH17/1000</f>
        <v>0.13274693396201689</v>
      </c>
      <c r="AH34" s="8">
        <f>'pivot tables'!AI50/'pivot tables'!AI17/1000</f>
        <v>0.15813886100921468</v>
      </c>
      <c r="AI34" s="8">
        <f>'pivot tables'!AJ50/'pivot tables'!AJ17/1000</f>
        <v>0.15236054131224036</v>
      </c>
      <c r="AJ34" s="8">
        <f>'pivot tables'!AK50/'pivot tables'!AK17/1000</f>
        <v>0.14392134464984729</v>
      </c>
    </row>
    <row r="35" spans="2:36" x14ac:dyDescent="0.25">
      <c r="B35" t="s">
        <v>35</v>
      </c>
      <c r="C35" s="7">
        <f>'pivot tables'!D51/'pivot tables'!D18</f>
        <v>0.37780743810036799</v>
      </c>
      <c r="D35" s="7">
        <f>'pivot tables'!E51/'pivot tables'!E18</f>
        <v>0.36844373941725095</v>
      </c>
      <c r="E35" s="7">
        <f>'pivot tables'!F51/'pivot tables'!F18</f>
        <v>0.37513542203786177</v>
      </c>
      <c r="F35" s="7">
        <f>'pivot tables'!G51/'pivot tables'!G18</f>
        <v>0.38065729756527805</v>
      </c>
      <c r="G35" s="7">
        <f>'pivot tables'!H51/'pivot tables'!H18</f>
        <v>0.40407494860713067</v>
      </c>
      <c r="H35" s="7">
        <f>'pivot tables'!I51/'pivot tables'!I18</f>
        <v>0.41333267853265138</v>
      </c>
      <c r="I35" s="7">
        <f>'pivot tables'!J51/'pivot tables'!J18</f>
        <v>0.41082591928823003</v>
      </c>
      <c r="J35" s="7">
        <f>'pivot tables'!K51/'pivot tables'!K18</f>
        <v>0.42702485802314888</v>
      </c>
      <c r="K35" s="7">
        <f>'pivot tables'!L51/'pivot tables'!L18</f>
        <v>0.42092649849792901</v>
      </c>
      <c r="L35" s="7">
        <f>'pivot tables'!M51/'pivot tables'!M18</f>
        <v>0.4395545326951078</v>
      </c>
      <c r="M35" s="7">
        <f>'pivot tables'!N51/'pivot tables'!N18</f>
        <v>0.4618088446312873</v>
      </c>
      <c r="N35" s="7">
        <f>'pivot tables'!O51/'pivot tables'!O18</f>
        <v>0.45118721762413283</v>
      </c>
      <c r="O35" s="7">
        <f>'pivot tables'!P51/'pivot tables'!P18</f>
        <v>0.45115901017217191</v>
      </c>
      <c r="P35" s="7">
        <f>'pivot tables'!Q51/'pivot tables'!Q18</f>
        <v>0.46702741211997767</v>
      </c>
      <c r="Q35" s="7">
        <f>'pivot tables'!R51/'pivot tables'!R18</f>
        <v>0.45509798329523454</v>
      </c>
      <c r="R35" s="7">
        <f>'pivot tables'!S51/'pivot tables'!S18</f>
        <v>0.44891081403769723</v>
      </c>
      <c r="S35" s="7">
        <f>'pivot tables'!T51/'pivot tables'!T18</f>
        <v>0.42730836267424871</v>
      </c>
      <c r="T35" s="7">
        <f>'pivot tables'!U51/'pivot tables'!U18</f>
        <v>0.43263239421622013</v>
      </c>
      <c r="U35" s="7">
        <f>'pivot tables'!V51/'pivot tables'!V18</f>
        <v>0.40655009820237514</v>
      </c>
      <c r="V35" s="7">
        <f>'pivot tables'!W51/'pivot tables'!W18</f>
        <v>0.39957610340795963</v>
      </c>
      <c r="W35" s="7">
        <f>'pivot tables'!X51/'pivot tables'!X18</f>
        <v>0.41353485158745223</v>
      </c>
      <c r="X35" s="7">
        <f>'pivot tables'!Y51/'pivot tables'!Y18</f>
        <v>0.4300746321632995</v>
      </c>
      <c r="Y35" s="7">
        <f>'pivot tables'!Z51/'pivot tables'!Z18</f>
        <v>0.46591438316120037</v>
      </c>
      <c r="Z35" s="7">
        <f>'pivot tables'!AA51/'pivot tables'!AA18</f>
        <v>0.44343392532187881</v>
      </c>
      <c r="AA35" s="7">
        <f>'pivot tables'!AB51/'pivot tables'!AB18</f>
        <v>0.43842926299512552</v>
      </c>
      <c r="AB35" s="7">
        <f>'pivot tables'!AC51/'pivot tables'!AC18</f>
        <v>0.45083394120464731</v>
      </c>
      <c r="AC35" s="7">
        <f>'pivot tables'!AD51/'pivot tables'!AD18</f>
        <v>0.4425120078621112</v>
      </c>
      <c r="AD35" s="7">
        <f>'pivot tables'!AE51/'pivot tables'!AE18</f>
        <v>0.43069998299953333</v>
      </c>
      <c r="AE35" s="7">
        <f>'pivot tables'!AF51/'pivot tables'!AF18</f>
        <v>0.42609510436719483</v>
      </c>
      <c r="AF35" s="7">
        <f>'pivot tables'!AG51/'pivot tables'!AG18</f>
        <v>0.42004426580939858</v>
      </c>
      <c r="AG35" s="7">
        <f>'pivot tables'!AH51/'pivot tables'!AH18</f>
        <v>0.42005231420507388</v>
      </c>
      <c r="AH35" s="7">
        <f>'pivot tables'!AI51/'pivot tables'!AI18</f>
        <v>0.4477324131006456</v>
      </c>
      <c r="AI35" s="7">
        <f>'pivot tables'!AJ51/'pivot tables'!AJ18</f>
        <v>0.44323549267540702</v>
      </c>
      <c r="AJ35" s="7">
        <f>'pivot tables'!AK51/'pivot tables'!AK18</f>
        <v>0.44758733434979964</v>
      </c>
    </row>
    <row r="36" spans="2:36" x14ac:dyDescent="0.25">
      <c r="B36" t="s">
        <v>36</v>
      </c>
      <c r="C36" s="8">
        <f>'pivot tables'!D52/'pivot tables'!D19/1000</f>
        <v>5.2242277597768678E-2</v>
      </c>
      <c r="D36" s="8">
        <f>'pivot tables'!E52/'pivot tables'!E19/1000</f>
        <v>5.276504440316488E-2</v>
      </c>
      <c r="E36" s="8">
        <f>'pivot tables'!F52/'pivot tables'!F19/1000</f>
        <v>4.5124300283155019E-2</v>
      </c>
      <c r="F36" s="8">
        <f>'pivot tables'!G52/'pivot tables'!G19/1000</f>
        <v>6.5372924887962411E-2</v>
      </c>
      <c r="G36" s="8">
        <f>'pivot tables'!H52/'pivot tables'!H19/1000</f>
        <v>6.7264901383041656E-2</v>
      </c>
      <c r="H36" s="8">
        <f>'pivot tables'!I52/'pivot tables'!I19/1000</f>
        <v>6.4415269862116015E-2</v>
      </c>
      <c r="I36" s="8">
        <f>'pivot tables'!J52/'pivot tables'!J19/1000</f>
        <v>6.7676947156496789E-2</v>
      </c>
      <c r="J36" s="8">
        <f>'pivot tables'!K52/'pivot tables'!K19/1000</f>
        <v>2.0641049672204159E-2</v>
      </c>
      <c r="K36" s="8">
        <f>'pivot tables'!L52/'pivot tables'!L19/1000</f>
        <v>2.5237706050047895E-2</v>
      </c>
      <c r="L36" s="8">
        <f>'pivot tables'!M52/'pivot tables'!M19/1000</f>
        <v>3.1581668669201153E-2</v>
      </c>
      <c r="M36" s="8">
        <f>'pivot tables'!N52/'pivot tables'!N19/1000</f>
        <v>4.84935131143703E-2</v>
      </c>
      <c r="N36" s="8">
        <f>'pivot tables'!O52/'pivot tables'!O19/1000</f>
        <v>3.5427658675410284E-2</v>
      </c>
      <c r="O36" s="8">
        <f>'pivot tables'!P52/'pivot tables'!P19/1000</f>
        <v>4.6695042325537409E-2</v>
      </c>
      <c r="P36" s="8">
        <f>'pivot tables'!Q52/'pivot tables'!Q19/1000</f>
        <v>5.1197723746814527E-2</v>
      </c>
      <c r="Q36" s="8">
        <f>'pivot tables'!R52/'pivot tables'!R19/1000</f>
        <v>4.9461200225607578E-2</v>
      </c>
      <c r="R36" s="8">
        <f>'pivot tables'!S52/'pivot tables'!S19/1000</f>
        <v>5.1145545551375279E-2</v>
      </c>
      <c r="S36" s="8">
        <f>'pivot tables'!T52/'pivot tables'!T19/1000</f>
        <v>5.3243009829339431E-2</v>
      </c>
      <c r="T36" s="8">
        <f>'pivot tables'!U52/'pivot tables'!U19/1000</f>
        <v>6.6845396698824985E-2</v>
      </c>
      <c r="U36" s="8">
        <f>'pivot tables'!V52/'pivot tables'!V19/1000</f>
        <v>3.6148170108278629E-2</v>
      </c>
      <c r="V36" s="8">
        <f>'pivot tables'!W52/'pivot tables'!W19/1000</f>
        <v>5.3540834902255072E-2</v>
      </c>
      <c r="W36" s="8">
        <f>'pivot tables'!X52/'pivot tables'!X19/1000</f>
        <v>5.9952016236129467E-2</v>
      </c>
      <c r="X36" s="8">
        <f>'pivot tables'!Y52/'pivot tables'!Y19/1000</f>
        <v>5.7477759099949607E-2</v>
      </c>
      <c r="Y36" s="8">
        <f>'pivot tables'!Z52/'pivot tables'!Z19/1000</f>
        <v>2.9298834623246867E-2</v>
      </c>
      <c r="Z36" s="8">
        <f>'pivot tables'!AA52/'pivot tables'!AA19/1000</f>
        <v>2.6891995331144801E-2</v>
      </c>
      <c r="AA36" s="8">
        <f>'pivot tables'!AB52/'pivot tables'!AB19/1000</f>
        <v>2.6512884404279305E-2</v>
      </c>
      <c r="AB36" s="8">
        <f>'pivot tables'!AC52/'pivot tables'!AC19/1000</f>
        <v>2.648313019852809E-2</v>
      </c>
      <c r="AC36" s="8">
        <f>'pivot tables'!AD52/'pivot tables'!AD19/1000</f>
        <v>2.6453523884188427E-2</v>
      </c>
      <c r="AD36" s="8">
        <f>'pivot tables'!AE52/'pivot tables'!AE19/1000</f>
        <v>2.9571569339813062E-2</v>
      </c>
      <c r="AE36" s="8">
        <f>'pivot tables'!AF52/'pivot tables'!AF19/1000</f>
        <v>3.3970862130623773E-2</v>
      </c>
      <c r="AF36" s="8">
        <f>'pivot tables'!AG52/'pivot tables'!AG19/1000</f>
        <v>3.4072159757176895E-2</v>
      </c>
      <c r="AG36" s="8">
        <f>'pivot tables'!AH52/'pivot tables'!AH19/1000</f>
        <v>2.9335247776859346E-2</v>
      </c>
      <c r="AH36" s="8">
        <f>'pivot tables'!AI52/'pivot tables'!AI19/1000</f>
        <v>2.929379177565223E-2</v>
      </c>
      <c r="AI36" s="8">
        <f>'pivot tables'!AJ52/'pivot tables'!AJ19/1000</f>
        <v>2.9237550536171372E-2</v>
      </c>
      <c r="AJ36" s="8">
        <f>'pivot tables'!AK52/'pivot tables'!AK19/1000</f>
        <v>2.9202792614801461E-2</v>
      </c>
    </row>
    <row r="37" spans="2:36" x14ac:dyDescent="0.25">
      <c r="B37" t="s">
        <v>37</v>
      </c>
      <c r="C37" s="7">
        <f>'pivot tables'!D53/'pivot tables'!D20</f>
        <v>0.17945076535919907</v>
      </c>
      <c r="D37" s="7">
        <f>'pivot tables'!E53/'pivot tables'!E20</f>
        <v>0.11638107557558486</v>
      </c>
      <c r="E37" s="7">
        <f>'pivot tables'!F53/'pivot tables'!F20</f>
        <v>9.5535969385762545E-2</v>
      </c>
      <c r="F37" s="7">
        <f>'pivot tables'!G53/'pivot tables'!G20</f>
        <v>0.10526337489860242</v>
      </c>
      <c r="G37" s="7">
        <f>'pivot tables'!H53/'pivot tables'!H20</f>
        <v>0.11342211329175989</v>
      </c>
      <c r="H37" s="7">
        <f>'pivot tables'!I53/'pivot tables'!I20</f>
        <v>0.1151783501398574</v>
      </c>
      <c r="I37" s="7">
        <f>'pivot tables'!J53/'pivot tables'!J20</f>
        <v>0.11128619446455829</v>
      </c>
      <c r="J37" s="7">
        <f>'pivot tables'!K53/'pivot tables'!K20</f>
        <v>9.3673176277145845E-2</v>
      </c>
      <c r="K37" s="7">
        <f>'pivot tables'!L53/'pivot tables'!L20</f>
        <v>0.10315494418155768</v>
      </c>
      <c r="L37" s="7">
        <f>'pivot tables'!M53/'pivot tables'!M20</f>
        <v>0.10803884139795111</v>
      </c>
      <c r="M37" s="7">
        <f>'pivot tables'!N53/'pivot tables'!N20</f>
        <v>0.10818730243538177</v>
      </c>
      <c r="N37" s="7">
        <f>'pivot tables'!O53/'pivot tables'!O20</f>
        <v>0.14124779189678857</v>
      </c>
      <c r="O37" s="7">
        <f>'pivot tables'!P53/'pivot tables'!P20</f>
        <v>0.15118218299199845</v>
      </c>
      <c r="P37" s="7">
        <f>'pivot tables'!Q53/'pivot tables'!Q20</f>
        <v>0.1459492332737482</v>
      </c>
      <c r="Q37" s="7">
        <f>'pivot tables'!R53/'pivot tables'!R20</f>
        <v>0.15036652129617195</v>
      </c>
      <c r="R37" s="7">
        <f>'pivot tables'!S53/'pivot tables'!S20</f>
        <v>0.17705709558655838</v>
      </c>
      <c r="S37" s="7">
        <f>'pivot tables'!T53/'pivot tables'!T20</f>
        <v>0.1814666304895188</v>
      </c>
      <c r="T37" s="7">
        <f>'pivot tables'!U53/'pivot tables'!U20</f>
        <v>0.18422180804163429</v>
      </c>
      <c r="U37" s="7">
        <f>'pivot tables'!V53/'pivot tables'!V20</f>
        <v>0.18923371019711308</v>
      </c>
      <c r="V37" s="7">
        <f>'pivot tables'!W53/'pivot tables'!W20</f>
        <v>0.17430675380770136</v>
      </c>
      <c r="W37" s="7">
        <f>'pivot tables'!X53/'pivot tables'!X20</f>
        <v>0.18420045606362509</v>
      </c>
      <c r="X37" s="7">
        <f>'pivot tables'!Y53/'pivot tables'!Y20</f>
        <v>0.18811744209312511</v>
      </c>
      <c r="Y37" s="7">
        <f>'pivot tables'!Z53/'pivot tables'!Z20</f>
        <v>0.19404507389725656</v>
      </c>
      <c r="Z37" s="7">
        <f>'pivot tables'!AA53/'pivot tables'!AA20</f>
        <v>0.20001345553052741</v>
      </c>
      <c r="AA37" s="7">
        <f>'pivot tables'!AB53/'pivot tables'!AB20</f>
        <v>0.20124964340465271</v>
      </c>
      <c r="AB37" s="7">
        <f>'pivot tables'!AC53/'pivot tables'!AC20</f>
        <v>0.21821802202823556</v>
      </c>
      <c r="AC37" s="7">
        <f>'pivot tables'!AD53/'pivot tables'!AD20</f>
        <v>0.21793480372664986</v>
      </c>
      <c r="AD37" s="7">
        <f>'pivot tables'!AE53/'pivot tables'!AE20</f>
        <v>0.2471229926891349</v>
      </c>
      <c r="AE37" s="7">
        <f>'pivot tables'!AF53/'pivot tables'!AF20</f>
        <v>0.21854099993915277</v>
      </c>
      <c r="AF37" s="7">
        <f>'pivot tables'!AG53/'pivot tables'!AG20</f>
        <v>0.21919741612400248</v>
      </c>
      <c r="AG37" s="7">
        <f>'pivot tables'!AH53/'pivot tables'!AH20</f>
        <v>0.20656920299830639</v>
      </c>
      <c r="AH37" s="7">
        <f>'pivot tables'!AI53/'pivot tables'!AI20</f>
        <v>0.21091866169919968</v>
      </c>
      <c r="AI37" s="7">
        <f>'pivot tables'!AJ53/'pivot tables'!AJ20</f>
        <v>0.1824273774674634</v>
      </c>
      <c r="AJ37" s="7">
        <f>'pivot tables'!AK53/'pivot tables'!AK20</f>
        <v>0.18235056290890567</v>
      </c>
    </row>
    <row r="38" spans="2:36" x14ac:dyDescent="0.25">
      <c r="B38" t="s">
        <v>38</v>
      </c>
      <c r="C38" s="7">
        <f>'pivot tables'!D54/'pivot tables'!D21</f>
        <v>0.31182273368267016</v>
      </c>
      <c r="D38" s="7">
        <f>'pivot tables'!E54/'pivot tables'!E21</f>
        <v>0.30296350561618968</v>
      </c>
      <c r="E38" s="7">
        <f>'pivot tables'!F54/'pivot tables'!F21</f>
        <v>0.37843404924486646</v>
      </c>
      <c r="F38" s="7">
        <f>'pivot tables'!G54/'pivot tables'!G21</f>
        <v>0.38665006006735231</v>
      </c>
      <c r="G38" s="7">
        <f>'pivot tables'!H54/'pivot tables'!H21</f>
        <v>0.4089366680448292</v>
      </c>
      <c r="H38" s="7">
        <f>'pivot tables'!I54/'pivot tables'!I21</f>
        <v>0.4153269033439293</v>
      </c>
      <c r="I38" s="7">
        <f>'pivot tables'!J54/'pivot tables'!J21</f>
        <v>0.45889933154246021</v>
      </c>
      <c r="J38" s="7">
        <f>'pivot tables'!K54/'pivot tables'!K21</f>
        <v>0.46069298774498757</v>
      </c>
      <c r="K38" s="7">
        <f>'pivot tables'!L54/'pivot tables'!L21</f>
        <v>0.50837437827618348</v>
      </c>
      <c r="L38" s="7">
        <f>'pivot tables'!M54/'pivot tables'!M21</f>
        <v>0.50078512066076908</v>
      </c>
      <c r="M38" s="7">
        <f>'pivot tables'!N54/'pivot tables'!N21</f>
        <v>0.59892530542020184</v>
      </c>
      <c r="N38" s="7">
        <f>'pivot tables'!O54/'pivot tables'!O21</f>
        <v>0.59360122728359432</v>
      </c>
      <c r="O38" s="7">
        <f>'pivot tables'!P54/'pivot tables'!P21</f>
        <v>0.52542140867505771</v>
      </c>
      <c r="P38" s="7">
        <f>'pivot tables'!Q54/'pivot tables'!Q21</f>
        <v>0.62023879126422943</v>
      </c>
      <c r="Q38" s="7">
        <f>'pivot tables'!R54/'pivot tables'!R21</f>
        <v>0.58691330513553397</v>
      </c>
      <c r="R38" s="7">
        <f>'pivot tables'!S54/'pivot tables'!S21</f>
        <v>0.60468882109447852</v>
      </c>
      <c r="S38" s="7">
        <f>'pivot tables'!T54/'pivot tables'!T21</f>
        <v>0.66607162853046598</v>
      </c>
      <c r="T38" s="7">
        <f>'pivot tables'!U54/'pivot tables'!U21</f>
        <v>0.64320438497225296</v>
      </c>
      <c r="U38" s="7">
        <f>'pivot tables'!V54/'pivot tables'!V21</f>
        <v>0.45431695108826803</v>
      </c>
      <c r="V38" s="7">
        <f>'pivot tables'!W54/'pivot tables'!W21</f>
        <v>0.4646801060379111</v>
      </c>
      <c r="W38" s="7">
        <f>'pivot tables'!X54/'pivot tables'!X21</f>
        <v>0.50784294448104572</v>
      </c>
      <c r="X38" s="7">
        <f>'pivot tables'!Y54/'pivot tables'!Y21</f>
        <v>0.48280148070329126</v>
      </c>
      <c r="Y38" s="7">
        <f>'pivot tables'!Z54/'pivot tables'!Z21</f>
        <v>0.45830514493494795</v>
      </c>
      <c r="Z38" s="7">
        <f>'pivot tables'!AA54/'pivot tables'!AA21</f>
        <v>0.45890069003316342</v>
      </c>
      <c r="AA38" s="7">
        <f>'pivot tables'!AB54/'pivot tables'!AB21</f>
        <v>0.497987414238731</v>
      </c>
      <c r="AB38" s="7">
        <f>'pivot tables'!AC54/'pivot tables'!AC21</f>
        <v>0.48828301226175674</v>
      </c>
      <c r="AC38" s="7">
        <f>'pivot tables'!AD54/'pivot tables'!AD21</f>
        <v>0.51804746743172025</v>
      </c>
      <c r="AD38" s="7">
        <f>'pivot tables'!AE54/'pivot tables'!AE21</f>
        <v>0.54457586677475489</v>
      </c>
      <c r="AE38" s="7">
        <f>'pivot tables'!AF54/'pivot tables'!AF21</f>
        <v>0.53427792145021169</v>
      </c>
      <c r="AF38" s="7">
        <f>'pivot tables'!AG54/'pivot tables'!AG21</f>
        <v>0.5533401078304464</v>
      </c>
      <c r="AG38" s="7">
        <f>'pivot tables'!AH54/'pivot tables'!AH21</f>
        <v>0.53887995108518028</v>
      </c>
      <c r="AH38" s="7">
        <f>'pivot tables'!AI54/'pivot tables'!AI21</f>
        <v>0.59853979347251729</v>
      </c>
      <c r="AI38" s="7">
        <f>'pivot tables'!AJ54/'pivot tables'!AJ21</f>
        <v>0.57668421386968105</v>
      </c>
      <c r="AJ38" s="7">
        <f>'pivot tables'!AK54/'pivot tables'!AK21</f>
        <v>0.58406754402075378</v>
      </c>
    </row>
    <row r="39" spans="2:36" x14ac:dyDescent="0.25">
      <c r="B39" t="s">
        <v>39</v>
      </c>
      <c r="C39" s="7">
        <f>'pivot tables'!D55/'pivot tables'!D22</f>
        <v>0.10599683835361014</v>
      </c>
      <c r="D39" s="7">
        <f>'pivot tables'!E55/'pivot tables'!E22</f>
        <v>9.2892882682971814E-2</v>
      </c>
      <c r="E39" s="7">
        <f>'pivot tables'!F55/'pivot tables'!F22</f>
        <v>7.9044530847166034E-2</v>
      </c>
      <c r="F39" s="7">
        <f>'pivot tables'!G55/'pivot tables'!G22</f>
        <v>8.8749458254502242E-2</v>
      </c>
      <c r="G39" s="7">
        <f>'pivot tables'!H55/'pivot tables'!H22</f>
        <v>7.6982105205369286E-2</v>
      </c>
      <c r="H39" s="7">
        <f>'pivot tables'!I55/'pivot tables'!I22</f>
        <v>0.10512943629969397</v>
      </c>
      <c r="I39" s="7">
        <f>'pivot tables'!J55/'pivot tables'!J22</f>
        <v>0.10819260019269068</v>
      </c>
      <c r="J39" s="7">
        <f>'pivot tables'!K55/'pivot tables'!K22</f>
        <v>0.10463370106710962</v>
      </c>
      <c r="K39" s="7">
        <f>'pivot tables'!L55/'pivot tables'!L22</f>
        <v>0.11662314242315075</v>
      </c>
      <c r="L39" s="7">
        <f>'pivot tables'!M55/'pivot tables'!M22</f>
        <v>0.11253225200059959</v>
      </c>
      <c r="M39" s="7">
        <f>'pivot tables'!N55/'pivot tables'!N22</f>
        <v>9.7099884293862626E-2</v>
      </c>
      <c r="N39" s="7">
        <f>'pivot tables'!O55/'pivot tables'!O22</f>
        <v>8.8148930774360798E-2</v>
      </c>
      <c r="O39" s="7">
        <f>'pivot tables'!P55/'pivot tables'!P22</f>
        <v>9.074665515964199E-2</v>
      </c>
      <c r="P39" s="7">
        <f>'pivot tables'!Q55/'pivot tables'!Q22</f>
        <v>9.3347941907449564E-2</v>
      </c>
      <c r="Q39" s="7">
        <f>'pivot tables'!R55/'pivot tables'!R22</f>
        <v>9.780966176249907E-2</v>
      </c>
      <c r="R39" s="7">
        <f>'pivot tables'!S55/'pivot tables'!S22</f>
        <v>9.5723093040768301E-2</v>
      </c>
      <c r="S39" s="7">
        <f>'pivot tables'!T55/'pivot tables'!T22</f>
        <v>0.10263358548589432</v>
      </c>
      <c r="T39" s="7">
        <f>'pivot tables'!U55/'pivot tables'!U22</f>
        <v>0.1039100656220313</v>
      </c>
      <c r="U39" s="7">
        <f>'pivot tables'!V55/'pivot tables'!V22</f>
        <v>0.10506977404615581</v>
      </c>
      <c r="V39" s="7">
        <f>'pivot tables'!W55/'pivot tables'!W22</f>
        <v>9.2181254198670945E-2</v>
      </c>
      <c r="W39" s="7">
        <f>'pivot tables'!X55/'pivot tables'!X22</f>
        <v>8.6036390567909599E-2</v>
      </c>
      <c r="X39" s="7">
        <f>'pivot tables'!Y55/'pivot tables'!Y22</f>
        <v>7.6844910520247334E-2</v>
      </c>
      <c r="Y39" s="7">
        <f>'pivot tables'!Z55/'pivot tables'!Z22</f>
        <v>7.2944414846585134E-2</v>
      </c>
      <c r="Z39" s="7">
        <f>'pivot tables'!AA55/'pivot tables'!AA22</f>
        <v>6.9805799752044956E-2</v>
      </c>
      <c r="AA39" s="7">
        <f>'pivot tables'!AB55/'pivot tables'!AB22</f>
        <v>7.1330702415275754E-2</v>
      </c>
      <c r="AB39" s="7">
        <f>'pivot tables'!AC55/'pivot tables'!AC22</f>
        <v>7.3636011538537952E-2</v>
      </c>
      <c r="AC39" s="7">
        <f>'pivot tables'!AD55/'pivot tables'!AD22</f>
        <v>7.4548367373403923E-2</v>
      </c>
      <c r="AD39" s="7">
        <f>'pivot tables'!AE55/'pivot tables'!AE22</f>
        <v>7.0691189835181661E-2</v>
      </c>
      <c r="AE39" s="7">
        <f>'pivot tables'!AF55/'pivot tables'!AF22</f>
        <v>6.2278826834608718E-2</v>
      </c>
      <c r="AF39" s="7">
        <f>'pivot tables'!AG55/'pivot tables'!AG22</f>
        <v>0.10767182116730449</v>
      </c>
      <c r="AG39" s="7">
        <f>'pivot tables'!AH55/'pivot tables'!AH22</f>
        <v>8.4989470408970369E-2</v>
      </c>
      <c r="AH39" s="7">
        <f>'pivot tables'!AI55/'pivot tables'!AI22</f>
        <v>7.4937997229226228E-2</v>
      </c>
      <c r="AI39" s="7">
        <f>'pivot tables'!AJ55/'pivot tables'!AJ22</f>
        <v>7.4326967036330113E-2</v>
      </c>
      <c r="AJ39" s="7">
        <f>'pivot tables'!AK55/'pivot tables'!AK22</f>
        <v>7.4283239387223449E-2</v>
      </c>
    </row>
    <row r="40" spans="2:36" x14ac:dyDescent="0.25">
      <c r="B40" t="s">
        <v>40</v>
      </c>
      <c r="C40" s="7">
        <f>'pivot tables'!D56/'pivot tables'!D23</f>
        <v>0.14123545112894356</v>
      </c>
      <c r="D40" s="7">
        <f>'pivot tables'!E56/'pivot tables'!E23</f>
        <v>0.14347627051378356</v>
      </c>
      <c r="E40" s="7">
        <f>'pivot tables'!F56/'pivot tables'!F23</f>
        <v>6.1679344469565238E-2</v>
      </c>
      <c r="F40" s="7">
        <f>'pivot tables'!G56/'pivot tables'!G23</f>
        <v>0.11573529288966343</v>
      </c>
      <c r="G40" s="7">
        <f>'pivot tables'!H56/'pivot tables'!H23</f>
        <v>0.17785606055096942</v>
      </c>
      <c r="H40" s="7">
        <f>'pivot tables'!I56/'pivot tables'!I23</f>
        <v>0.20198753212456338</v>
      </c>
      <c r="I40" s="7">
        <f>'pivot tables'!J56/'pivot tables'!J23</f>
        <v>0.24521139684861454</v>
      </c>
      <c r="J40" s="7">
        <f>'pivot tables'!K56/'pivot tables'!K23</f>
        <v>0.21565568364392038</v>
      </c>
      <c r="K40" s="7">
        <f>'pivot tables'!L56/'pivot tables'!L23</f>
        <v>0.20988563970195862</v>
      </c>
      <c r="L40" s="7">
        <f>'pivot tables'!M56/'pivot tables'!M23</f>
        <v>0.20343167576072285</v>
      </c>
      <c r="M40" s="7">
        <f>'pivot tables'!N56/'pivot tables'!N23</f>
        <v>0.26591290512225346</v>
      </c>
      <c r="N40" s="7">
        <f>'pivot tables'!O56/'pivot tables'!O23</f>
        <v>0.26641342492838876</v>
      </c>
      <c r="O40" s="7">
        <f>'pivot tables'!P56/'pivot tables'!P23</f>
        <v>0.28539455201965164</v>
      </c>
      <c r="P40" s="7">
        <f>'pivot tables'!Q56/'pivot tables'!Q23</f>
        <v>0.31497296106025274</v>
      </c>
      <c r="Q40" s="7">
        <f>'pivot tables'!R56/'pivot tables'!R23</f>
        <v>0.2960849624236811</v>
      </c>
      <c r="R40" s="7">
        <f>'pivot tables'!S56/'pivot tables'!S23</f>
        <v>0.28443717867883977</v>
      </c>
      <c r="S40" s="7">
        <f>'pivot tables'!T56/'pivot tables'!T23</f>
        <v>0.28397363320241631</v>
      </c>
      <c r="T40" s="7">
        <f>'pivot tables'!U56/'pivot tables'!U23</f>
        <v>0.31701728356483561</v>
      </c>
      <c r="U40" s="7">
        <f>'pivot tables'!V56/'pivot tables'!V23</f>
        <v>0.26814958959781471</v>
      </c>
      <c r="V40" s="7">
        <f>'pivot tables'!W56/'pivot tables'!W23</f>
        <v>0.23316192900208221</v>
      </c>
      <c r="W40" s="7">
        <f>'pivot tables'!X56/'pivot tables'!X23</f>
        <v>0.30403750380288341</v>
      </c>
      <c r="X40" s="7">
        <f>'pivot tables'!Y56/'pivot tables'!Y23</f>
        <v>0.32582580983898252</v>
      </c>
      <c r="Y40" s="7">
        <f>'pivot tables'!Z56/'pivot tables'!Z23</f>
        <v>0.30169429280049292</v>
      </c>
      <c r="Z40" s="7">
        <f>'pivot tables'!AA56/'pivot tables'!AA23</f>
        <v>0.32589879410694794</v>
      </c>
      <c r="AA40" s="7">
        <f>'pivot tables'!AB56/'pivot tables'!AB23</f>
        <v>0.33433199479278686</v>
      </c>
      <c r="AB40" s="7">
        <f>'pivot tables'!AC56/'pivot tables'!AC23</f>
        <v>0.32093017757184766</v>
      </c>
      <c r="AC40" s="7">
        <f>'pivot tables'!AD56/'pivot tables'!AD23</f>
        <v>0.29389058988137595</v>
      </c>
      <c r="AD40" s="7">
        <f>'pivot tables'!AE56/'pivot tables'!AE23</f>
        <v>0.2902019317818495</v>
      </c>
      <c r="AE40" s="7">
        <f>'pivot tables'!AF56/'pivot tables'!AF23</f>
        <v>0.30484847980295288</v>
      </c>
      <c r="AF40" s="7">
        <f>'pivot tables'!AG56/'pivot tables'!AG23</f>
        <v>0.27804110190785786</v>
      </c>
      <c r="AG40" s="7">
        <f>'pivot tables'!AH56/'pivot tables'!AH23</f>
        <v>0.30356338282852158</v>
      </c>
      <c r="AH40" s="7">
        <f>'pivot tables'!AI56/'pivot tables'!AI23</f>
        <v>0.33049678193410559</v>
      </c>
      <c r="AI40" s="7">
        <f>'pivot tables'!AJ56/'pivot tables'!AJ23</f>
        <v>0.41549417417022322</v>
      </c>
      <c r="AJ40" s="7">
        <f>'pivot tables'!AK56/'pivot tables'!AK23</f>
        <v>0.39348549297220653</v>
      </c>
    </row>
    <row r="41" spans="2:36" x14ac:dyDescent="0.25">
      <c r="B41" t="s">
        <v>41</v>
      </c>
      <c r="C41" s="7">
        <f>'pivot tables'!D57/'pivot tables'!D24</f>
        <v>9.9352586232849552E-2</v>
      </c>
      <c r="D41" s="7">
        <f>'pivot tables'!E57/'pivot tables'!E24</f>
        <v>9.930892246544229E-2</v>
      </c>
      <c r="E41" s="7">
        <f>'pivot tables'!F57/'pivot tables'!F24</f>
        <v>8.1138766038741705E-2</v>
      </c>
      <c r="F41" s="7">
        <f>'pivot tables'!G57/'pivot tables'!G24</f>
        <v>5.1553116412415757E-2</v>
      </c>
      <c r="G41" s="7">
        <f>'pivot tables'!H57/'pivot tables'!H24</f>
        <v>9.3116329560164995E-2</v>
      </c>
      <c r="H41" s="7">
        <f>'pivot tables'!I57/'pivot tables'!I24</f>
        <v>0.12559863185932724</v>
      </c>
      <c r="I41" s="7">
        <f>'pivot tables'!J57/'pivot tables'!J24</f>
        <v>0.14406770890376505</v>
      </c>
      <c r="J41" s="7">
        <f>'pivot tables'!K57/'pivot tables'!K24</f>
        <v>0.22064805479127753</v>
      </c>
      <c r="K41" s="7">
        <f>'pivot tables'!L57/'pivot tables'!L24</f>
        <v>0.25716681477478592</v>
      </c>
      <c r="L41" s="7">
        <f>'pivot tables'!M57/'pivot tables'!M24</f>
        <v>0.2885825770154779</v>
      </c>
      <c r="M41" s="7">
        <f>'pivot tables'!N57/'pivot tables'!N24</f>
        <v>0.30211574977666644</v>
      </c>
      <c r="N41" s="7">
        <f>'pivot tables'!O57/'pivot tables'!O24</f>
        <v>0.29219230659461437</v>
      </c>
      <c r="O41" s="7">
        <f>'pivot tables'!P57/'pivot tables'!P24</f>
        <v>0.29944453721164965</v>
      </c>
      <c r="P41" s="7">
        <f>'pivot tables'!Q57/'pivot tables'!Q24</f>
        <v>0.30144305328626941</v>
      </c>
      <c r="Q41" s="7">
        <f>'pivot tables'!R57/'pivot tables'!R24</f>
        <v>0.29511647429020599</v>
      </c>
      <c r="R41" s="7">
        <f>'pivot tables'!S57/'pivot tables'!S24</f>
        <v>0.30281150232001564</v>
      </c>
      <c r="S41" s="7">
        <f>'pivot tables'!T57/'pivot tables'!T24</f>
        <v>0.31022694730178868</v>
      </c>
      <c r="T41" s="7">
        <f>'pivot tables'!U57/'pivot tables'!U24</f>
        <v>0.23689817178436554</v>
      </c>
      <c r="U41" s="7">
        <f>'pivot tables'!V57/'pivot tables'!V24</f>
        <v>0.21169738763682502</v>
      </c>
      <c r="V41" s="7">
        <f>'pivot tables'!W57/'pivot tables'!W24</f>
        <v>0.22918570379103567</v>
      </c>
      <c r="W41" s="7">
        <f>'pivot tables'!X57/'pivot tables'!X24</f>
        <v>0.28084161191586926</v>
      </c>
      <c r="X41" s="7">
        <f>'pivot tables'!Y57/'pivot tables'!Y24</f>
        <v>0.30188912885910307</v>
      </c>
      <c r="Y41" s="7">
        <f>'pivot tables'!Z57/'pivot tables'!Z24</f>
        <v>0.29342412363324472</v>
      </c>
      <c r="Z41" s="7">
        <f>'pivot tables'!AA57/'pivot tables'!AA24</f>
        <v>0.29717868849265616</v>
      </c>
      <c r="AA41" s="7">
        <f>'pivot tables'!AB57/'pivot tables'!AB24</f>
        <v>0.2987346097992129</v>
      </c>
      <c r="AB41" s="7">
        <f>'pivot tables'!AC57/'pivot tables'!AC24</f>
        <v>0.30171597793095939</v>
      </c>
      <c r="AC41" s="7">
        <f>'pivot tables'!AD57/'pivot tables'!AD24</f>
        <v>0.32871717350623325</v>
      </c>
      <c r="AD41" s="7">
        <f>'pivot tables'!AE57/'pivot tables'!AE24</f>
        <v>0.36567664374026776</v>
      </c>
      <c r="AE41" s="7">
        <f>'pivot tables'!AF57/'pivot tables'!AF24</f>
        <v>0.35331957883687254</v>
      </c>
      <c r="AF41" s="7">
        <f>'pivot tables'!AG57/'pivot tables'!AG24</f>
        <v>0.35752957302234056</v>
      </c>
      <c r="AG41" s="7">
        <f>'pivot tables'!AH57/'pivot tables'!AH24</f>
        <v>0.34446449932309564</v>
      </c>
      <c r="AH41" s="7">
        <f>'pivot tables'!AI57/'pivot tables'!AI24</f>
        <v>0.38714454031159984</v>
      </c>
      <c r="AI41" s="7">
        <f>'pivot tables'!AJ57/'pivot tables'!AJ24</f>
        <v>0.34000022851983269</v>
      </c>
      <c r="AJ41" s="7">
        <f>'pivot tables'!AK57/'pivot tables'!AK24</f>
        <v>0.37006371912755753</v>
      </c>
    </row>
    <row r="42" spans="2:36" x14ac:dyDescent="0.25">
      <c r="B42" t="s">
        <v>42</v>
      </c>
      <c r="C42" s="7">
        <f>'pivot tables'!D58/'pivot tables'!D25</f>
        <v>0.11728105726324511</v>
      </c>
      <c r="D42" s="7">
        <f>'pivot tables'!E58/'pivot tables'!E25</f>
        <v>0.11148973210661559</v>
      </c>
      <c r="E42" s="7">
        <f>'pivot tables'!F58/'pivot tables'!F25</f>
        <v>0.10988312649613044</v>
      </c>
      <c r="F42" s="7">
        <f>'pivot tables'!G58/'pivot tables'!G25</f>
        <v>0.11644348454628327</v>
      </c>
      <c r="G42" s="7">
        <f>'pivot tables'!H58/'pivot tables'!H25</f>
        <v>0.12587445497834265</v>
      </c>
      <c r="H42" s="7">
        <f>'pivot tables'!I58/'pivot tables'!I25</f>
        <v>0.12541039184904673</v>
      </c>
      <c r="I42" s="7">
        <f>'pivot tables'!J58/'pivot tables'!J25</f>
        <v>0.12380878740575919</v>
      </c>
      <c r="J42" s="7">
        <f>'pivot tables'!K58/'pivot tables'!K25</f>
        <v>0.1264837181344248</v>
      </c>
      <c r="K42" s="7">
        <f>'pivot tables'!L58/'pivot tables'!L25</f>
        <v>0.13176937472512851</v>
      </c>
      <c r="L42" s="7">
        <f>'pivot tables'!M58/'pivot tables'!M25</f>
        <v>0.12620258876814883</v>
      </c>
      <c r="M42" s="7">
        <f>'pivot tables'!N58/'pivot tables'!N25</f>
        <v>0.12758240310751412</v>
      </c>
      <c r="N42" s="7">
        <f>'pivot tables'!O58/'pivot tables'!O25</f>
        <v>0.12441753259651279</v>
      </c>
      <c r="O42" s="7">
        <f>'pivot tables'!P58/'pivot tables'!P25</f>
        <v>0.1194077596250718</v>
      </c>
      <c r="P42" s="7">
        <f>'pivot tables'!Q58/'pivot tables'!Q25</f>
        <v>0.12065711056941218</v>
      </c>
      <c r="Q42" s="7">
        <f>'pivot tables'!R58/'pivot tables'!R25</f>
        <v>0.12777332915704323</v>
      </c>
      <c r="R42" s="7">
        <f>'pivot tables'!S58/'pivot tables'!S25</f>
        <v>0.12723397904922987</v>
      </c>
      <c r="S42" s="7">
        <f>'pivot tables'!T58/'pivot tables'!T25</f>
        <v>0.12566030491463301</v>
      </c>
      <c r="T42" s="7">
        <f>'pivot tables'!U58/'pivot tables'!U25</f>
        <v>0.1220204905870596</v>
      </c>
      <c r="U42" s="7">
        <f>'pivot tables'!V58/'pivot tables'!V25</f>
        <v>0.1133581385494388</v>
      </c>
      <c r="V42" s="7">
        <f>'pivot tables'!W58/'pivot tables'!W25</f>
        <v>9.5729776567852198E-2</v>
      </c>
      <c r="W42" s="7">
        <f>'pivot tables'!X58/'pivot tables'!X25</f>
        <v>0.10632447393925844</v>
      </c>
      <c r="X42" s="7">
        <f>'pivot tables'!Y58/'pivot tables'!Y25</f>
        <v>0.10185087682567301</v>
      </c>
      <c r="Y42" s="7">
        <f>'pivot tables'!Z58/'pivot tables'!Z25</f>
        <v>9.2283751099117822E-2</v>
      </c>
      <c r="Z42" s="7">
        <f>'pivot tables'!AA58/'pivot tables'!AA25</f>
        <v>8.4282646295510258E-2</v>
      </c>
      <c r="AA42" s="7">
        <f>'pivot tables'!AB58/'pivot tables'!AB25</f>
        <v>8.7561246555444242E-2</v>
      </c>
      <c r="AB42" s="7">
        <f>'pivot tables'!AC58/'pivot tables'!AC25</f>
        <v>8.7071951558206462E-2</v>
      </c>
      <c r="AC42" s="7">
        <f>'pivot tables'!AD58/'pivot tables'!AD25</f>
        <v>9.2341437116916322E-2</v>
      </c>
      <c r="AD42" s="7">
        <f>'pivot tables'!AE58/'pivot tables'!AE25</f>
        <v>9.4864069265609044E-2</v>
      </c>
      <c r="AE42" s="7">
        <f>'pivot tables'!AF58/'pivot tables'!AF25</f>
        <v>9.6659129448628298E-2</v>
      </c>
      <c r="AF42" s="7">
        <f>'pivot tables'!AG58/'pivot tables'!AG25</f>
        <v>9.6264074470981328E-2</v>
      </c>
      <c r="AG42" s="7">
        <f>'pivot tables'!AH58/'pivot tables'!AH25</f>
        <v>9.2199197121812182E-2</v>
      </c>
      <c r="AH42" s="7">
        <f>'pivot tables'!AI58/'pivot tables'!AI25</f>
        <v>9.6174428823450203E-2</v>
      </c>
      <c r="AI42" s="7">
        <f>'pivot tables'!AJ58/'pivot tables'!AJ25</f>
        <v>9.4040686150790725E-2</v>
      </c>
      <c r="AJ42" s="7">
        <f>'pivot tables'!AK58/'pivot tables'!AK25</f>
        <v>8.7884690891018136E-2</v>
      </c>
    </row>
    <row r="43" spans="2:36" x14ac:dyDescent="0.25">
      <c r="B43" t="s">
        <v>43</v>
      </c>
      <c r="C43" s="7">
        <f>'pivot tables'!D59/'pivot tables'!D26</f>
        <v>5.9674942449611169E-2</v>
      </c>
      <c r="D43" s="7">
        <f>'pivot tables'!E59/'pivot tables'!E26</f>
        <v>5.4915321733374656E-2</v>
      </c>
      <c r="E43" s="7">
        <f>'pivot tables'!F59/'pivot tables'!F26</f>
        <v>6.567662858572007E-2</v>
      </c>
      <c r="F43" s="7">
        <f>'pivot tables'!G59/'pivot tables'!G26</f>
        <v>7.4892466326489202E-2</v>
      </c>
      <c r="G43" s="7">
        <f>'pivot tables'!H59/'pivot tables'!H26</f>
        <v>8.7222277108337937E-2</v>
      </c>
      <c r="H43" s="7">
        <f>'pivot tables'!I59/'pivot tables'!I26</f>
        <v>7.8647758042772409E-2</v>
      </c>
      <c r="I43" s="7">
        <f>'pivot tables'!J59/'pivot tables'!J26</f>
        <v>7.6993114723493225E-2</v>
      </c>
      <c r="J43" s="7">
        <f>'pivot tables'!K59/'pivot tables'!K26</f>
        <v>8.8076443175519423E-2</v>
      </c>
      <c r="K43" s="7">
        <f>'pivot tables'!L59/'pivot tables'!L26</f>
        <v>0.10100827613029341</v>
      </c>
      <c r="L43" s="7">
        <f>'pivot tables'!M59/'pivot tables'!M26</f>
        <v>0.12427502823851112</v>
      </c>
      <c r="M43" s="7">
        <f>'pivot tables'!N59/'pivot tables'!N26</f>
        <v>0.13740388070730278</v>
      </c>
      <c r="N43" s="7">
        <f>'pivot tables'!O59/'pivot tables'!O26</f>
        <v>0.13108513304404704</v>
      </c>
      <c r="O43" s="7">
        <f>'pivot tables'!P59/'pivot tables'!P26</f>
        <v>0.14031862652797814</v>
      </c>
      <c r="P43" s="7">
        <f>'pivot tables'!Q59/'pivot tables'!Q26</f>
        <v>0.15609540353529702</v>
      </c>
      <c r="Q43" s="7">
        <f>'pivot tables'!R59/'pivot tables'!R26</f>
        <v>0.17772223753785008</v>
      </c>
      <c r="R43" s="7">
        <f>'pivot tables'!S59/'pivot tables'!S26</f>
        <v>0.16974942431342346</v>
      </c>
      <c r="S43" s="7">
        <f>'pivot tables'!T59/'pivot tables'!T26</f>
        <v>0.17762159118338308</v>
      </c>
      <c r="T43" s="7">
        <f>'pivot tables'!U59/'pivot tables'!U26</f>
        <v>0.19828293514594805</v>
      </c>
      <c r="U43" s="7">
        <f>'pivot tables'!V59/'pivot tables'!V26</f>
        <v>0.18638041780847145</v>
      </c>
      <c r="V43" s="7">
        <f>'pivot tables'!W59/'pivot tables'!W26</f>
        <v>0.18324750479312585</v>
      </c>
      <c r="W43" s="7">
        <f>'pivot tables'!X59/'pivot tables'!X26</f>
        <v>0.19850486975040382</v>
      </c>
      <c r="X43" s="7">
        <f>'pivot tables'!Y59/'pivot tables'!Y26</f>
        <v>0.20013251849951655</v>
      </c>
      <c r="Y43" s="7">
        <f>'pivot tables'!Z59/'pivot tables'!Z26</f>
        <v>0.20296360101945118</v>
      </c>
      <c r="Z43" s="7">
        <f>'pivot tables'!AA59/'pivot tables'!AA26</f>
        <v>0.20841940903521033</v>
      </c>
      <c r="AA43" s="7">
        <f>'pivot tables'!AB59/'pivot tables'!AB26</f>
        <v>0.21180552952891665</v>
      </c>
      <c r="AB43" s="7">
        <f>'pivot tables'!AC59/'pivot tables'!AC26</f>
        <v>0.21742608167342753</v>
      </c>
      <c r="AC43" s="7">
        <f>'pivot tables'!AD59/'pivot tables'!AD26</f>
        <v>0.22977052947609847</v>
      </c>
      <c r="AD43" s="7">
        <f>'pivot tables'!AE59/'pivot tables'!AE26</f>
        <v>0.23914245153715136</v>
      </c>
      <c r="AE43" s="7">
        <f>'pivot tables'!AF59/'pivot tables'!AF26</f>
        <v>0.24808677677978611</v>
      </c>
      <c r="AF43" s="7">
        <f>'pivot tables'!AG59/'pivot tables'!AG26</f>
        <v>0.24930992333628257</v>
      </c>
      <c r="AG43" s="7">
        <f>'pivot tables'!AH59/'pivot tables'!AH26</f>
        <v>0.25499066808570053</v>
      </c>
      <c r="AH43" s="7">
        <f>'pivot tables'!AI59/'pivot tables'!AI26</f>
        <v>0.27412304022524719</v>
      </c>
      <c r="AI43" s="7">
        <f>'pivot tables'!AJ59/'pivot tables'!AJ26</f>
        <v>0.25572263756639674</v>
      </c>
      <c r="AJ43" s="7">
        <f>'pivot tables'!AK59/'pivot tables'!AK26</f>
        <v>0.25722762754733358</v>
      </c>
    </row>
    <row r="44" spans="2:36" x14ac:dyDescent="0.25">
      <c r="B44" t="s">
        <v>44</v>
      </c>
      <c r="C44" s="8">
        <f>'pivot tables'!D60/'pivot tables'!D27/1000</f>
        <v>0.2969499681641018</v>
      </c>
      <c r="D44" s="8">
        <f>'pivot tables'!E60/'pivot tables'!E27/1000</f>
        <v>0.29493007550745426</v>
      </c>
      <c r="E44" s="8">
        <f>'pivot tables'!F60/'pivot tables'!F27/1000</f>
        <v>0.27492016077622516</v>
      </c>
      <c r="F44" s="8">
        <f>'pivot tables'!G60/'pivot tables'!G27/1000</f>
        <v>0.26714842505775549</v>
      </c>
      <c r="G44" s="8">
        <f>'pivot tables'!H60/'pivot tables'!H27/1000</f>
        <v>0.26556534651280528</v>
      </c>
      <c r="H44" s="8">
        <f>'pivot tables'!I60/'pivot tables'!I27/1000</f>
        <v>0.25680169982010165</v>
      </c>
      <c r="I44" s="8">
        <f>'pivot tables'!J60/'pivot tables'!J27/1000</f>
        <v>0.26867156445862567</v>
      </c>
      <c r="J44" s="8">
        <f>'pivot tables'!K60/'pivot tables'!K27/1000</f>
        <v>0.25352546275312693</v>
      </c>
      <c r="K44" s="8">
        <f>'pivot tables'!L60/'pivot tables'!L27/1000</f>
        <v>0.23345342051291579</v>
      </c>
      <c r="L44" s="8">
        <f>'pivot tables'!M60/'pivot tables'!M27/1000</f>
        <v>0.24827434893925071</v>
      </c>
      <c r="M44" s="8">
        <f>'pivot tables'!N60/'pivot tables'!N27/1000</f>
        <v>0.26594030304600919</v>
      </c>
      <c r="N44" s="8">
        <f>'pivot tables'!O60/'pivot tables'!O27/1000</f>
        <v>0.25720916153945078</v>
      </c>
      <c r="O44" s="8">
        <f>'pivot tables'!P60/'pivot tables'!P27/1000</f>
        <v>0.26678295780265682</v>
      </c>
      <c r="P44" s="8">
        <f>'pivot tables'!Q60/'pivot tables'!Q27/1000</f>
        <v>0.28664897560073227</v>
      </c>
      <c r="Q44" s="8">
        <f>'pivot tables'!R60/'pivot tables'!R27/1000</f>
        <v>0.28554195098310092</v>
      </c>
      <c r="R44" s="8">
        <f>'pivot tables'!S60/'pivot tables'!S27/1000</f>
        <v>0.2909652229935063</v>
      </c>
      <c r="S44" s="8">
        <f>'pivot tables'!T60/'pivot tables'!T27/1000</f>
        <v>0.29629215736128406</v>
      </c>
      <c r="T44" s="8">
        <f>'pivot tables'!U60/'pivot tables'!U27/1000</f>
        <v>0.28459416398333653</v>
      </c>
      <c r="U44" s="8">
        <f>'pivot tables'!V60/'pivot tables'!V27/1000</f>
        <v>0.28590670434033422</v>
      </c>
      <c r="V44" s="8">
        <f>'pivot tables'!W60/'pivot tables'!W27/1000</f>
        <v>0.29412822085499701</v>
      </c>
      <c r="W44" s="8">
        <f>'pivot tables'!X60/'pivot tables'!X27/1000</f>
        <v>0.26921091348602183</v>
      </c>
      <c r="X44" s="8">
        <f>'pivot tables'!Y60/'pivot tables'!Y27/1000</f>
        <v>0.27663889288489535</v>
      </c>
      <c r="Y44" s="8">
        <f>'pivot tables'!Z60/'pivot tables'!Z27/1000</f>
        <v>0.29228295684389355</v>
      </c>
      <c r="Z44" s="8">
        <f>'pivot tables'!AA60/'pivot tables'!AA27/1000</f>
        <v>0.25656600996112816</v>
      </c>
      <c r="AA44" s="8">
        <f>'pivot tables'!AB60/'pivot tables'!AB27/1000</f>
        <v>0.275778100921931</v>
      </c>
      <c r="AB44" s="8">
        <f>'pivot tables'!AC60/'pivot tables'!AC27/1000</f>
        <v>0.30115891496106012</v>
      </c>
      <c r="AC44" s="8">
        <f>'pivot tables'!AD60/'pivot tables'!AD27/1000</f>
        <v>0.29668028733949287</v>
      </c>
      <c r="AD44" s="8">
        <f>'pivot tables'!AE60/'pivot tables'!AE27/1000</f>
        <v>0.29143236018441027</v>
      </c>
      <c r="AE44" s="8">
        <f>'pivot tables'!AF60/'pivot tables'!AF27/1000</f>
        <v>0.30104934862317162</v>
      </c>
      <c r="AF44" s="8">
        <f>'pivot tables'!AG60/'pivot tables'!AG27/1000</f>
        <v>0.3016645870549936</v>
      </c>
      <c r="AG44" s="8">
        <f>'pivot tables'!AH60/'pivot tables'!AH27/1000</f>
        <v>0.27919504870723222</v>
      </c>
      <c r="AH44" s="8">
        <f>'pivot tables'!AI60/'pivot tables'!AI27/1000</f>
        <v>0.30294998263417505</v>
      </c>
      <c r="AI44" s="8">
        <f>'pivot tables'!AJ60/'pivot tables'!AJ27/1000</f>
        <v>0.2959392031041469</v>
      </c>
      <c r="AJ44" s="8">
        <f>'pivot tables'!AK60/'pivot tables'!AK27/1000</f>
        <v>0.29068819825624009</v>
      </c>
    </row>
    <row r="45" spans="2:36" x14ac:dyDescent="0.25">
      <c r="B45" t="s">
        <v>45</v>
      </c>
      <c r="C45" s="7">
        <f>'pivot tables'!D61/'pivot tables'!D28</f>
        <v>0.17285857397109941</v>
      </c>
      <c r="D45" s="7">
        <f>'pivot tables'!E61/'pivot tables'!E28</f>
        <v>0.13150589883973771</v>
      </c>
      <c r="E45" s="7">
        <f>'pivot tables'!F61/'pivot tables'!F28</f>
        <v>0.14233553289340861</v>
      </c>
      <c r="F45" s="7">
        <f>'pivot tables'!G61/'pivot tables'!G28</f>
        <v>0.14379659958454608</v>
      </c>
      <c r="G45" s="7">
        <f>'pivot tables'!H61/'pivot tables'!H28</f>
        <v>9.4944696407953347E-2</v>
      </c>
      <c r="H45" s="7">
        <f>'pivot tables'!I61/'pivot tables'!I28</f>
        <v>0.101922187989165</v>
      </c>
      <c r="I45" s="7">
        <f>'pivot tables'!J61/'pivot tables'!J28</f>
        <v>9.6873794031621233E-2</v>
      </c>
      <c r="J45" s="7">
        <f>'pivot tables'!K61/'pivot tables'!K28</f>
        <v>0.10081970621058188</v>
      </c>
      <c r="K45" s="7">
        <f>'pivot tables'!L61/'pivot tables'!L28</f>
        <v>0.10689323971164578</v>
      </c>
      <c r="L45" s="7">
        <f>'pivot tables'!M61/'pivot tables'!M28</f>
        <v>0.12954777296275682</v>
      </c>
      <c r="M45" s="7">
        <f>'pivot tables'!N61/'pivot tables'!N28</f>
        <v>0.15451902405303031</v>
      </c>
      <c r="N45" s="7">
        <f>'pivot tables'!O61/'pivot tables'!O28</f>
        <v>0.15102542592833329</v>
      </c>
      <c r="O45" s="7">
        <f>'pivot tables'!P61/'pivot tables'!P28</f>
        <v>0.17574715646362585</v>
      </c>
      <c r="P45" s="7">
        <f>'pivot tables'!Q61/'pivot tables'!Q28</f>
        <v>0.20757514443396324</v>
      </c>
      <c r="Q45" s="7">
        <f>'pivot tables'!R61/'pivot tables'!R28</f>
        <v>0.22525882914375378</v>
      </c>
      <c r="R45" s="7">
        <f>'pivot tables'!S61/'pivot tables'!S28</f>
        <v>0.207629420292443</v>
      </c>
      <c r="S45" s="7">
        <f>'pivot tables'!T61/'pivot tables'!T28</f>
        <v>0.19317166743804087</v>
      </c>
      <c r="T45" s="7">
        <f>'pivot tables'!U61/'pivot tables'!U28</f>
        <v>0.22415587159908218</v>
      </c>
      <c r="U45" s="7">
        <f>'pivot tables'!V61/'pivot tables'!V28</f>
        <v>0.2279104275904254</v>
      </c>
      <c r="V45" s="7">
        <f>'pivot tables'!W61/'pivot tables'!W28</f>
        <v>0.2155633383206213</v>
      </c>
      <c r="W45" s="7">
        <f>'pivot tables'!X61/'pivot tables'!X28</f>
        <v>0.2615382511909885</v>
      </c>
      <c r="X45" s="7">
        <f>'pivot tables'!Y61/'pivot tables'!Y28</f>
        <v>0.27186091863920719</v>
      </c>
      <c r="Y45" s="7">
        <f>'pivot tables'!Z61/'pivot tables'!Z28</f>
        <v>0.34256434630592908</v>
      </c>
      <c r="Z45" s="7">
        <f>'pivot tables'!AA61/'pivot tables'!AA28</f>
        <v>0.36404467059603335</v>
      </c>
      <c r="AA45" s="7">
        <f>'pivot tables'!AB61/'pivot tables'!AB28</f>
        <v>0.35555323743144074</v>
      </c>
      <c r="AB45" s="7">
        <f>'pivot tables'!AC61/'pivot tables'!AC28</f>
        <v>0.35710571821843928</v>
      </c>
      <c r="AC45" s="7">
        <f>'pivot tables'!AD61/'pivot tables'!AD28</f>
        <v>0.36214602457442746</v>
      </c>
      <c r="AD45" s="7">
        <f>'pivot tables'!AE61/'pivot tables'!AE28</f>
        <v>0.35800820183530008</v>
      </c>
      <c r="AE45" s="7">
        <f>'pivot tables'!AF61/'pivot tables'!AF28</f>
        <v>0.32861564884228434</v>
      </c>
      <c r="AF45" s="7">
        <f>'pivot tables'!AG61/'pivot tables'!AG28</f>
        <v>0.33948158565250697</v>
      </c>
      <c r="AG45" s="7">
        <f>'pivot tables'!AH61/'pivot tables'!AH28</f>
        <v>0.33242374894321663</v>
      </c>
      <c r="AH45" s="7">
        <f>'pivot tables'!AI61/'pivot tables'!AI28</f>
        <v>0.32362092105234208</v>
      </c>
      <c r="AI45" s="7">
        <f>'pivot tables'!AJ61/'pivot tables'!AJ28</f>
        <v>0.27380038166914195</v>
      </c>
      <c r="AJ45" s="7">
        <f>'pivot tables'!AK61/'pivot tables'!AK28</f>
        <v>0.25712436741226147</v>
      </c>
    </row>
    <row r="46" spans="2:36" x14ac:dyDescent="0.25">
      <c r="B46" t="s">
        <v>46</v>
      </c>
      <c r="C46" s="8">
        <f>'pivot tables'!D62/'pivot tables'!D29/1000</f>
        <v>0.22391972974660157</v>
      </c>
      <c r="D46" s="8">
        <f>'pivot tables'!E62/'pivot tables'!E29/1000</f>
        <v>0.16876638872749281</v>
      </c>
      <c r="E46" s="8">
        <f>'pivot tables'!F62/'pivot tables'!F29/1000</f>
        <v>0.12030054477536838</v>
      </c>
      <c r="F46" s="8">
        <f>'pivot tables'!G62/'pivot tables'!G29/1000</f>
        <v>0.15312926414306646</v>
      </c>
      <c r="G46" s="8">
        <f>'pivot tables'!H62/'pivot tables'!H29/1000</f>
        <v>0.17364563623941706</v>
      </c>
      <c r="H46" s="8">
        <f>'pivot tables'!I62/'pivot tables'!I29/1000</f>
        <v>0.16967004306280431</v>
      </c>
      <c r="I46" s="8">
        <f>'pivot tables'!J62/'pivot tables'!J29/1000</f>
        <v>0.18617530227344117</v>
      </c>
      <c r="J46" s="8">
        <f>'pivot tables'!K62/'pivot tables'!K29/1000</f>
        <v>0.21516646655098087</v>
      </c>
      <c r="K46" s="8">
        <f>'pivot tables'!L62/'pivot tables'!L29/1000</f>
        <v>0.27172010395099672</v>
      </c>
      <c r="L46" s="8">
        <f>'pivot tables'!M62/'pivot tables'!M29/1000</f>
        <v>0.30946169536357698</v>
      </c>
      <c r="M46" s="8">
        <f>'pivot tables'!N62/'pivot tables'!N29/1000</f>
        <v>0.33589927004265191</v>
      </c>
      <c r="N46" s="8">
        <f>'pivot tables'!O62/'pivot tables'!O29/1000</f>
        <v>0.25849855766264879</v>
      </c>
      <c r="O46" s="8">
        <f>'pivot tables'!P62/'pivot tables'!P29/1000</f>
        <v>0.30420043430872079</v>
      </c>
      <c r="P46" s="8">
        <f>'pivot tables'!Q62/'pivot tables'!Q29/1000</f>
        <v>0.3330034134910157</v>
      </c>
      <c r="Q46" s="8">
        <f>'pivot tables'!R62/'pivot tables'!R29/1000</f>
        <v>0.382203118481517</v>
      </c>
      <c r="R46" s="8">
        <f>'pivot tables'!S62/'pivot tables'!S29/1000</f>
        <v>0.50600368922666983</v>
      </c>
      <c r="S46" s="8">
        <f>'pivot tables'!T62/'pivot tables'!T29/1000</f>
        <v>0.50118422165226961</v>
      </c>
      <c r="T46" s="8">
        <f>'pivot tables'!U62/'pivot tables'!U29/1000</f>
        <v>0.5288839063860703</v>
      </c>
      <c r="U46" s="8">
        <f>'pivot tables'!V62/'pivot tables'!V29/1000</f>
        <v>0.52507704039969982</v>
      </c>
      <c r="V46" s="8">
        <f>'pivot tables'!W62/'pivot tables'!W29/1000</f>
        <v>0.46519326350621937</v>
      </c>
      <c r="W46" s="8">
        <f>'pivot tables'!X62/'pivot tables'!X29/1000</f>
        <v>0.44785834642824829</v>
      </c>
      <c r="X46" s="8">
        <f>'pivot tables'!Y62/'pivot tables'!Y29/1000</f>
        <v>0.40836306467989369</v>
      </c>
      <c r="Y46" s="8">
        <f>'pivot tables'!Z62/'pivot tables'!Z29/1000</f>
        <v>0.32912415671975759</v>
      </c>
      <c r="Z46" s="8">
        <f>'pivot tables'!AA62/'pivot tables'!AA29/1000</f>
        <v>0.31769657964865433</v>
      </c>
      <c r="AA46" s="8">
        <f>'pivot tables'!AB62/'pivot tables'!AB29/1000</f>
        <v>0.35681312153632283</v>
      </c>
      <c r="AB46" s="8">
        <f>'pivot tables'!AC62/'pivot tables'!AC29/1000</f>
        <v>0.38771027818995901</v>
      </c>
      <c r="AC46" s="8">
        <f>'pivot tables'!AD62/'pivot tables'!AD29/1000</f>
        <v>0.40927143012470257</v>
      </c>
      <c r="AD46" s="8">
        <f>'pivot tables'!AE62/'pivot tables'!AE29/1000</f>
        <v>0.41603439428911476</v>
      </c>
      <c r="AE46" s="8">
        <f>'pivot tables'!AF62/'pivot tables'!AF29/1000</f>
        <v>0.39348120459483704</v>
      </c>
      <c r="AF46" s="8">
        <f>'pivot tables'!AG62/'pivot tables'!AG29/1000</f>
        <v>0.3604753025002414</v>
      </c>
      <c r="AG46" s="8">
        <f>'pivot tables'!AH62/'pivot tables'!AH29/1000</f>
        <v>0.30455463249546061</v>
      </c>
      <c r="AH46" s="8">
        <f>'pivot tables'!AI62/'pivot tables'!AI29/1000</f>
        <v>0.32274974013151986</v>
      </c>
      <c r="AI46" s="8">
        <f>'pivot tables'!AJ62/'pivot tables'!AJ29/1000</f>
        <v>0.29069190364662367</v>
      </c>
      <c r="AJ46" s="8">
        <f>'pivot tables'!AK62/'pivot tables'!AK29/1000</f>
        <v>0.3104847687006218</v>
      </c>
    </row>
    <row r="47" spans="2:36" x14ac:dyDescent="0.25">
      <c r="B47" t="s">
        <v>47</v>
      </c>
      <c r="C47" s="7">
        <f>'pivot tables'!D63/'pivot tables'!D30</f>
        <v>0.21024734069334605</v>
      </c>
      <c r="D47" s="7">
        <f>'pivot tables'!E63/'pivot tables'!E30</f>
        <v>0.17562516515876586</v>
      </c>
      <c r="E47" s="7">
        <f>'pivot tables'!F63/'pivot tables'!F30</f>
        <v>0.15885765509975072</v>
      </c>
      <c r="F47" s="7">
        <f>'pivot tables'!G63/'pivot tables'!G30</f>
        <v>0.14447090305621293</v>
      </c>
      <c r="G47" s="7">
        <f>'pivot tables'!H63/'pivot tables'!H30</f>
        <v>0.15415100608420942</v>
      </c>
      <c r="H47" s="7">
        <f>'pivot tables'!I63/'pivot tables'!I30</f>
        <v>0.15484188525493242</v>
      </c>
      <c r="I47" s="7">
        <f>'pivot tables'!J63/'pivot tables'!J30</f>
        <v>0.16974869792094308</v>
      </c>
      <c r="J47" s="7">
        <f>'pivot tables'!K63/'pivot tables'!K30</f>
        <v>0.15181574740589648</v>
      </c>
      <c r="K47" s="7">
        <f>'pivot tables'!L63/'pivot tables'!L30</f>
        <v>0.17367843088424686</v>
      </c>
      <c r="L47" s="7">
        <f>'pivot tables'!M63/'pivot tables'!M30</f>
        <v>0.16546512914516223</v>
      </c>
      <c r="M47" s="7">
        <f>'pivot tables'!N63/'pivot tables'!N30</f>
        <v>0.17535715073945515</v>
      </c>
      <c r="N47" s="7">
        <f>'pivot tables'!O63/'pivot tables'!O30</f>
        <v>0.17271340092005308</v>
      </c>
      <c r="O47" s="7">
        <f>'pivot tables'!P63/'pivot tables'!P30</f>
        <v>0.17623323419697856</v>
      </c>
      <c r="P47" s="7">
        <f>'pivot tables'!Q63/'pivot tables'!Q30</f>
        <v>0.18450898630542484</v>
      </c>
      <c r="Q47" s="7">
        <f>'pivot tables'!R63/'pivot tables'!R30</f>
        <v>0.19375025474226215</v>
      </c>
      <c r="R47" s="7">
        <f>'pivot tables'!S63/'pivot tables'!S30</f>
        <v>0.20009222647510477</v>
      </c>
      <c r="S47" s="7">
        <f>'pivot tables'!T63/'pivot tables'!T30</f>
        <v>0.20813205412915317</v>
      </c>
      <c r="T47" s="7">
        <f>'pivot tables'!U63/'pivot tables'!U30</f>
        <v>0.22760457271153203</v>
      </c>
      <c r="U47" s="7">
        <f>'pivot tables'!V63/'pivot tables'!V30</f>
        <v>0.20777916963066545</v>
      </c>
      <c r="V47" s="7">
        <f>'pivot tables'!W63/'pivot tables'!W30</f>
        <v>0.19660484332074873</v>
      </c>
      <c r="W47" s="7">
        <f>'pivot tables'!X63/'pivot tables'!X30</f>
        <v>0.18421901895075515</v>
      </c>
      <c r="X47" s="7">
        <f>'pivot tables'!Y63/'pivot tables'!Y30</f>
        <v>0.1713337855195895</v>
      </c>
      <c r="Y47" s="7">
        <f>'pivot tables'!Z63/'pivot tables'!Z30</f>
        <v>0.16802925257274084</v>
      </c>
      <c r="Z47" s="7">
        <f>'pivot tables'!AA63/'pivot tables'!AA30</f>
        <v>0.15828525184274742</v>
      </c>
      <c r="AA47" s="7">
        <f>'pivot tables'!AB63/'pivot tables'!AB30</f>
        <v>0.17850141750406825</v>
      </c>
      <c r="AB47" s="7">
        <f>'pivot tables'!AC63/'pivot tables'!AC30</f>
        <v>0.18402635041540338</v>
      </c>
      <c r="AC47" s="7">
        <f>'pivot tables'!AD63/'pivot tables'!AD30</f>
        <v>0.17956442857896346</v>
      </c>
      <c r="AD47" s="7">
        <f>'pivot tables'!AE63/'pivot tables'!AE30</f>
        <v>0.17681691465945693</v>
      </c>
      <c r="AE47" s="7">
        <f>'pivot tables'!AF63/'pivot tables'!AF30</f>
        <v>0.18609191786889562</v>
      </c>
      <c r="AF47" s="7">
        <f>'pivot tables'!AG63/'pivot tables'!AG30</f>
        <v>0.21572248025595026</v>
      </c>
      <c r="AG47" s="7">
        <f>'pivot tables'!AH63/'pivot tables'!AH30</f>
        <v>0.19212482310074588</v>
      </c>
      <c r="AH47" s="7">
        <f>'pivot tables'!AI63/'pivot tables'!AI30</f>
        <v>0.20464879396500446</v>
      </c>
      <c r="AI47" s="7">
        <f>'pivot tables'!AJ63/'pivot tables'!AJ30</f>
        <v>0.22960540588492845</v>
      </c>
      <c r="AJ47" s="7">
        <f>'pivot tables'!AK63/'pivot tables'!AK30</f>
        <v>0.22223070247274365</v>
      </c>
    </row>
    <row r="48" spans="2:36" x14ac:dyDescent="0.25">
      <c r="B48" t="s">
        <v>48</v>
      </c>
      <c r="C48" s="8">
        <f>'pivot tables'!D64/'pivot tables'!D31/1000</f>
        <v>0.32514168397810916</v>
      </c>
      <c r="D48" s="8">
        <f>'pivot tables'!E64/'pivot tables'!E31/1000</f>
        <v>0.32352005967942432</v>
      </c>
      <c r="E48" s="8">
        <f>'pivot tables'!F64/'pivot tables'!F31/1000</f>
        <v>0.32092118771527023</v>
      </c>
      <c r="F48" s="8">
        <f>'pivot tables'!G64/'pivot tables'!G31/1000</f>
        <v>0.34112578653955122</v>
      </c>
      <c r="G48" s="8">
        <f>'pivot tables'!H64/'pivot tables'!H31/1000</f>
        <v>0.35066489496362807</v>
      </c>
      <c r="H48" s="8">
        <f>'pivot tables'!I64/'pivot tables'!I31/1000</f>
        <v>0.36065882752906264</v>
      </c>
      <c r="I48" s="8">
        <f>'pivot tables'!J64/'pivot tables'!J31/1000</f>
        <v>0.35942954752099987</v>
      </c>
      <c r="J48" s="8">
        <f>'pivot tables'!K64/'pivot tables'!K31/1000</f>
        <v>0.38342382881681714</v>
      </c>
      <c r="K48" s="8">
        <f>'pivot tables'!L64/'pivot tables'!L31/1000</f>
        <v>0.38684360197461182</v>
      </c>
      <c r="L48" s="8">
        <f>'pivot tables'!M64/'pivot tables'!M31/1000</f>
        <v>0.39264087124504377</v>
      </c>
      <c r="M48" s="8">
        <f>'pivot tables'!N64/'pivot tables'!N31/1000</f>
        <v>0.41091111207298603</v>
      </c>
      <c r="N48" s="8">
        <f>'pivot tables'!O64/'pivot tables'!O31/1000</f>
        <v>0.40641823001091482</v>
      </c>
      <c r="O48" s="8">
        <f>'pivot tables'!P64/'pivot tables'!P31/1000</f>
        <v>0.42113234091745194</v>
      </c>
      <c r="P48" s="8">
        <f>'pivot tables'!Q64/'pivot tables'!Q31/1000</f>
        <v>0.43779409593756208</v>
      </c>
      <c r="Q48" s="8">
        <f>'pivot tables'!R64/'pivot tables'!R31/1000</f>
        <v>0.45586417441375632</v>
      </c>
      <c r="R48" s="8">
        <f>'pivot tables'!S64/'pivot tables'!S31/1000</f>
        <v>0.48785489089591105</v>
      </c>
      <c r="S48" s="8">
        <f>'pivot tables'!T64/'pivot tables'!T31/1000</f>
        <v>0.51421394722139857</v>
      </c>
      <c r="T48" s="8">
        <f>'pivot tables'!U64/'pivot tables'!U31/1000</f>
        <v>0.53368373719879703</v>
      </c>
      <c r="U48" s="8">
        <f>'pivot tables'!V64/'pivot tables'!V31/1000</f>
        <v>0.5299872936340384</v>
      </c>
      <c r="V48" s="8">
        <f>'pivot tables'!W64/'pivot tables'!W31/1000</f>
        <v>0.52022881141502431</v>
      </c>
      <c r="W48" s="8">
        <f>'pivot tables'!X64/'pivot tables'!X31/1000</f>
        <v>0.53289152331470635</v>
      </c>
      <c r="X48" s="8">
        <f>'pivot tables'!Y64/'pivot tables'!Y31/1000</f>
        <v>0.53897987423899862</v>
      </c>
      <c r="Y48" s="8">
        <f>'pivot tables'!Z64/'pivot tables'!Z31/1000</f>
        <v>0.54826793720554301</v>
      </c>
      <c r="Z48" s="8">
        <f>'pivot tables'!AA64/'pivot tables'!AA31/1000</f>
        <v>0.55315707094807143</v>
      </c>
      <c r="AA48" s="8">
        <f>'pivot tables'!AB64/'pivot tables'!AB31/1000</f>
        <v>0.57649676105507541</v>
      </c>
      <c r="AB48" s="8">
        <f>'pivot tables'!AC64/'pivot tables'!AC31/1000</f>
        <v>0.58622515828447463</v>
      </c>
      <c r="AC48" s="8">
        <f>'pivot tables'!AD64/'pivot tables'!AD31/1000</f>
        <v>0.60569188216975478</v>
      </c>
      <c r="AD48" s="8">
        <f>'pivot tables'!AE64/'pivot tables'!AE31/1000</f>
        <v>0.60089556895358742</v>
      </c>
      <c r="AE48" s="8">
        <f>'pivot tables'!AF64/'pivot tables'!AF31/1000</f>
        <v>0.60045174780267763</v>
      </c>
      <c r="AF48" s="8">
        <f>'pivot tables'!AG64/'pivot tables'!AG31/1000</f>
        <v>0.61517295414493933</v>
      </c>
      <c r="AG48" s="8">
        <f>'pivot tables'!AH64/'pivot tables'!AH31/1000</f>
        <v>0.63941639286982477</v>
      </c>
      <c r="AH48" s="8">
        <f>'pivot tables'!AI64/'pivot tables'!AI31/1000</f>
        <v>0.6493765480874446</v>
      </c>
      <c r="AI48" s="8">
        <f>'pivot tables'!AJ64/'pivot tables'!AJ31/1000</f>
        <v>0.6522842054158442</v>
      </c>
      <c r="AJ48" s="8">
        <f>'pivot tables'!AK64/'pivot tables'!AK31/1000</f>
        <v>0.63264518477330911</v>
      </c>
    </row>
    <row r="49" spans="2:36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5" spans="2:36" x14ac:dyDescent="0.25">
      <c r="B55" t="s">
        <v>49</v>
      </c>
    </row>
    <row r="56" spans="2:36" s="6" customFormat="1" x14ac:dyDescent="0.25">
      <c r="B56" s="6" t="s">
        <v>23</v>
      </c>
      <c r="C56" s="6">
        <v>1990</v>
      </c>
      <c r="D56" s="6">
        <v>1991</v>
      </c>
      <c r="E56" s="6">
        <v>1992</v>
      </c>
      <c r="F56" s="6">
        <v>1993</v>
      </c>
      <c r="G56" s="6">
        <v>1994</v>
      </c>
      <c r="H56" s="6">
        <v>1995</v>
      </c>
      <c r="I56" s="6">
        <v>1996</v>
      </c>
      <c r="J56" s="6">
        <v>1997</v>
      </c>
      <c r="K56" s="6">
        <v>1998</v>
      </c>
      <c r="L56" s="6">
        <v>1999</v>
      </c>
      <c r="M56" s="6">
        <v>2000</v>
      </c>
      <c r="N56" s="6">
        <v>2001</v>
      </c>
      <c r="O56" s="6">
        <v>2002</v>
      </c>
      <c r="P56" s="6">
        <v>2003</v>
      </c>
      <c r="Q56" s="6">
        <v>2004</v>
      </c>
      <c r="R56" s="6">
        <v>2005</v>
      </c>
      <c r="S56" s="6">
        <v>2006</v>
      </c>
      <c r="T56" s="6">
        <v>2007</v>
      </c>
      <c r="U56" s="6">
        <v>2008</v>
      </c>
      <c r="V56" s="6">
        <v>2009</v>
      </c>
      <c r="W56" s="6">
        <v>2010</v>
      </c>
      <c r="X56" s="6">
        <v>2011</v>
      </c>
      <c r="Y56" s="6">
        <v>2012</v>
      </c>
      <c r="Z56" s="6">
        <v>2013</v>
      </c>
      <c r="AA56" s="6">
        <v>2014</v>
      </c>
      <c r="AB56" s="6">
        <v>2015</v>
      </c>
      <c r="AC56" s="6">
        <v>2016</v>
      </c>
      <c r="AD56" s="6">
        <v>2017</v>
      </c>
      <c r="AE56" s="6">
        <v>2018</v>
      </c>
      <c r="AF56" s="6">
        <v>2019</v>
      </c>
      <c r="AG56" s="6">
        <v>2020</v>
      </c>
      <c r="AH56" s="6">
        <v>2021</v>
      </c>
      <c r="AI56" s="6">
        <v>2022</v>
      </c>
      <c r="AJ56" s="6">
        <v>2023</v>
      </c>
    </row>
    <row r="57" spans="2:36" x14ac:dyDescent="0.25">
      <c r="B57" t="s">
        <v>24</v>
      </c>
      <c r="C57" s="7">
        <f>'pivot tables'!D106/'pivot tables'!D7</f>
        <v>-1.7922730508657219</v>
      </c>
      <c r="D57" s="7">
        <f>'pivot tables'!E106/'pivot tables'!E7</f>
        <v>-1.3099534129370616</v>
      </c>
      <c r="E57" s="7">
        <f>'pivot tables'!F106/'pivot tables'!F7</f>
        <v>-1.396879786074833</v>
      </c>
      <c r="F57" s="7">
        <f>'pivot tables'!G106/'pivot tables'!G7</f>
        <v>-1.3895769062907641</v>
      </c>
      <c r="G57" s="7">
        <f>'pivot tables'!H106/'pivot tables'!H7</f>
        <v>-1.6189166775239652</v>
      </c>
      <c r="H57" s="7">
        <f>'pivot tables'!I106/'pivot tables'!I7</f>
        <v>-1.4580082858427423</v>
      </c>
      <c r="I57" s="7">
        <f>'pivot tables'!J106/'pivot tables'!J7</f>
        <v>-1.575465472355186</v>
      </c>
      <c r="J57" s="7">
        <f>'pivot tables'!K106/'pivot tables'!K7</f>
        <v>-1.5458975898147167</v>
      </c>
      <c r="K57" s="7">
        <f>'pivot tables'!L106/'pivot tables'!L7</f>
        <v>-1.4717079090406746</v>
      </c>
      <c r="L57" s="7">
        <f>'pivot tables'!M106/'pivot tables'!M7</f>
        <v>-1.4742851884102595</v>
      </c>
      <c r="M57" s="7">
        <f>'pivot tables'!N106/'pivot tables'!N7</f>
        <v>-1.3872888171750282</v>
      </c>
      <c r="N57" s="7">
        <f>'pivot tables'!O106/'pivot tables'!O7</f>
        <v>-1.4062833029685597</v>
      </c>
      <c r="O57" s="7">
        <f>'pivot tables'!P106/'pivot tables'!P7</f>
        <v>-1.6986821681847724</v>
      </c>
      <c r="P57" s="7">
        <f>'pivot tables'!Q106/'pivot tables'!Q7</f>
        <v>-1.9365519118795698</v>
      </c>
      <c r="Q57" s="7">
        <f>'pivot tables'!R106/'pivot tables'!R7</f>
        <v>-1.8759044434888312</v>
      </c>
      <c r="R57" s="7">
        <f>'pivot tables'!S106/'pivot tables'!S7</f>
        <v>-1.8726163388913069</v>
      </c>
      <c r="S57" s="7">
        <f>'pivot tables'!T106/'pivot tables'!T7</f>
        <v>-2.1681782593816874</v>
      </c>
      <c r="T57" s="7">
        <f>'pivot tables'!U106/'pivot tables'!U7</f>
        <v>-2.3963372635411941</v>
      </c>
      <c r="U57" s="7">
        <f>'pivot tables'!V106/'pivot tables'!V7</f>
        <v>-2.4534967285261171</v>
      </c>
      <c r="V57" s="7">
        <f>'pivot tables'!W106/'pivot tables'!W7</f>
        <v>-1.9190791629204034</v>
      </c>
      <c r="W57" s="7">
        <f>'pivot tables'!X106/'pivot tables'!X7</f>
        <v>-2.0341846821823562</v>
      </c>
      <c r="X57" s="7">
        <f>'pivot tables'!Y106/'pivot tables'!Y7</f>
        <v>-2.1465945486606111</v>
      </c>
      <c r="Y57" s="7">
        <f>'pivot tables'!Z106/'pivot tables'!Z7</f>
        <v>-2.0767642369177017</v>
      </c>
      <c r="Z57" s="7">
        <f>'pivot tables'!AA106/'pivot tables'!AA7</f>
        <v>-2.0021181685211737</v>
      </c>
      <c r="AA57" s="7">
        <f>'pivot tables'!AB106/'pivot tables'!AB7</f>
        <v>-1.9773132739653927</v>
      </c>
      <c r="AB57" s="7">
        <f>'pivot tables'!AC106/'pivot tables'!AC7</f>
        <v>-2.0520409346923234</v>
      </c>
      <c r="AC57" s="7">
        <f>'pivot tables'!AD106/'pivot tables'!AD7</f>
        <v>-1.9610584657041317</v>
      </c>
      <c r="AD57" s="7">
        <f>'pivot tables'!AE106/'pivot tables'!AE7</f>
        <v>-2.0641915029919038</v>
      </c>
      <c r="AE57" s="7">
        <f>'pivot tables'!AF106/'pivot tables'!AF7</f>
        <v>-2.2391826729164417</v>
      </c>
      <c r="AF57" s="7">
        <f>'pivot tables'!AG106/'pivot tables'!AG7</f>
        <v>-2.4641097281296132</v>
      </c>
      <c r="AG57" s="7">
        <f>'pivot tables'!AH106/'pivot tables'!AH7</f>
        <v>-2.1971674264829293</v>
      </c>
      <c r="AH57" s="7">
        <f>'pivot tables'!AI106/'pivot tables'!AI7</f>
        <v>-2.3933134460622365</v>
      </c>
      <c r="AI57" s="7">
        <f>'pivot tables'!AJ106/'pivot tables'!AJ7</f>
        <v>-2.5275666042795342</v>
      </c>
      <c r="AJ57" s="7">
        <f>'pivot tables'!AK106/'pivot tables'!AK7</f>
        <v>-2.4850610657339702</v>
      </c>
    </row>
    <row r="58" spans="2:36" x14ac:dyDescent="0.25">
      <c r="B58" t="s">
        <v>25</v>
      </c>
      <c r="C58" s="7">
        <f>'pivot tables'!D107/'pivot tables'!D8</f>
        <v>-1.9923700844780693E-3</v>
      </c>
      <c r="D58" s="7">
        <f>'pivot tables'!E107/'pivot tables'!E8</f>
        <v>-1.993199642377087E-3</v>
      </c>
      <c r="E58" s="7">
        <f>'pivot tables'!F107/'pivot tables'!F8</f>
        <v>-1.9945873593956932E-3</v>
      </c>
      <c r="F58" s="7">
        <f>'pivot tables'!G107/'pivot tables'!G8</f>
        <v>-1.9951226942430721E-3</v>
      </c>
      <c r="G58" s="7">
        <f>'pivot tables'!H107/'pivot tables'!H8</f>
        <v>-1.9953536191263323E-3</v>
      </c>
      <c r="H58" s="7">
        <f>'pivot tables'!I107/'pivot tables'!I8</f>
        <v>-1.9953288677700054E-3</v>
      </c>
      <c r="I58" s="7">
        <f>'pivot tables'!J107/'pivot tables'!J8</f>
        <v>-1.995315762499473E-3</v>
      </c>
      <c r="J58" s="7">
        <f>'pivot tables'!K107/'pivot tables'!K8</f>
        <v>-1.9958552847452568E-3</v>
      </c>
      <c r="K58" s="7">
        <f>'pivot tables'!L107/'pivot tables'!L8</f>
        <v>-1.9973653091803706E-3</v>
      </c>
      <c r="L58" s="7">
        <f>'pivot tables'!M107/'pivot tables'!M8</f>
        <v>-1.9970111734470947E-3</v>
      </c>
      <c r="M58" s="7">
        <f>'pivot tables'!N107/'pivot tables'!N8</f>
        <v>-1.9960864907601701E-3</v>
      </c>
      <c r="N58" s="7">
        <f>'pivot tables'!O107/'pivot tables'!O8</f>
        <v>-1.9954466234541283E-3</v>
      </c>
      <c r="O58" s="7">
        <f>'pivot tables'!P107/'pivot tables'!P8</f>
        <v>-1.995477100039045E-3</v>
      </c>
      <c r="P58" s="7">
        <f>'pivot tables'!Q107/'pivot tables'!Q8</f>
        <v>-1.9952451017902061E-3</v>
      </c>
      <c r="Q58" s="7">
        <f>'pivot tables'!R107/'pivot tables'!R8</f>
        <v>-1.994805340701762E-3</v>
      </c>
      <c r="R58" s="7">
        <f>'pivot tables'!S107/'pivot tables'!S8</f>
        <v>-1.9928797643027252E-3</v>
      </c>
      <c r="S58" s="7">
        <f>'pivot tables'!T107/'pivot tables'!T8</f>
        <v>-1.9914721732543854E-3</v>
      </c>
      <c r="T58" s="7">
        <f>'pivot tables'!U107/'pivot tables'!U8</f>
        <v>-1.9910503935081213E-3</v>
      </c>
      <c r="U58" s="7">
        <f>'pivot tables'!V107/'pivot tables'!V8</f>
        <v>-1.9915021228622907E-3</v>
      </c>
      <c r="V58" s="7">
        <f>'pivot tables'!W107/'pivot tables'!W8</f>
        <v>-1.9913119507878091E-3</v>
      </c>
      <c r="W58" s="7">
        <f>'pivot tables'!X107/'pivot tables'!X8</f>
        <v>-8.0128432301297854E-3</v>
      </c>
      <c r="X58" s="7">
        <f>'pivot tables'!Y107/'pivot tables'!Y8</f>
        <v>-8.0055806843738007E-3</v>
      </c>
      <c r="Y58" s="7">
        <f>'pivot tables'!Z107/'pivot tables'!Z8</f>
        <v>-7.9981105456146603E-3</v>
      </c>
      <c r="Z58" s="7">
        <f>'pivot tables'!AA107/'pivot tables'!AA8</f>
        <v>-7.998103074514715E-3</v>
      </c>
      <c r="AA58" s="7">
        <f>'pivot tables'!AB107/'pivot tables'!AB8</f>
        <v>-7.9984938097872639E-3</v>
      </c>
      <c r="AB58" s="7">
        <f>'pivot tables'!AC107/'pivot tables'!AC8</f>
        <v>-7.9982822666405818E-3</v>
      </c>
      <c r="AC58" s="7">
        <f>'pivot tables'!AD107/'pivot tables'!AD8</f>
        <v>-7.9953358249528223E-3</v>
      </c>
      <c r="AD58" s="7">
        <f>'pivot tables'!AE107/'pivot tables'!AE8</f>
        <v>-7.9917411127154395E-3</v>
      </c>
      <c r="AE58" s="7">
        <f>'pivot tables'!AF107/'pivot tables'!AF8</f>
        <v>-7.9881735215514751E-3</v>
      </c>
      <c r="AF58" s="7">
        <f>'pivot tables'!AG107/'pivot tables'!AG8</f>
        <v>-7.9846091141811942E-3</v>
      </c>
      <c r="AG58" s="7">
        <f>'pivot tables'!AH107/'pivot tables'!AH8</f>
        <v>-7.9810478863445913E-3</v>
      </c>
      <c r="AH58" s="7">
        <f>'pivot tables'!AI107/'pivot tables'!AI8</f>
        <v>-7.9774898337892121E-3</v>
      </c>
      <c r="AI58" s="7">
        <f>'pivot tables'!AJ107/'pivot tables'!AJ8</f>
        <v>-7.9739349522702507E-3</v>
      </c>
      <c r="AJ58" s="7">
        <f>'pivot tables'!AK107/'pivot tables'!AK8</f>
        <v>-7.9703832375503589E-3</v>
      </c>
    </row>
    <row r="59" spans="2:36" x14ac:dyDescent="0.25">
      <c r="B59" t="s">
        <v>26</v>
      </c>
      <c r="C59" s="7">
        <f>'pivot tables'!D108/'pivot tables'!D9</f>
        <v>-6.7295731973354336E-3</v>
      </c>
      <c r="D59" s="7">
        <f>'pivot tables'!E108/'pivot tables'!E9</f>
        <v>-6.895407110943854E-3</v>
      </c>
      <c r="E59" s="7">
        <f>'pivot tables'!F108/'pivot tables'!F9</f>
        <v>-7.0560499564965174E-3</v>
      </c>
      <c r="F59" s="7">
        <f>'pivot tables'!G108/'pivot tables'!G9</f>
        <v>-6.6142764083589366E-3</v>
      </c>
      <c r="G59" s="7">
        <f>'pivot tables'!H108/'pivot tables'!H9</f>
        <v>-6.6274643666617622E-3</v>
      </c>
      <c r="H59" s="7">
        <f>'pivot tables'!I108/'pivot tables'!I9</f>
        <v>-6.422516106064975E-3</v>
      </c>
      <c r="I59" s="7">
        <f>'pivot tables'!J108/'pivot tables'!J9</f>
        <v>-6.3987578511407019E-3</v>
      </c>
      <c r="J59" s="7">
        <f>'pivot tables'!K108/'pivot tables'!K9</f>
        <v>-6.3547160825110759E-3</v>
      </c>
      <c r="K59" s="7">
        <f>'pivot tables'!L108/'pivot tables'!L9</f>
        <v>-6.4274788125405959E-3</v>
      </c>
      <c r="L59" s="7">
        <f>'pivot tables'!M108/'pivot tables'!M9</f>
        <v>-6.6140062182766263E-3</v>
      </c>
      <c r="M59" s="7">
        <f>'pivot tables'!N108/'pivot tables'!N9</f>
        <v>-6.5262250075111767E-3</v>
      </c>
      <c r="N59" s="7">
        <f>'pivot tables'!O108/'pivot tables'!O9</f>
        <v>-6.3493375289541722E-3</v>
      </c>
      <c r="O59" s="7">
        <f>'pivot tables'!P108/'pivot tables'!P9</f>
        <v>-6.4902906113243264E-3</v>
      </c>
      <c r="P59" s="7">
        <f>'pivot tables'!Q108/'pivot tables'!Q9</f>
        <v>-6.4060936006493712E-3</v>
      </c>
      <c r="Q59" s="7">
        <f>'pivot tables'!R108/'pivot tables'!R9</f>
        <v>-6.3989422687771276E-3</v>
      </c>
      <c r="R59" s="7">
        <f>'pivot tables'!S108/'pivot tables'!S9</f>
        <v>-6.5892088515074644E-3</v>
      </c>
      <c r="S59" s="7">
        <f>'pivot tables'!T108/'pivot tables'!T9</f>
        <v>-6.4931498014942444E-3</v>
      </c>
      <c r="T59" s="7">
        <f>'pivot tables'!U108/'pivot tables'!U9</f>
        <v>-6.7189312046567811E-3</v>
      </c>
      <c r="U59" s="7">
        <f>'pivot tables'!V108/'pivot tables'!V9</f>
        <v>-7.6855027124196305E-3</v>
      </c>
      <c r="V59" s="7">
        <f>'pivot tables'!W108/'pivot tables'!W9</f>
        <v>-6.2961975873108856E-3</v>
      </c>
      <c r="W59" s="7">
        <f>'pivot tables'!X108/'pivot tables'!X9</f>
        <v>-6.6661969255828934E-3</v>
      </c>
      <c r="X59" s="7">
        <f>'pivot tables'!Y108/'pivot tables'!Y9</f>
        <v>-6.3211608939909587E-3</v>
      </c>
      <c r="Y59" s="7">
        <f>'pivot tables'!Z108/'pivot tables'!Z9</f>
        <v>-6.5357881359637644E-3</v>
      </c>
      <c r="Z59" s="7">
        <f>'pivot tables'!AA108/'pivot tables'!AA9</f>
        <v>-6.9515591464817282E-3</v>
      </c>
      <c r="AA59" s="7">
        <f>'pivot tables'!AB108/'pivot tables'!AB9</f>
        <v>-6.3522455269094105E-3</v>
      </c>
      <c r="AB59" s="7">
        <f>'pivot tables'!AC108/'pivot tables'!AC9</f>
        <v>-7.1811882089283284E-3</v>
      </c>
      <c r="AC59" s="7">
        <f>'pivot tables'!AD108/'pivot tables'!AD9</f>
        <v>-6.9483103964913633E-3</v>
      </c>
      <c r="AD59" s="7">
        <f>'pivot tables'!AE108/'pivot tables'!AE9</f>
        <v>-6.9981949899554459E-3</v>
      </c>
      <c r="AE59" s="7">
        <f>'pivot tables'!AF108/'pivot tables'!AF9</f>
        <v>-6.3327861692504418E-3</v>
      </c>
      <c r="AF59" s="7">
        <f>'pivot tables'!AG108/'pivot tables'!AG9</f>
        <v>-7.3038588390964016E-3</v>
      </c>
      <c r="AG59" s="7">
        <f>'pivot tables'!AH108/'pivot tables'!AH9</f>
        <v>-6.5009120630930943E-3</v>
      </c>
      <c r="AH59" s="7">
        <f>'pivot tables'!AI108/'pivot tables'!AI9</f>
        <v>-3.6484945860450601E-3</v>
      </c>
      <c r="AI59" s="7">
        <f>'pivot tables'!AJ108/'pivot tables'!AJ9</f>
        <v>-1.0827327109840097E-2</v>
      </c>
      <c r="AJ59" s="7">
        <f>'pivot tables'!AK108/'pivot tables'!AK9</f>
        <v>-1.943685030153295E-2</v>
      </c>
    </row>
    <row r="60" spans="2:36" x14ac:dyDescent="0.25">
      <c r="B60" t="s">
        <v>27</v>
      </c>
      <c r="C60" s="7">
        <f>'pivot tables'!D109/'pivot tables'!D10</f>
        <v>-2.5217382554609951</v>
      </c>
      <c r="D60" s="7">
        <f>'pivot tables'!E109/'pivot tables'!E10</f>
        <v>-1.9588196205118937</v>
      </c>
      <c r="E60" s="7">
        <f>'pivot tables'!F109/'pivot tables'!F10</f>
        <v>-1.9445646223830642</v>
      </c>
      <c r="F60" s="7">
        <f>'pivot tables'!G109/'pivot tables'!G10</f>
        <v>-1.9082518389918812</v>
      </c>
      <c r="G60" s="7">
        <f>'pivot tables'!H109/'pivot tables'!H10</f>
        <v>-1.9917937516488151</v>
      </c>
      <c r="H60" s="7">
        <f>'pivot tables'!I109/'pivot tables'!I10</f>
        <v>-2.0217374441128566</v>
      </c>
      <c r="I60" s="7">
        <f>'pivot tables'!J109/'pivot tables'!J10</f>
        <v>-2.0346715742397938</v>
      </c>
      <c r="J60" s="7">
        <f>'pivot tables'!K109/'pivot tables'!K10</f>
        <v>-2.1667945022030697</v>
      </c>
      <c r="K60" s="7">
        <f>'pivot tables'!L109/'pivot tables'!L10</f>
        <v>-2.3390459790473388</v>
      </c>
      <c r="L60" s="7">
        <f>'pivot tables'!M109/'pivot tables'!M10</f>
        <v>-2.2924530335295383</v>
      </c>
      <c r="M60" s="7">
        <f>'pivot tables'!N109/'pivot tables'!N10</f>
        <v>-3.8348120513848745</v>
      </c>
      <c r="N60" s="7">
        <f>'pivot tables'!O109/'pivot tables'!O10</f>
        <v>-2.5810935998415649</v>
      </c>
      <c r="O60" s="7">
        <f>'pivot tables'!P109/'pivot tables'!P10</f>
        <v>-2.1949486344140903</v>
      </c>
      <c r="P60" s="7">
        <f>'pivot tables'!Q109/'pivot tables'!Q10</f>
        <v>-2.3834392483290672</v>
      </c>
      <c r="Q60" s="7">
        <f>'pivot tables'!R109/'pivot tables'!R10</f>
        <v>-2.3981707462962305</v>
      </c>
      <c r="R60" s="7">
        <f>'pivot tables'!S109/'pivot tables'!S10</f>
        <v>-2.4618480297560206</v>
      </c>
      <c r="S60" s="7">
        <f>'pivot tables'!T109/'pivot tables'!T10</f>
        <v>-2.6838561884158896</v>
      </c>
      <c r="T60" s="7">
        <f>'pivot tables'!U109/'pivot tables'!U10</f>
        <v>-2.6794991305309859</v>
      </c>
      <c r="U60" s="7">
        <f>'pivot tables'!V109/'pivot tables'!V10</f>
        <v>-2.5171648378905118</v>
      </c>
      <c r="V60" s="7">
        <f>'pivot tables'!W109/'pivot tables'!W10</f>
        <v>-2.3697564963129913</v>
      </c>
      <c r="W60" s="7">
        <f>'pivot tables'!X109/'pivot tables'!X10</f>
        <v>-2.4658463488690314</v>
      </c>
      <c r="X60" s="7">
        <f>'pivot tables'!Y109/'pivot tables'!Y10</f>
        <v>-2.4453949658725498</v>
      </c>
      <c r="Y60" s="7">
        <f>'pivot tables'!Z109/'pivot tables'!Z10</f>
        <v>-2.283168080466317</v>
      </c>
      <c r="Z60" s="7">
        <f>'pivot tables'!AA109/'pivot tables'!AA10</f>
        <v>-2.3305664971754116</v>
      </c>
      <c r="AA60" s="7">
        <f>'pivot tables'!AB109/'pivot tables'!AB10</f>
        <v>-2.3819346754088886</v>
      </c>
      <c r="AB60" s="7">
        <f>'pivot tables'!AC109/'pivot tables'!AC10</f>
        <v>-2.2415416386408764</v>
      </c>
      <c r="AC60" s="7">
        <f>'pivot tables'!AD109/'pivot tables'!AD10</f>
        <v>-2.2048296598181247</v>
      </c>
      <c r="AD60" s="7">
        <f>'pivot tables'!AE109/'pivot tables'!AE10</f>
        <v>-2.2902355809473178</v>
      </c>
      <c r="AE60" s="7">
        <f>'pivot tables'!AF109/'pivot tables'!AF10</f>
        <v>-2.6477631251901261</v>
      </c>
      <c r="AF60" s="7">
        <f>'pivot tables'!AG109/'pivot tables'!AG10</f>
        <v>-2.4362462813366843</v>
      </c>
      <c r="AG60" s="7">
        <f>'pivot tables'!AH109/'pivot tables'!AH10</f>
        <v>-2.4930441475312444</v>
      </c>
      <c r="AH60" s="7">
        <f>'pivot tables'!AI109/'pivot tables'!AI10</f>
        <v>-2.5710227145214448</v>
      </c>
      <c r="AI60" s="7">
        <f>'pivot tables'!AJ109/'pivot tables'!AJ10</f>
        <v>-2.6502784760955076</v>
      </c>
      <c r="AJ60" s="7">
        <f>'pivot tables'!AK109/'pivot tables'!AK10</f>
        <v>-2.5493866570210124</v>
      </c>
    </row>
    <row r="61" spans="2:36" x14ac:dyDescent="0.25">
      <c r="B61" t="s">
        <v>28</v>
      </c>
      <c r="C61" s="7">
        <f>'pivot tables'!D110/'pivot tables'!D11</f>
        <v>-1.7966858061668405</v>
      </c>
      <c r="D61" s="7">
        <f>'pivot tables'!E110/'pivot tables'!E11</f>
        <v>-1.4623637286192013</v>
      </c>
      <c r="E61" s="7">
        <f>'pivot tables'!F110/'pivot tables'!F11</f>
        <v>-1.3608742969313006</v>
      </c>
      <c r="F61" s="7">
        <f>'pivot tables'!G110/'pivot tables'!G11</f>
        <v>-1.36364783130892</v>
      </c>
      <c r="G61" s="7">
        <f>'pivot tables'!H110/'pivot tables'!H11</f>
        <v>-1.5849969391316459</v>
      </c>
      <c r="H61" s="7">
        <f>'pivot tables'!I110/'pivot tables'!I11</f>
        <v>-1.6692405119073102</v>
      </c>
      <c r="I61" s="7">
        <f>'pivot tables'!J110/'pivot tables'!J11</f>
        <v>-1.6942196206309688</v>
      </c>
      <c r="J61" s="7">
        <f>'pivot tables'!K110/'pivot tables'!K11</f>
        <v>-1.8431343025004798</v>
      </c>
      <c r="K61" s="7">
        <f>'pivot tables'!L110/'pivot tables'!L11</f>
        <v>-1.868218422438108</v>
      </c>
      <c r="L61" s="7">
        <f>'pivot tables'!M110/'pivot tables'!M11</f>
        <v>-1.9028275517248723</v>
      </c>
      <c r="M61" s="7">
        <f>'pivot tables'!N110/'pivot tables'!N11</f>
        <v>-1.938195241984503</v>
      </c>
      <c r="N61" s="7">
        <f>'pivot tables'!O110/'pivot tables'!O11</f>
        <v>-1.9196975718815357</v>
      </c>
      <c r="O61" s="7">
        <f>'pivot tables'!P110/'pivot tables'!P11</f>
        <v>-1.9243570192609347</v>
      </c>
      <c r="P61" s="7">
        <f>'pivot tables'!Q110/'pivot tables'!Q11</f>
        <v>-1.9868409424620392</v>
      </c>
      <c r="Q61" s="7">
        <f>'pivot tables'!R110/'pivot tables'!R11</f>
        <v>-2.0446288984110073</v>
      </c>
      <c r="R61" s="7">
        <f>'pivot tables'!S110/'pivot tables'!S11</f>
        <v>-2.0262071127571879</v>
      </c>
      <c r="S61" s="7">
        <f>'pivot tables'!T110/'pivot tables'!T11</f>
        <v>-2.3051707883121271</v>
      </c>
      <c r="T61" s="7">
        <f>'pivot tables'!U110/'pivot tables'!U11</f>
        <v>-2.3933839971512949</v>
      </c>
      <c r="U61" s="7">
        <f>'pivot tables'!V110/'pivot tables'!V11</f>
        <v>-2.097529413325748</v>
      </c>
      <c r="V61" s="7">
        <f>'pivot tables'!W110/'pivot tables'!W11</f>
        <v>-2.0068069259796251</v>
      </c>
      <c r="W61" s="7">
        <f>'pivot tables'!X110/'pivot tables'!X11</f>
        <v>-2.1646316931012906</v>
      </c>
      <c r="X61" s="7">
        <f>'pivot tables'!Y110/'pivot tables'!Y11</f>
        <v>-1.9609466630685222</v>
      </c>
      <c r="Y61" s="7">
        <f>'pivot tables'!Z110/'pivot tables'!Z11</f>
        <v>-1.9400769532818092</v>
      </c>
      <c r="Z61" s="7">
        <f>'pivot tables'!AA110/'pivot tables'!AA11</f>
        <v>-1.9686337975346457</v>
      </c>
      <c r="AA61" s="7">
        <f>'pivot tables'!AB110/'pivot tables'!AB11</f>
        <v>-1.9790769406788018</v>
      </c>
      <c r="AB61" s="7">
        <f>'pivot tables'!AC110/'pivot tables'!AC11</f>
        <v>-2.0566308097874582</v>
      </c>
      <c r="AC61" s="7">
        <f>'pivot tables'!AD110/'pivot tables'!AD11</f>
        <v>-2.2204901657406668</v>
      </c>
      <c r="AD61" s="7">
        <f>'pivot tables'!AE110/'pivot tables'!AE11</f>
        <v>-2.4303312199360207</v>
      </c>
      <c r="AE61" s="7">
        <f>'pivot tables'!AF110/'pivot tables'!AF11</f>
        <v>-3.1984290192135334</v>
      </c>
      <c r="AF61" s="7">
        <f>'pivot tables'!AG110/'pivot tables'!AG11</f>
        <v>-4.014790953159932</v>
      </c>
      <c r="AG61" s="7">
        <f>'pivot tables'!AH110/'pivot tables'!AH11</f>
        <v>-4.364058263018074</v>
      </c>
      <c r="AH61" s="7">
        <f>'pivot tables'!AI110/'pivot tables'!AI11</f>
        <v>-3.7079640896536019</v>
      </c>
      <c r="AI61" s="7">
        <f>'pivot tables'!AJ110/'pivot tables'!AJ11</f>
        <v>-3.1230057115197405</v>
      </c>
      <c r="AJ61" s="7">
        <f>'pivot tables'!AK110/'pivot tables'!AK11</f>
        <v>-2.3331285703842308</v>
      </c>
    </row>
    <row r="62" spans="2:36" x14ac:dyDescent="0.25">
      <c r="B62" t="s">
        <v>29</v>
      </c>
      <c r="C62" s="7">
        <f>'pivot tables'!D111/'pivot tables'!D12</f>
        <v>-2.7627629321543661E-2</v>
      </c>
      <c r="D62" s="7">
        <f>'pivot tables'!E111/'pivot tables'!E12</f>
        <v>-2.723298801897495E-2</v>
      </c>
      <c r="E62" s="7">
        <f>'pivot tables'!F111/'pivot tables'!F12</f>
        <v>-2.7353504840310662E-2</v>
      </c>
      <c r="F62" s="7">
        <f>'pivot tables'!G111/'pivot tables'!G12</f>
        <v>-2.7678425540159566E-2</v>
      </c>
      <c r="G62" s="7">
        <f>'pivot tables'!H111/'pivot tables'!H12</f>
        <v>-2.7471551746375545E-2</v>
      </c>
      <c r="H62" s="7">
        <f>'pivot tables'!I111/'pivot tables'!I12</f>
        <v>-2.7717922001831714E-2</v>
      </c>
      <c r="I62" s="7">
        <f>'pivot tables'!J111/'pivot tables'!J12</f>
        <v>-2.7636599294089438E-2</v>
      </c>
      <c r="J62" s="7">
        <f>'pivot tables'!K111/'pivot tables'!K12</f>
        <v>-2.7627841899117832E-2</v>
      </c>
      <c r="K62" s="7">
        <f>'pivot tables'!L111/'pivot tables'!L12</f>
        <v>-2.7577059445952012E-2</v>
      </c>
      <c r="L62" s="7">
        <f>'pivot tables'!M111/'pivot tables'!M12</f>
        <v>-2.741278944445822E-2</v>
      </c>
      <c r="M62" s="7">
        <f>'pivot tables'!N111/'pivot tables'!N12</f>
        <v>-2.7564783275006183E-2</v>
      </c>
      <c r="N62" s="7">
        <f>'pivot tables'!O111/'pivot tables'!O12</f>
        <v>-2.8800485708168209E-2</v>
      </c>
      <c r="O62" s="7">
        <f>'pivot tables'!P111/'pivot tables'!P12</f>
        <v>-2.8951533488334302E-2</v>
      </c>
      <c r="P62" s="7">
        <f>'pivot tables'!Q111/'pivot tables'!Q12</f>
        <v>-2.854396796437824E-2</v>
      </c>
      <c r="Q62" s="7">
        <f>'pivot tables'!R111/'pivot tables'!R12</f>
        <v>-2.8957210930629435E-2</v>
      </c>
      <c r="R62" s="7">
        <f>'pivot tables'!S111/'pivot tables'!S12</f>
        <v>-2.904890870771229E-2</v>
      </c>
      <c r="S62" s="7">
        <f>'pivot tables'!T111/'pivot tables'!T12</f>
        <v>-2.4015435284296012E-2</v>
      </c>
      <c r="T62" s="7">
        <f>'pivot tables'!U111/'pivot tables'!U12</f>
        <v>-2.4632554675342318E-2</v>
      </c>
      <c r="U62" s="7">
        <f>'pivot tables'!V111/'pivot tables'!V12</f>
        <v>-2.549832774848737E-2</v>
      </c>
      <c r="V62" s="7">
        <f>'pivot tables'!W111/'pivot tables'!W12</f>
        <v>-2.7017880600828215E-2</v>
      </c>
      <c r="W62" s="7">
        <f>'pivot tables'!X111/'pivot tables'!X12</f>
        <v>-2.8301681973364304E-2</v>
      </c>
      <c r="X62" s="7">
        <f>'pivot tables'!Y111/'pivot tables'!Y12</f>
        <v>-1.9862493540222594E-2</v>
      </c>
      <c r="Y62" s="7">
        <f>'pivot tables'!Z111/'pivot tables'!Z12</f>
        <v>-2.1526880504244037E-2</v>
      </c>
      <c r="Z62" s="7">
        <f>'pivot tables'!AA111/'pivot tables'!AA12</f>
        <v>-2.2827364153043584E-2</v>
      </c>
      <c r="AA62" s="7">
        <f>'pivot tables'!AB111/'pivot tables'!AB12</f>
        <v>-2.3482032892712827E-2</v>
      </c>
      <c r="AB62" s="7">
        <f>'pivot tables'!AC111/'pivot tables'!AC12</f>
        <v>-2.45580020364005E-2</v>
      </c>
      <c r="AC62" s="7">
        <f>'pivot tables'!AD111/'pivot tables'!AD12</f>
        <v>-4.431676463412066E-2</v>
      </c>
      <c r="AD62" s="7">
        <f>'pivot tables'!AE111/'pivot tables'!AE12</f>
        <v>-4.5795535501019606E-2</v>
      </c>
      <c r="AE62" s="7">
        <f>'pivot tables'!AF111/'pivot tables'!AF12</f>
        <v>-0.84437363962276779</v>
      </c>
      <c r="AF62" s="7">
        <f>'pivot tables'!AG111/'pivot tables'!AG12</f>
        <v>-0.8209157548672138</v>
      </c>
      <c r="AG62" s="7">
        <f>'pivot tables'!AH111/'pivot tables'!AH12</f>
        <v>-0.91250767962764934</v>
      </c>
      <c r="AH62" s="7">
        <f>'pivot tables'!AI111/'pivot tables'!AI12</f>
        <v>-0.83279994747064567</v>
      </c>
      <c r="AI62" s="7">
        <f>'pivot tables'!AJ111/'pivot tables'!AJ12</f>
        <v>-0.80160076343630604</v>
      </c>
      <c r="AJ62" s="7">
        <f>'pivot tables'!AK111/'pivot tables'!AK12</f>
        <v>-0.66469132543343079</v>
      </c>
    </row>
    <row r="63" spans="2:36" x14ac:dyDescent="0.25">
      <c r="B63" t="s">
        <v>30</v>
      </c>
      <c r="C63" s="7">
        <f>'pivot tables'!D112/'pivot tables'!D13</f>
        <v>-5.5075459410850208E-2</v>
      </c>
      <c r="D63" s="7">
        <f>'pivot tables'!E112/'pivot tables'!E13</f>
        <v>-3.2397663145483133E-2</v>
      </c>
      <c r="E63" s="7">
        <f>'pivot tables'!F112/'pivot tables'!F13</f>
        <v>-3.2122402949856535E-2</v>
      </c>
      <c r="F63" s="7">
        <f>'pivot tables'!G112/'pivot tables'!G13</f>
        <v>-3.1851571415792999E-2</v>
      </c>
      <c r="G63" s="7">
        <f>'pivot tables'!H112/'pivot tables'!H13</f>
        <v>-3.0735840312748886E-2</v>
      </c>
      <c r="H63" s="7">
        <f>'pivot tables'!I112/'pivot tables'!I13</f>
        <v>-2.863057550014117E-2</v>
      </c>
      <c r="I63" s="7">
        <f>'pivot tables'!J112/'pivot tables'!J13</f>
        <v>-2.8405684202715574E-2</v>
      </c>
      <c r="J63" s="7">
        <f>'pivot tables'!K112/'pivot tables'!K13</f>
        <v>-2.8184298383346618E-2</v>
      </c>
      <c r="K63" s="7">
        <f>'pivot tables'!L112/'pivot tables'!L13</f>
        <v>-2.7966336712823635E-2</v>
      </c>
      <c r="L63" s="7">
        <f>'pivot tables'!M112/'pivot tables'!M13</f>
        <v>-2.7751720360355267E-2</v>
      </c>
      <c r="M63" s="7">
        <f>'pivot tables'!N112/'pivot tables'!N13</f>
        <v>-2.7708094498383972E-2</v>
      </c>
      <c r="N63" s="7">
        <f>'pivot tables'!O112/'pivot tables'!O13</f>
        <v>-2.7498674145205827E-2</v>
      </c>
      <c r="O63" s="7">
        <f>'pivot tables'!P112/'pivot tables'!P13</f>
        <v>-2.7292395681915164E-2</v>
      </c>
      <c r="P63" s="7">
        <f>'pivot tables'!Q112/'pivot tables'!Q13</f>
        <v>-2.7089188930069685E-2</v>
      </c>
      <c r="Q63" s="7">
        <f>'pivot tables'!R112/'pivot tables'!R13</f>
        <v>-2.6888985784167572E-2</v>
      </c>
      <c r="R63" s="7">
        <f>'pivot tables'!S112/'pivot tables'!S13</f>
        <v>-2.7776652825461875E-2</v>
      </c>
      <c r="S63" s="7">
        <f>'pivot tables'!T112/'pivot tables'!T13</f>
        <v>-3.7554889269378486E-2</v>
      </c>
      <c r="T63" s="7">
        <f>'pivot tables'!U112/'pivot tables'!U13</f>
        <v>-4.6089398654232935E-2</v>
      </c>
      <c r="U63" s="7">
        <f>'pivot tables'!V112/'pivot tables'!V13</f>
        <v>-5.4499039976463819E-2</v>
      </c>
      <c r="V63" s="7">
        <f>'pivot tables'!W112/'pivot tables'!W13</f>
        <v>-6.278653374342158E-2</v>
      </c>
      <c r="W63" s="7">
        <f>'pivot tables'!X112/'pivot tables'!X13</f>
        <v>-6.9908701090487274E-2</v>
      </c>
      <c r="X63" s="7">
        <f>'pivot tables'!Y112/'pivot tables'!Y13</f>
        <v>-6.9408268118412164E-2</v>
      </c>
      <c r="Y63" s="7">
        <f>'pivot tables'!Z112/'pivot tables'!Z13</f>
        <v>-7.6989719580251942E-2</v>
      </c>
      <c r="Z63" s="7">
        <f>'pivot tables'!AA112/'pivot tables'!AA13</f>
        <v>-6.4697526710844347E-2</v>
      </c>
      <c r="AA63" s="7">
        <f>'pivot tables'!AB112/'pivot tables'!AB13</f>
        <v>-6.0321722114403731E-2</v>
      </c>
      <c r="AB63" s="7">
        <f>'pivot tables'!AC112/'pivot tables'!AC13</f>
        <v>-7.2409910629522942E-2</v>
      </c>
      <c r="AC63" s="7">
        <f>'pivot tables'!AD112/'pivot tables'!AD13</f>
        <v>-6.7554891089181127E-2</v>
      </c>
      <c r="AD63" s="7">
        <f>'pivot tables'!AE112/'pivot tables'!AE13</f>
        <v>-6.4176942697245595E-2</v>
      </c>
      <c r="AE63" s="7">
        <f>'pivot tables'!AF112/'pivot tables'!AF13</f>
        <v>-6.6366555834607835E-2</v>
      </c>
      <c r="AF63" s="7">
        <f>'pivot tables'!AG112/'pivot tables'!AG13</f>
        <v>-6.1557652381754577E-2</v>
      </c>
      <c r="AG63" s="7">
        <f>'pivot tables'!AH112/'pivot tables'!AH13</f>
        <v>-7.069696945748577E-2</v>
      </c>
      <c r="AH63" s="7">
        <f>'pivot tables'!AI112/'pivot tables'!AI13</f>
        <v>-8.0329454429961158E-2</v>
      </c>
      <c r="AI63" s="7">
        <f>'pivot tables'!AJ112/'pivot tables'!AJ13</f>
        <v>-6.6514078346933736E-2</v>
      </c>
      <c r="AJ63" s="7">
        <f>'pivot tables'!AK112/'pivot tables'!AK13</f>
        <v>-7.2552398773960886E-2</v>
      </c>
    </row>
    <row r="64" spans="2:36" x14ac:dyDescent="0.25">
      <c r="B64" t="s">
        <v>31</v>
      </c>
      <c r="C64" s="7">
        <f>'pivot tables'!D113/'pivot tables'!D14</f>
        <v>0</v>
      </c>
      <c r="D64" s="7">
        <f>'pivot tables'!E113/'pivot tables'!E14</f>
        <v>0</v>
      </c>
      <c r="E64" s="7">
        <f>'pivot tables'!F113/'pivot tables'!F14</f>
        <v>0</v>
      </c>
      <c r="F64" s="7">
        <f>'pivot tables'!G113/'pivot tables'!G14</f>
        <v>0</v>
      </c>
      <c r="G64" s="7">
        <f>'pivot tables'!H113/'pivot tables'!H14</f>
        <v>0</v>
      </c>
      <c r="H64" s="7">
        <f>'pivot tables'!I113/'pivot tables'!I14</f>
        <v>0</v>
      </c>
      <c r="I64" s="7">
        <f>'pivot tables'!J113/'pivot tables'!J14</f>
        <v>0</v>
      </c>
      <c r="J64" s="7">
        <f>'pivot tables'!K113/'pivot tables'!K14</f>
        <v>0</v>
      </c>
      <c r="K64" s="7">
        <f>'pivot tables'!L113/'pivot tables'!L14</f>
        <v>0</v>
      </c>
      <c r="L64" s="7">
        <f>'pivot tables'!M113/'pivot tables'!M14</f>
        <v>0</v>
      </c>
      <c r="M64" s="7">
        <f>'pivot tables'!N113/'pivot tables'!N14</f>
        <v>0</v>
      </c>
      <c r="N64" s="7">
        <f>'pivot tables'!O113/'pivot tables'!O14</f>
        <v>0</v>
      </c>
      <c r="O64" s="7">
        <f>'pivot tables'!P113/'pivot tables'!P14</f>
        <v>0</v>
      </c>
      <c r="P64" s="7">
        <f>'pivot tables'!Q113/'pivot tables'!Q14</f>
        <v>0</v>
      </c>
      <c r="Q64" s="7">
        <f>'pivot tables'!R113/'pivot tables'!R14</f>
        <v>0</v>
      </c>
      <c r="R64" s="7">
        <f>'pivot tables'!S113/'pivot tables'!S14</f>
        <v>0</v>
      </c>
      <c r="S64" s="7">
        <f>'pivot tables'!T113/'pivot tables'!T14</f>
        <v>0</v>
      </c>
      <c r="T64" s="7">
        <f>'pivot tables'!U113/'pivot tables'!U14</f>
        <v>0</v>
      </c>
      <c r="U64" s="7">
        <f>'pivot tables'!V113/'pivot tables'!V14</f>
        <v>0</v>
      </c>
      <c r="V64" s="7">
        <f>'pivot tables'!W113/'pivot tables'!W14</f>
        <v>0</v>
      </c>
      <c r="W64" s="7">
        <f>'pivot tables'!X113/'pivot tables'!X14</f>
        <v>0</v>
      </c>
      <c r="X64" s="7">
        <f>'pivot tables'!Y113/'pivot tables'!Y14</f>
        <v>0</v>
      </c>
      <c r="Y64" s="7">
        <f>'pivot tables'!Z113/'pivot tables'!Z14</f>
        <v>0</v>
      </c>
      <c r="Z64" s="7">
        <f>'pivot tables'!AA113/'pivot tables'!AA14</f>
        <v>0</v>
      </c>
      <c r="AA64" s="7">
        <f>'pivot tables'!AB113/'pivot tables'!AB14</f>
        <v>0</v>
      </c>
      <c r="AB64" s="7">
        <f>'pivot tables'!AC113/'pivot tables'!AC14</f>
        <v>0</v>
      </c>
      <c r="AC64" s="7">
        <f>'pivot tables'!AD113/'pivot tables'!AD14</f>
        <v>0</v>
      </c>
      <c r="AD64" s="7">
        <f>'pivot tables'!AE113/'pivot tables'!AE14</f>
        <v>0</v>
      </c>
      <c r="AE64" s="7">
        <f>'pivot tables'!AF113/'pivot tables'!AF14</f>
        <v>0</v>
      </c>
      <c r="AF64" s="7">
        <f>'pivot tables'!AG113/'pivot tables'!AG14</f>
        <v>0</v>
      </c>
      <c r="AG64" s="7">
        <f>'pivot tables'!AH113/'pivot tables'!AH14</f>
        <v>0</v>
      </c>
      <c r="AH64" s="7">
        <f>'pivot tables'!AI113/'pivot tables'!AI14</f>
        <v>0</v>
      </c>
      <c r="AI64" s="7">
        <f>'pivot tables'!AJ113/'pivot tables'!AJ14</f>
        <v>0</v>
      </c>
      <c r="AJ64" s="7">
        <f>'pivot tables'!AK113/'pivot tables'!AK14</f>
        <v>0</v>
      </c>
    </row>
    <row r="65" spans="2:36" x14ac:dyDescent="0.25">
      <c r="B65" t="s">
        <v>32</v>
      </c>
      <c r="C65" s="7">
        <f>'pivot tables'!D114/'pivot tables'!D15</f>
        <v>-8.1362895437298827E-2</v>
      </c>
      <c r="D65" s="7">
        <f>'pivot tables'!E114/'pivot tables'!E15</f>
        <v>-0.10247450479300391</v>
      </c>
      <c r="E65" s="7">
        <f>'pivot tables'!F114/'pivot tables'!F15</f>
        <v>-0.12900614247709963</v>
      </c>
      <c r="F65" s="7">
        <f>'pivot tables'!G114/'pivot tables'!G15</f>
        <v>-0.16233321425675798</v>
      </c>
      <c r="G65" s="7">
        <f>'pivot tables'!H114/'pivot tables'!H15</f>
        <v>-0.20427071473174227</v>
      </c>
      <c r="H65" s="7">
        <f>'pivot tables'!I114/'pivot tables'!I15</f>
        <v>-0.25700119780689867</v>
      </c>
      <c r="I65" s="7">
        <f>'pivot tables'!J114/'pivot tables'!J15</f>
        <v>-0.32329201571903238</v>
      </c>
      <c r="J65" s="7">
        <f>'pivot tables'!K114/'pivot tables'!K15</f>
        <v>-0.40664411114352028</v>
      </c>
      <c r="K65" s="7">
        <f>'pivot tables'!L114/'pivot tables'!L15</f>
        <v>-0.51155405579141977</v>
      </c>
      <c r="L65" s="7">
        <f>'pivot tables'!M114/'pivot tables'!M15</f>
        <v>-0.6434322645305306</v>
      </c>
      <c r="M65" s="7">
        <f>'pivot tables'!N114/'pivot tables'!N15</f>
        <v>-0.80948928872169423</v>
      </c>
      <c r="N65" s="7">
        <f>'pivot tables'!O114/'pivot tables'!O15</f>
        <v>-1.0189319777613861</v>
      </c>
      <c r="O65" s="7">
        <f>'pivot tables'!P114/'pivot tables'!P15</f>
        <v>-1.2829644346114351</v>
      </c>
      <c r="P65" s="7">
        <f>'pivot tables'!Q114/'pivot tables'!Q15</f>
        <v>-1.0558092116774198</v>
      </c>
      <c r="Q65" s="7">
        <f>'pivot tables'!R114/'pivot tables'!R15</f>
        <v>-0.97605829418055212</v>
      </c>
      <c r="R65" s="7">
        <f>'pivot tables'!S114/'pivot tables'!S15</f>
        <v>-0.76736553007360075</v>
      </c>
      <c r="S65" s="7">
        <f>'pivot tables'!T114/'pivot tables'!T15</f>
        <v>-0.63133164078082604</v>
      </c>
      <c r="T65" s="7">
        <f>'pivot tables'!U114/'pivot tables'!U15</f>
        <v>-0.52428182905023124</v>
      </c>
      <c r="U65" s="7">
        <f>'pivot tables'!V114/'pivot tables'!V15</f>
        <v>-0.52460406635820767</v>
      </c>
      <c r="V65" s="7">
        <f>'pivot tables'!W114/'pivot tables'!W15</f>
        <v>-0.52300724688118083</v>
      </c>
      <c r="W65" s="7">
        <f>'pivot tables'!X114/'pivot tables'!X15</f>
        <v>-0.71749348456296735</v>
      </c>
      <c r="X65" s="7">
        <f>'pivot tables'!Y114/'pivot tables'!Y15</f>
        <v>-1.01994677533998</v>
      </c>
      <c r="Y65" s="7">
        <f>'pivot tables'!Z114/'pivot tables'!Z15</f>
        <v>-1.1108066867256501</v>
      </c>
      <c r="Z65" s="7">
        <f>'pivot tables'!AA114/'pivot tables'!AA15</f>
        <v>-1.2000705403782095</v>
      </c>
      <c r="AA65" s="7">
        <f>'pivot tables'!AB114/'pivot tables'!AB15</f>
        <v>-1.1854590283247901</v>
      </c>
      <c r="AB65" s="7">
        <f>'pivot tables'!AC114/'pivot tables'!AC15</f>
        <v>-1.2080666089838099</v>
      </c>
      <c r="AC65" s="7">
        <f>'pivot tables'!AD114/'pivot tables'!AD15</f>
        <v>-1.2491800038220098</v>
      </c>
      <c r="AD65" s="7">
        <f>'pivot tables'!AE114/'pivot tables'!AE15</f>
        <v>-1.2982932897196697</v>
      </c>
      <c r="AE65" s="7">
        <f>'pivot tables'!AF114/'pivot tables'!AF15</f>
        <v>-1.4585327894443501</v>
      </c>
      <c r="AF65" s="7">
        <f>'pivot tables'!AG114/'pivot tables'!AG15</f>
        <v>-1.4277630204123397</v>
      </c>
      <c r="AG65" s="7">
        <f>'pivot tables'!AH114/'pivot tables'!AH15</f>
        <v>-1.2015152544034902</v>
      </c>
      <c r="AH65" s="7">
        <f>'pivot tables'!AI114/'pivot tables'!AI15</f>
        <v>-1.1684279910421298</v>
      </c>
      <c r="AI65" s="7">
        <f>'pivot tables'!AJ114/'pivot tables'!AJ15</f>
        <v>-1.0830495634850201</v>
      </c>
      <c r="AJ65" s="7">
        <f>'pivot tables'!AK114/'pivot tables'!AK15</f>
        <v>-1.2729626680822499</v>
      </c>
    </row>
    <row r="66" spans="2:36" x14ac:dyDescent="0.25">
      <c r="B66" t="s">
        <v>33</v>
      </c>
      <c r="C66" s="7">
        <f>'pivot tables'!D115/'pivot tables'!D16</f>
        <v>-0.91960325563159817</v>
      </c>
      <c r="D66" s="7">
        <f>'pivot tables'!E115/'pivot tables'!E16</f>
        <v>-0.74923149981230064</v>
      </c>
      <c r="E66" s="7">
        <f>'pivot tables'!F115/'pivot tables'!F16</f>
        <v>-0.84767659044600407</v>
      </c>
      <c r="F66" s="7">
        <f>'pivot tables'!G115/'pivot tables'!G16</f>
        <v>-0.89209826212167476</v>
      </c>
      <c r="G66" s="7">
        <f>'pivot tables'!H115/'pivot tables'!H16</f>
        <v>-1.0166741408737221</v>
      </c>
      <c r="H66" s="7">
        <f>'pivot tables'!I115/'pivot tables'!I16</f>
        <v>-1.0478822355766635</v>
      </c>
      <c r="I66" s="7">
        <f>'pivot tables'!J115/'pivot tables'!J16</f>
        <v>-0.96905055154918085</v>
      </c>
      <c r="J66" s="7">
        <f>'pivot tables'!K115/'pivot tables'!K16</f>
        <v>-1.084343381198736</v>
      </c>
      <c r="K66" s="7">
        <f>'pivot tables'!L115/'pivot tables'!L16</f>
        <v>-1.1364824354769207</v>
      </c>
      <c r="L66" s="7">
        <f>'pivot tables'!M115/'pivot tables'!M16</f>
        <v>-1.1531267046091978</v>
      </c>
      <c r="M66" s="7">
        <f>'pivot tables'!N115/'pivot tables'!N16</f>
        <v>-1.1809575056648105</v>
      </c>
      <c r="N66" s="7">
        <f>'pivot tables'!O115/'pivot tables'!O16</f>
        <v>-1.149557485553119</v>
      </c>
      <c r="O66" s="7">
        <f>'pivot tables'!P115/'pivot tables'!P16</f>
        <v>-1.164316360966591</v>
      </c>
      <c r="P66" s="7">
        <f>'pivot tables'!Q115/'pivot tables'!Q16</f>
        <v>-1.1783676869256066</v>
      </c>
      <c r="Q66" s="7">
        <f>'pivot tables'!R115/'pivot tables'!R16</f>
        <v>-1.1788313573612732</v>
      </c>
      <c r="R66" s="7">
        <f>'pivot tables'!S115/'pivot tables'!S16</f>
        <v>-1.1416489751962255</v>
      </c>
      <c r="S66" s="7">
        <f>'pivot tables'!T115/'pivot tables'!T16</f>
        <v>-1.1117060852832497</v>
      </c>
      <c r="T66" s="7">
        <f>'pivot tables'!U115/'pivot tables'!U16</f>
        <v>-1.2370159936248313</v>
      </c>
      <c r="U66" s="7">
        <f>'pivot tables'!V115/'pivot tables'!V16</f>
        <v>-1.158208760843572</v>
      </c>
      <c r="V66" s="7">
        <f>'pivot tables'!W115/'pivot tables'!W16</f>
        <v>-0.97752969909904031</v>
      </c>
      <c r="W66" s="7">
        <f>'pivot tables'!X115/'pivot tables'!X16</f>
        <v>-1.175372066106076</v>
      </c>
      <c r="X66" s="7">
        <f>'pivot tables'!Y115/'pivot tables'!Y16</f>
        <v>-1.1862962992689599</v>
      </c>
      <c r="Y66" s="7">
        <f>'pivot tables'!Z115/'pivot tables'!Z16</f>
        <v>-1.1718145208318238</v>
      </c>
      <c r="Z66" s="7">
        <f>'pivot tables'!AA115/'pivot tables'!AA16</f>
        <v>-1.2731080830052688</v>
      </c>
      <c r="AA66" s="7">
        <f>'pivot tables'!AB115/'pivot tables'!AB16</f>
        <v>-1.2699758815898694</v>
      </c>
      <c r="AB66" s="7">
        <f>'pivot tables'!AC115/'pivot tables'!AC16</f>
        <v>-1.3172221984381689</v>
      </c>
      <c r="AC66" s="7">
        <f>'pivot tables'!AD115/'pivot tables'!AD16</f>
        <v>-1.3541553987381871</v>
      </c>
      <c r="AD66" s="7">
        <f>'pivot tables'!AE115/'pivot tables'!AE16</f>
        <v>-1.382677251318239</v>
      </c>
      <c r="AE66" s="7">
        <f>'pivot tables'!AF115/'pivot tables'!AF16</f>
        <v>-1.4752013403773636</v>
      </c>
      <c r="AF66" s="7">
        <f>'pivot tables'!AG115/'pivot tables'!AG16</f>
        <v>-1.382050161287113</v>
      </c>
      <c r="AG66" s="7">
        <f>'pivot tables'!AH115/'pivot tables'!AH16</f>
        <v>-1.311797687126746</v>
      </c>
      <c r="AH66" s="7">
        <f>'pivot tables'!AI115/'pivot tables'!AI16</f>
        <v>-1.4443195370925401</v>
      </c>
      <c r="AI66" s="7">
        <f>'pivot tables'!AJ115/'pivot tables'!AJ16</f>
        <v>-1.423919279843298</v>
      </c>
      <c r="AJ66" s="7">
        <f>'pivot tables'!AK115/'pivot tables'!AK16</f>
        <v>-1.3818443628494921</v>
      </c>
    </row>
    <row r="67" spans="2:36" x14ac:dyDescent="0.25">
      <c r="B67" t="s">
        <v>34</v>
      </c>
      <c r="C67" s="7">
        <f>'pivot tables'!D116/'pivot tables'!D17</f>
        <v>-1.0470264732772541</v>
      </c>
      <c r="D67" s="7">
        <f>'pivot tables'!E116/'pivot tables'!E17</f>
        <v>-1.1108512346855699</v>
      </c>
      <c r="E67" s="7">
        <f>'pivot tables'!F116/'pivot tables'!F17</f>
        <v>-1.1203524561869944</v>
      </c>
      <c r="F67" s="7">
        <f>'pivot tables'!G116/'pivot tables'!G17</f>
        <v>-1.0804003211258808</v>
      </c>
      <c r="G67" s="7">
        <f>'pivot tables'!H116/'pivot tables'!H17</f>
        <v>-1.0893941708316586</v>
      </c>
      <c r="H67" s="7">
        <f>'pivot tables'!I116/'pivot tables'!I17</f>
        <v>-1.0805531595107345</v>
      </c>
      <c r="I67" s="7">
        <f>'pivot tables'!J116/'pivot tables'!J17</f>
        <v>-1.0167951358240772</v>
      </c>
      <c r="J67" s="7">
        <f>'pivot tables'!K116/'pivot tables'!K17</f>
        <v>-1.0347126686481598</v>
      </c>
      <c r="K67" s="7">
        <f>'pivot tables'!L116/'pivot tables'!L17</f>
        <v>-1.0347799935688737</v>
      </c>
      <c r="L67" s="7">
        <f>'pivot tables'!M116/'pivot tables'!M17</f>
        <v>-1.7571710369105487</v>
      </c>
      <c r="M67" s="7">
        <f>'pivot tables'!N116/'pivot tables'!N17</f>
        <v>-1.1653973210681301</v>
      </c>
      <c r="N67" s="7">
        <f>'pivot tables'!O116/'pivot tables'!O17</f>
        <v>-1.0492146816044012</v>
      </c>
      <c r="O67" s="7">
        <f>'pivot tables'!P116/'pivot tables'!P17</f>
        <v>-0.95145978802723186</v>
      </c>
      <c r="P67" s="7">
        <f>'pivot tables'!Q116/'pivot tables'!Q17</f>
        <v>-0.91387320980261699</v>
      </c>
      <c r="Q67" s="7">
        <f>'pivot tables'!R116/'pivot tables'!R17</f>
        <v>-0.92366947042524106</v>
      </c>
      <c r="R67" s="7">
        <f>'pivot tables'!S116/'pivot tables'!S17</f>
        <v>-0.92852041469466651</v>
      </c>
      <c r="S67" s="7">
        <f>'pivot tables'!T116/'pivot tables'!T17</f>
        <v>-0.92702206194640469</v>
      </c>
      <c r="T67" s="7">
        <f>'pivot tables'!U116/'pivot tables'!U17</f>
        <v>-0.93258314210359772</v>
      </c>
      <c r="U67" s="7">
        <f>'pivot tables'!V116/'pivot tables'!V17</f>
        <v>-0.90547734303297922</v>
      </c>
      <c r="V67" s="7">
        <f>'pivot tables'!W116/'pivot tables'!W17</f>
        <v>-1.1830586376751591</v>
      </c>
      <c r="W67" s="7">
        <f>'pivot tables'!X116/'pivot tables'!X17</f>
        <v>-0.98797887982771393</v>
      </c>
      <c r="X67" s="7">
        <f>'pivot tables'!Y116/'pivot tables'!Y17</f>
        <v>-0.96290561135564567</v>
      </c>
      <c r="Y67" s="7">
        <f>'pivot tables'!Z116/'pivot tables'!Z17</f>
        <v>-0.92200574754545406</v>
      </c>
      <c r="Z67" s="7">
        <f>'pivot tables'!AA116/'pivot tables'!AA17</f>
        <v>-0.91157725090620656</v>
      </c>
      <c r="AA67" s="7">
        <f>'pivot tables'!AB116/'pivot tables'!AB17</f>
        <v>-0.96039596202982402</v>
      </c>
      <c r="AB67" s="7">
        <f>'pivot tables'!AC116/'pivot tables'!AC17</f>
        <v>-0.98462822828008489</v>
      </c>
      <c r="AC67" s="7">
        <f>'pivot tables'!AD116/'pivot tables'!AD17</f>
        <v>-1.0467750498047581</v>
      </c>
      <c r="AD67" s="7">
        <f>'pivot tables'!AE116/'pivot tables'!AE17</f>
        <v>-1.1285726028937126</v>
      </c>
      <c r="AE67" s="7">
        <f>'pivot tables'!AF116/'pivot tables'!AF17</f>
        <v>-1.1949547834561223</v>
      </c>
      <c r="AF67" s="7">
        <f>'pivot tables'!AG116/'pivot tables'!AG17</f>
        <v>-1.2445974123016834</v>
      </c>
      <c r="AG67" s="7">
        <f>'pivot tables'!AH116/'pivot tables'!AH17</f>
        <v>-1.2475032948515523</v>
      </c>
      <c r="AH67" s="7">
        <f>'pivot tables'!AI116/'pivot tables'!AI17</f>
        <v>-1.2983407956545274</v>
      </c>
      <c r="AI67" s="7">
        <f>'pivot tables'!AJ116/'pivot tables'!AJ17</f>
        <v>-1.2719802445942909</v>
      </c>
      <c r="AJ67" s="7">
        <f>'pivot tables'!AK116/'pivot tables'!AK17</f>
        <v>-1.2484896700954851</v>
      </c>
    </row>
    <row r="68" spans="2:36" x14ac:dyDescent="0.25">
      <c r="B68" t="s">
        <v>50</v>
      </c>
      <c r="C68" s="7">
        <f>'pivot tables'!D117/'pivot tables'!D18</f>
        <v>-2.6186078877003358</v>
      </c>
      <c r="D68" s="7">
        <f>'pivot tables'!E117/'pivot tables'!E18</f>
        <v>-2.6368858256250722</v>
      </c>
      <c r="E68" s="7">
        <f>'pivot tables'!F117/'pivot tables'!F18</f>
        <v>-2.676190015508769</v>
      </c>
      <c r="F68" s="7">
        <f>'pivot tables'!G117/'pivot tables'!G18</f>
        <v>-2.7180412034552788</v>
      </c>
      <c r="G68" s="7">
        <f>'pivot tables'!H117/'pivot tables'!H18</f>
        <v>-2.8035514182657879</v>
      </c>
      <c r="H68" s="7">
        <f>'pivot tables'!I117/'pivot tables'!I18</f>
        <v>-2.8429737992690809</v>
      </c>
      <c r="I68" s="7">
        <f>'pivot tables'!J117/'pivot tables'!J18</f>
        <v>-2.8641315325057768</v>
      </c>
      <c r="J68" s="7">
        <f>'pivot tables'!K117/'pivot tables'!K18</f>
        <v>-2.9157865638625657</v>
      </c>
      <c r="K68" s="7">
        <f>'pivot tables'!L117/'pivot tables'!L18</f>
        <v>-2.9328609455254839</v>
      </c>
      <c r="L68" s="7">
        <f>'pivot tables'!M117/'pivot tables'!M18</f>
        <v>-2.9944556768546136</v>
      </c>
      <c r="M68" s="7">
        <f>'pivot tables'!N117/'pivot tables'!N18</f>
        <v>-3.02645788207096</v>
      </c>
      <c r="N68" s="7">
        <f>'pivot tables'!O117/'pivot tables'!O18</f>
        <v>-3.0234035522784808</v>
      </c>
      <c r="O68" s="7">
        <f>'pivot tables'!P117/'pivot tables'!P18</f>
        <v>-3.0519844307709114</v>
      </c>
      <c r="P68" s="7">
        <f>'pivot tables'!Q117/'pivot tables'!Q18</f>
        <v>-3.1022360236460274</v>
      </c>
      <c r="Q68" s="7">
        <f>'pivot tables'!R117/'pivot tables'!R18</f>
        <v>-3.1179769638031058</v>
      </c>
      <c r="R68" s="7">
        <f>'pivot tables'!S117/'pivot tables'!S18</f>
        <v>-3.1483829672805683</v>
      </c>
      <c r="S68" s="7">
        <f>'pivot tables'!T117/'pivot tables'!T18</f>
        <v>-3.1822617583239561</v>
      </c>
      <c r="T68" s="7">
        <f>'pivot tables'!U117/'pivot tables'!U18</f>
        <v>-3.2464652859610599</v>
      </c>
      <c r="U68" s="7">
        <f>'pivot tables'!V117/'pivot tables'!V18</f>
        <v>-3.23793311164756</v>
      </c>
      <c r="V68" s="7">
        <f>'pivot tables'!W117/'pivot tables'!W18</f>
        <v>-3.3036023660690512</v>
      </c>
      <c r="W68" s="7">
        <f>'pivot tables'!X117/'pivot tables'!X18</f>
        <v>-3.3798719999578295</v>
      </c>
      <c r="X68" s="7">
        <f>'pivot tables'!Y117/'pivot tables'!Y18</f>
        <v>-3.4545225049264867</v>
      </c>
      <c r="Y68" s="7">
        <f>'pivot tables'!Z117/'pivot tables'!Z18</f>
        <v>-3.5783682239013617</v>
      </c>
      <c r="Z68" s="7">
        <f>'pivot tables'!AA117/'pivot tables'!AA18</f>
        <v>-3.5737024964629751</v>
      </c>
      <c r="AA68" s="7">
        <f>'pivot tables'!AB117/'pivot tables'!AB18</f>
        <v>-3.6087356533361787</v>
      </c>
      <c r="AB68" s="7">
        <f>'pivot tables'!AC117/'pivot tables'!AC18</f>
        <v>-3.6703421194964538</v>
      </c>
      <c r="AC68" s="7">
        <f>'pivot tables'!AD117/'pivot tables'!AD18</f>
        <v>-3.6612946068773016</v>
      </c>
      <c r="AD68" s="7">
        <f>'pivot tables'!AE117/'pivot tables'!AE18</f>
        <v>-3.678358751074378</v>
      </c>
      <c r="AE68" s="7">
        <f>'pivot tables'!AF117/'pivot tables'!AF18</f>
        <v>-3.6957332510062462</v>
      </c>
      <c r="AF68" s="7">
        <f>'pivot tables'!AG117/'pivot tables'!AG18</f>
        <v>-3.7240482083522841</v>
      </c>
      <c r="AG68" s="7">
        <f>'pivot tables'!AH117/'pivot tables'!AH18</f>
        <v>-3.7510114431087125</v>
      </c>
      <c r="AH68" s="7">
        <f>'pivot tables'!AI117/'pivot tables'!AI18</f>
        <v>-3.7864367577866309</v>
      </c>
      <c r="AI68" s="7">
        <f>'pivot tables'!AJ117/'pivot tables'!AJ18</f>
        <v>-3.8233180019514963</v>
      </c>
      <c r="AJ68" s="7">
        <f>'pivot tables'!AK117/'pivot tables'!AK18</f>
        <v>-3.8584588233582635</v>
      </c>
    </row>
    <row r="69" spans="2:36" x14ac:dyDescent="0.25">
      <c r="B69" t="s">
        <v>36</v>
      </c>
      <c r="C69" s="7">
        <f>'pivot tables'!D118/'pivot tables'!D19</f>
        <v>0</v>
      </c>
      <c r="D69" s="7">
        <f>'pivot tables'!E118/'pivot tables'!E19</f>
        <v>0</v>
      </c>
      <c r="E69" s="7">
        <f>'pivot tables'!F118/'pivot tables'!F19</f>
        <v>0</v>
      </c>
      <c r="F69" s="7">
        <f>'pivot tables'!G118/'pivot tables'!G19</f>
        <v>0</v>
      </c>
      <c r="G69" s="7">
        <f>'pivot tables'!H118/'pivot tables'!H19</f>
        <v>-9.3315658358177349E-4</v>
      </c>
      <c r="H69" s="7">
        <f>'pivot tables'!I118/'pivot tables'!I19</f>
        <v>-2.001398732636727E-3</v>
      </c>
      <c r="I69" s="7">
        <f>'pivot tables'!J118/'pivot tables'!J19</f>
        <v>-3.5527031361517357E-3</v>
      </c>
      <c r="J69" s="7">
        <f>'pivot tables'!K118/'pivot tables'!K19</f>
        <v>-6.1599453695554704E-3</v>
      </c>
      <c r="K69" s="7">
        <f>'pivot tables'!L118/'pivot tables'!L19</f>
        <v>-6.6770276104927088E-3</v>
      </c>
      <c r="L69" s="7">
        <f>'pivot tables'!M118/'pivot tables'!M19</f>
        <v>-7.0313083602021971E-3</v>
      </c>
      <c r="M69" s="7">
        <f>'pivot tables'!N118/'pivot tables'!N19</f>
        <v>-1.1017227548432883E-2</v>
      </c>
      <c r="N69" s="7">
        <f>'pivot tables'!O118/'pivot tables'!O19</f>
        <v>-1.0601121068815439E-2</v>
      </c>
      <c r="O69" s="7">
        <f>'pivot tables'!P118/'pivot tables'!P19</f>
        <v>-8.773117138891345E-3</v>
      </c>
      <c r="P69" s="7">
        <f>'pivot tables'!Q118/'pivot tables'!Q19</f>
        <v>-1.204239274609098E-2</v>
      </c>
      <c r="Q69" s="7">
        <f>'pivot tables'!R118/'pivot tables'!R19</f>
        <v>-1.3558995164175608E-2</v>
      </c>
      <c r="R69" s="7">
        <f>'pivot tables'!S118/'pivot tables'!S19</f>
        <v>-1.2571741806651783E-2</v>
      </c>
      <c r="S69" s="7">
        <f>'pivot tables'!T118/'pivot tables'!T19</f>
        <v>-1.3425584690275518E-2</v>
      </c>
      <c r="T69" s="7">
        <f>'pivot tables'!U118/'pivot tables'!U19</f>
        <v>-2.2002593471634847E-2</v>
      </c>
      <c r="U69" s="7">
        <f>'pivot tables'!V118/'pivot tables'!V19</f>
        <v>-1.5743117553648177E-2</v>
      </c>
      <c r="V69" s="7">
        <f>'pivot tables'!W118/'pivot tables'!W19</f>
        <v>-1.4722135038225006E-2</v>
      </c>
      <c r="W69" s="7">
        <f>'pivot tables'!X118/'pivot tables'!X19</f>
        <v>-1.2129354844736576E-2</v>
      </c>
      <c r="X69" s="7">
        <f>'pivot tables'!Y118/'pivot tables'!Y19</f>
        <v>-1.3431677699865611E-2</v>
      </c>
      <c r="Y69" s="7">
        <f>'pivot tables'!Z118/'pivot tables'!Z19</f>
        <v>-1.3746194733027583E-2</v>
      </c>
      <c r="Z69" s="7">
        <f>'pivot tables'!AA118/'pivot tables'!AA19</f>
        <v>-1.2208042246804782E-2</v>
      </c>
      <c r="AA69" s="7">
        <f>'pivot tables'!AB118/'pivot tables'!AB19</f>
        <v>-1.0491374727427867E-2</v>
      </c>
      <c r="AB69" s="7">
        <f>'pivot tables'!AC118/'pivot tables'!AC19</f>
        <v>-1.0865871841078218E-2</v>
      </c>
      <c r="AC69" s="7">
        <f>'pivot tables'!AD118/'pivot tables'!AD19</f>
        <v>-8.815861151252307E-3</v>
      </c>
      <c r="AD69" s="7">
        <f>'pivot tables'!AE118/'pivot tables'!AE19</f>
        <v>-9.3921648027412534E-3</v>
      </c>
      <c r="AE69" s="7">
        <f>'pivot tables'!AF118/'pivot tables'!AF19</f>
        <v>-8.610486101571899E-3</v>
      </c>
      <c r="AF69" s="7">
        <f>'pivot tables'!AG118/'pivot tables'!AG19</f>
        <v>-4.661888993674485E-3</v>
      </c>
      <c r="AG69" s="7">
        <f>'pivot tables'!AH118/'pivot tables'!AH19</f>
        <v>-4.0258679052484975E-3</v>
      </c>
      <c r="AH69" s="7">
        <f>'pivot tables'!AI118/'pivot tables'!AI19</f>
        <v>-3.6605267714583593E-3</v>
      </c>
      <c r="AI69" s="7">
        <f>'pivot tables'!AJ118/'pivot tables'!AJ19</f>
        <v>-3.3369663164049533E-3</v>
      </c>
      <c r="AJ69" s="7">
        <f>'pivot tables'!AK118/'pivot tables'!AK19</f>
        <v>-2.4178917106434266E-3</v>
      </c>
    </row>
    <row r="70" spans="2:36" x14ac:dyDescent="0.25">
      <c r="B70" t="s">
        <v>37</v>
      </c>
      <c r="C70" s="7">
        <f>'pivot tables'!D119/'pivot tables'!D20</f>
        <v>-0.77140415450235145</v>
      </c>
      <c r="D70" s="7">
        <f>'pivot tables'!E119/'pivot tables'!E20</f>
        <v>-0.58993063702704573</v>
      </c>
      <c r="E70" s="7">
        <f>'pivot tables'!F119/'pivot tables'!F20</f>
        <v>-0.56629696162339294</v>
      </c>
      <c r="F70" s="7">
        <f>'pivot tables'!G119/'pivot tables'!G20</f>
        <v>-0.55075323892140426</v>
      </c>
      <c r="G70" s="7">
        <f>'pivot tables'!H119/'pivot tables'!H20</f>
        <v>-0.58714039484073677</v>
      </c>
      <c r="H70" s="7">
        <f>'pivot tables'!I119/'pivot tables'!I20</f>
        <v>-0.55392039197091958</v>
      </c>
      <c r="I70" s="7">
        <f>'pivot tables'!J119/'pivot tables'!J20</f>
        <v>-0.59142565617982412</v>
      </c>
      <c r="J70" s="7">
        <f>'pivot tables'!K119/'pivot tables'!K20</f>
        <v>-0.66186388860350165</v>
      </c>
      <c r="K70" s="7">
        <f>'pivot tables'!L119/'pivot tables'!L20</f>
        <v>-0.67224591523894561</v>
      </c>
      <c r="L70" s="7">
        <f>'pivot tables'!M119/'pivot tables'!M20</f>
        <v>-0.66716231882371813</v>
      </c>
      <c r="M70" s="7">
        <f>'pivot tables'!N119/'pivot tables'!N20</f>
        <v>-0.70630879449191619</v>
      </c>
      <c r="N70" s="7">
        <f>'pivot tables'!O119/'pivot tables'!O20</f>
        <v>-0.71325277726464098</v>
      </c>
      <c r="O70" s="7">
        <f>'pivot tables'!P119/'pivot tables'!P20</f>
        <v>-0.71008289775546607</v>
      </c>
      <c r="P70" s="7">
        <f>'pivot tables'!Q119/'pivot tables'!Q20</f>
        <v>-0.75070630313925124</v>
      </c>
      <c r="Q70" s="7">
        <f>'pivot tables'!R119/'pivot tables'!R20</f>
        <v>-0.78243674439199262</v>
      </c>
      <c r="R70" s="7">
        <f>'pivot tables'!S119/'pivot tables'!S20</f>
        <v>-0.78451885845142733</v>
      </c>
      <c r="S70" s="7">
        <f>'pivot tables'!T119/'pivot tables'!T20</f>
        <v>-0.81011830112543459</v>
      </c>
      <c r="T70" s="7">
        <f>'pivot tables'!U119/'pivot tables'!U20</f>
        <v>-0.86291033225746272</v>
      </c>
      <c r="U70" s="7">
        <f>'pivot tables'!V119/'pivot tables'!V20</f>
        <v>-0.86856326649804272</v>
      </c>
      <c r="V70" s="7">
        <f>'pivot tables'!W119/'pivot tables'!W20</f>
        <v>-0.82504913263572421</v>
      </c>
      <c r="W70" s="7">
        <f>'pivot tables'!X119/'pivot tables'!X20</f>
        <v>-0.84143095346246422</v>
      </c>
      <c r="X70" s="7">
        <f>'pivot tables'!Y119/'pivot tables'!Y20</f>
        <v>-0.95126345939065171</v>
      </c>
      <c r="Y70" s="7">
        <f>'pivot tables'!Z119/'pivot tables'!Z20</f>
        <v>-0.96327410921986634</v>
      </c>
      <c r="Z70" s="7">
        <f>'pivot tables'!AA119/'pivot tables'!AA20</f>
        <v>-0.95581260543234992</v>
      </c>
      <c r="AA70" s="7">
        <f>'pivot tables'!AB119/'pivot tables'!AB20</f>
        <v>-0.98354300232244474</v>
      </c>
      <c r="AB70" s="7">
        <f>'pivot tables'!AC119/'pivot tables'!AC20</f>
        <v>-1.0163984639541377</v>
      </c>
      <c r="AC70" s="7">
        <f>'pivot tables'!AD119/'pivot tables'!AD20</f>
        <v>-1.0283090613633632</v>
      </c>
      <c r="AD70" s="7">
        <f>'pivot tables'!AE119/'pivot tables'!AE20</f>
        <v>-1.0628039919394567</v>
      </c>
      <c r="AE70" s="7">
        <f>'pivot tables'!AF119/'pivot tables'!AF20</f>
        <v>-1.0814302980920745</v>
      </c>
      <c r="AF70" s="7">
        <f>'pivot tables'!AG119/'pivot tables'!AG20</f>
        <v>-1.0627078281644815</v>
      </c>
      <c r="AG70" s="7">
        <f>'pivot tables'!AH119/'pivot tables'!AH20</f>
        <v>-1.0257888009748526</v>
      </c>
      <c r="AH70" s="7">
        <f>'pivot tables'!AI119/'pivot tables'!AI20</f>
        <v>-1.0468557539752197</v>
      </c>
      <c r="AI70" s="7">
        <f>'pivot tables'!AJ119/'pivot tables'!AJ20</f>
        <v>-1.0708858898207594</v>
      </c>
      <c r="AJ70" s="7">
        <f>'pivot tables'!AK119/'pivot tables'!AK20</f>
        <v>-1.0514148292554231</v>
      </c>
    </row>
    <row r="71" spans="2:36" x14ac:dyDescent="0.25">
      <c r="B71" t="s">
        <v>38</v>
      </c>
      <c r="C71" s="7">
        <f>'pivot tables'!D120/'pivot tables'!D21</f>
        <v>-4.0786353348076005</v>
      </c>
      <c r="D71" s="7">
        <f>'pivot tables'!E120/'pivot tables'!E21</f>
        <v>-3.9722076045314081</v>
      </c>
      <c r="E71" s="7">
        <f>'pivot tables'!F120/'pivot tables'!F21</f>
        <v>-4.3121132533030213</v>
      </c>
      <c r="F71" s="7">
        <f>'pivot tables'!G120/'pivot tables'!G21</f>
        <v>-4.0116204426014503</v>
      </c>
      <c r="G71" s="7">
        <f>'pivot tables'!H120/'pivot tables'!H21</f>
        <v>-4.1842320569797113</v>
      </c>
      <c r="H71" s="7">
        <f>'pivot tables'!I120/'pivot tables'!I21</f>
        <v>-4.2727992050511032</v>
      </c>
      <c r="I71" s="7">
        <f>'pivot tables'!J120/'pivot tables'!J21</f>
        <v>-4.3000732600364389</v>
      </c>
      <c r="J71" s="7">
        <f>'pivot tables'!K120/'pivot tables'!K21</f>
        <v>-3.924167862800783</v>
      </c>
      <c r="K71" s="7">
        <f>'pivot tables'!L120/'pivot tables'!L21</f>
        <v>-4.288320609731854</v>
      </c>
      <c r="L71" s="7">
        <f>'pivot tables'!M120/'pivot tables'!M21</f>
        <v>-4.3922149435196864</v>
      </c>
      <c r="M71" s="7">
        <f>'pivot tables'!N120/'pivot tables'!N21</f>
        <v>-4.7576439719364618</v>
      </c>
      <c r="N71" s="7">
        <f>'pivot tables'!O120/'pivot tables'!O21</f>
        <v>-4.8447071076865686</v>
      </c>
      <c r="O71" s="7">
        <f>'pivot tables'!P120/'pivot tables'!P21</f>
        <v>-4.9395309179285523</v>
      </c>
      <c r="P71" s="7">
        <f>'pivot tables'!Q120/'pivot tables'!Q21</f>
        <v>-4.8120576852773009</v>
      </c>
      <c r="Q71" s="7">
        <f>'pivot tables'!R120/'pivot tables'!R21</f>
        <v>-4.5438391233692652</v>
      </c>
      <c r="R71" s="7">
        <f>'pivot tables'!S120/'pivot tables'!S21</f>
        <v>-4.8488250253783969</v>
      </c>
      <c r="S71" s="7">
        <f>'pivot tables'!T120/'pivot tables'!T21</f>
        <v>-4.5474530102036343</v>
      </c>
      <c r="T71" s="7">
        <f>'pivot tables'!U120/'pivot tables'!U21</f>
        <v>-4.860111461836591</v>
      </c>
      <c r="U71" s="7">
        <f>'pivot tables'!V120/'pivot tables'!V21</f>
        <v>-4.5744561072636456</v>
      </c>
      <c r="V71" s="7">
        <f>'pivot tables'!W120/'pivot tables'!W21</f>
        <v>-4.8306087267178404</v>
      </c>
      <c r="W71" s="7">
        <f>'pivot tables'!X120/'pivot tables'!X21</f>
        <v>-5.1076989085839104</v>
      </c>
      <c r="X71" s="7">
        <f>'pivot tables'!Y120/'pivot tables'!Y21</f>
        <v>-5.1361124033709906</v>
      </c>
      <c r="Y71" s="7">
        <f>'pivot tables'!Z120/'pivot tables'!Z21</f>
        <v>-5.118345017515451</v>
      </c>
      <c r="Z71" s="7">
        <f>'pivot tables'!AA120/'pivot tables'!AA21</f>
        <v>-5.1339574069651706</v>
      </c>
      <c r="AA71" s="7">
        <f>'pivot tables'!AB120/'pivot tables'!AB21</f>
        <v>-5.4771677641284473</v>
      </c>
      <c r="AB71" s="7">
        <f>'pivot tables'!AC120/'pivot tables'!AC21</f>
        <v>-5.3055801008244661</v>
      </c>
      <c r="AC71" s="7">
        <f>'pivot tables'!AD120/'pivot tables'!AD21</f>
        <v>-5.4641631297537403</v>
      </c>
      <c r="AD71" s="7">
        <f>'pivot tables'!AE120/'pivot tables'!AE21</f>
        <v>-6.1795082138911424</v>
      </c>
      <c r="AE71" s="7">
        <f>'pivot tables'!AF120/'pivot tables'!AF21</f>
        <v>-6.2021665170077132</v>
      </c>
      <c r="AF71" s="7">
        <f>'pivot tables'!AG120/'pivot tables'!AG21</f>
        <v>-6.4341519285990136</v>
      </c>
      <c r="AG71" s="7">
        <f>'pivot tables'!AH120/'pivot tables'!AH21</f>
        <v>-6.2444422968894484</v>
      </c>
      <c r="AH71" s="7">
        <f>'pivot tables'!AI120/'pivot tables'!AI21</f>
        <v>-6.5938457727935544</v>
      </c>
      <c r="AI71" s="7">
        <f>'pivot tables'!AJ120/'pivot tables'!AJ21</f>
        <v>-6.3898567204940075</v>
      </c>
      <c r="AJ71" s="7">
        <f>'pivot tables'!AK120/'pivot tables'!AK21</f>
        <v>-6.4761083929661973</v>
      </c>
    </row>
    <row r="72" spans="2:36" x14ac:dyDescent="0.25">
      <c r="B72" t="s">
        <v>39</v>
      </c>
      <c r="C72" s="7">
        <f>'pivot tables'!D121/'pivot tables'!D22</f>
        <v>-1.9219358681026955</v>
      </c>
      <c r="D72" s="7">
        <f>'pivot tables'!E121/'pivot tables'!E22</f>
        <v>-1.5173761563754569</v>
      </c>
      <c r="E72" s="7">
        <f>'pivot tables'!F121/'pivot tables'!F22</f>
        <v>-1.5783726407981273</v>
      </c>
      <c r="F72" s="7">
        <f>'pivot tables'!G121/'pivot tables'!G22</f>
        <v>-1.940876285424278</v>
      </c>
      <c r="G72" s="7">
        <f>'pivot tables'!H121/'pivot tables'!H22</f>
        <v>-1.601142318571225</v>
      </c>
      <c r="H72" s="7">
        <f>'pivot tables'!I121/'pivot tables'!I22</f>
        <v>-1.5121277042824108</v>
      </c>
      <c r="I72" s="7">
        <f>'pivot tables'!J121/'pivot tables'!J22</f>
        <v>-1.5325050600571091</v>
      </c>
      <c r="J72" s="7">
        <f>'pivot tables'!K121/'pivot tables'!K22</f>
        <v>-1.7885857783267771</v>
      </c>
      <c r="K72" s="7">
        <f>'pivot tables'!L121/'pivot tables'!L22</f>
        <v>-1.8419816983322088</v>
      </c>
      <c r="L72" s="7">
        <f>'pivot tables'!M121/'pivot tables'!M22</f>
        <v>-1.6740571515513418</v>
      </c>
      <c r="M72" s="7">
        <f>'pivot tables'!N121/'pivot tables'!N22</f>
        <v>-1.7102858919576402</v>
      </c>
      <c r="N72" s="7">
        <f>'pivot tables'!O121/'pivot tables'!O22</f>
        <v>-1.5335467778956364</v>
      </c>
      <c r="O72" s="7">
        <f>'pivot tables'!P121/'pivot tables'!P22</f>
        <v>-1.4324922658519941</v>
      </c>
      <c r="P72" s="7">
        <f>'pivot tables'!Q121/'pivot tables'!Q22</f>
        <v>-1.6302472282171527</v>
      </c>
      <c r="Q72" s="7">
        <f>'pivot tables'!R121/'pivot tables'!R22</f>
        <v>-1.503021429105998</v>
      </c>
      <c r="R72" s="7">
        <f>'pivot tables'!S121/'pivot tables'!S22</f>
        <v>-1.4814878239656326</v>
      </c>
      <c r="S72" s="7">
        <f>'pivot tables'!T121/'pivot tables'!T22</f>
        <v>-1.4891734568560322</v>
      </c>
      <c r="T72" s="7">
        <f>'pivot tables'!U121/'pivot tables'!U22</f>
        <v>-1.9628944710075793</v>
      </c>
      <c r="U72" s="7">
        <f>'pivot tables'!V121/'pivot tables'!V22</f>
        <v>-1.585865394973881</v>
      </c>
      <c r="V72" s="7">
        <f>'pivot tables'!W121/'pivot tables'!W22</f>
        <v>-1.5273545078861981</v>
      </c>
      <c r="W72" s="7">
        <f>'pivot tables'!X121/'pivot tables'!X22</f>
        <v>-1.4405163305460418</v>
      </c>
      <c r="X72" s="7">
        <f>'pivot tables'!Y121/'pivot tables'!Y22</f>
        <v>-1.5412956389115766</v>
      </c>
      <c r="Y72" s="7">
        <f>'pivot tables'!Z121/'pivot tables'!Z22</f>
        <v>-1.6787402236526812</v>
      </c>
      <c r="Z72" s="7">
        <f>'pivot tables'!AA121/'pivot tables'!AA22</f>
        <v>-1.3803411862695547</v>
      </c>
      <c r="AA72" s="7">
        <f>'pivot tables'!AB121/'pivot tables'!AB22</f>
        <v>-1.3534260158667868</v>
      </c>
      <c r="AB72" s="7">
        <f>'pivot tables'!AC121/'pivot tables'!AC22</f>
        <v>-1.3347558070447414</v>
      </c>
      <c r="AC72" s="7">
        <f>'pivot tables'!AD121/'pivot tables'!AD22</f>
        <v>-1.344752065217647</v>
      </c>
      <c r="AD72" s="7">
        <f>'pivot tables'!AE121/'pivot tables'!AE22</f>
        <v>-1.747627689807975</v>
      </c>
      <c r="AE72" s="7">
        <f>'pivot tables'!AF121/'pivot tables'!AF22</f>
        <v>-1.2735993827133703</v>
      </c>
      <c r="AF72" s="7">
        <f>'pivot tables'!AG121/'pivot tables'!AG22</f>
        <v>-1.4003534015045245</v>
      </c>
      <c r="AG72" s="7">
        <f>'pivot tables'!AH121/'pivot tables'!AH22</f>
        <v>-1.5295241415284979</v>
      </c>
      <c r="AH72" s="7">
        <f>'pivot tables'!AI121/'pivot tables'!AI22</f>
        <v>-1.5228218307408306</v>
      </c>
      <c r="AI72" s="7">
        <f>'pivot tables'!AJ121/'pivot tables'!AJ22</f>
        <v>-1.4898874558624775</v>
      </c>
      <c r="AJ72" s="7">
        <f>'pivot tables'!AK121/'pivot tables'!AK22</f>
        <v>-1.2344041764918519</v>
      </c>
    </row>
    <row r="73" spans="2:36" x14ac:dyDescent="0.25">
      <c r="B73" t="s">
        <v>40</v>
      </c>
      <c r="C73" s="7">
        <f>'pivot tables'!D122/'pivot tables'!D23</f>
        <v>0</v>
      </c>
      <c r="D73" s="7">
        <f>'pivot tables'!E122/'pivot tables'!E23</f>
        <v>0</v>
      </c>
      <c r="E73" s="7">
        <f>'pivot tables'!F122/'pivot tables'!F23</f>
        <v>0</v>
      </c>
      <c r="F73" s="7">
        <f>'pivot tables'!G122/'pivot tables'!G23</f>
        <v>0</v>
      </c>
      <c r="G73" s="7">
        <f>'pivot tables'!H122/'pivot tables'!H23</f>
        <v>0</v>
      </c>
      <c r="H73" s="7">
        <f>'pivot tables'!I122/'pivot tables'!I23</f>
        <v>0</v>
      </c>
      <c r="I73" s="7">
        <f>'pivot tables'!J122/'pivot tables'!J23</f>
        <v>-0.20446660353900567</v>
      </c>
      <c r="J73" s="7">
        <f>'pivot tables'!K122/'pivot tables'!K23</f>
        <v>0</v>
      </c>
      <c r="K73" s="7">
        <f>'pivot tables'!L122/'pivot tables'!L23</f>
        <v>0</v>
      </c>
      <c r="L73" s="7">
        <f>'pivot tables'!M122/'pivot tables'!M23</f>
        <v>0</v>
      </c>
      <c r="M73" s="7">
        <f>'pivot tables'!N122/'pivot tables'!N23</f>
        <v>0</v>
      </c>
      <c r="N73" s="7">
        <f>'pivot tables'!O122/'pivot tables'!O23</f>
        <v>0</v>
      </c>
      <c r="O73" s="7">
        <f>'pivot tables'!P122/'pivot tables'!P23</f>
        <v>0</v>
      </c>
      <c r="P73" s="7">
        <f>'pivot tables'!Q122/'pivot tables'!Q23</f>
        <v>0</v>
      </c>
      <c r="Q73" s="7">
        <f>'pivot tables'!R122/'pivot tables'!R23</f>
        <v>0</v>
      </c>
      <c r="R73" s="7">
        <f>'pivot tables'!S122/'pivot tables'!S23</f>
        <v>0</v>
      </c>
      <c r="S73" s="7">
        <f>'pivot tables'!T122/'pivot tables'!T23</f>
        <v>0</v>
      </c>
      <c r="T73" s="7">
        <f>'pivot tables'!U122/'pivot tables'!U23</f>
        <v>0</v>
      </c>
      <c r="U73" s="7">
        <f>'pivot tables'!V122/'pivot tables'!V23</f>
        <v>0</v>
      </c>
      <c r="V73" s="7">
        <f>'pivot tables'!W122/'pivot tables'!W23</f>
        <v>0</v>
      </c>
      <c r="W73" s="7">
        <f>'pivot tables'!X122/'pivot tables'!X23</f>
        <v>0</v>
      </c>
      <c r="X73" s="7">
        <f>'pivot tables'!Y122/'pivot tables'!Y23</f>
        <v>0</v>
      </c>
      <c r="Y73" s="7">
        <f>'pivot tables'!Z122/'pivot tables'!Z23</f>
        <v>0</v>
      </c>
      <c r="Z73" s="7">
        <f>'pivot tables'!AA122/'pivot tables'!AA23</f>
        <v>0</v>
      </c>
      <c r="AA73" s="7">
        <f>'pivot tables'!AB122/'pivot tables'!AB23</f>
        <v>0</v>
      </c>
      <c r="AB73" s="7">
        <f>'pivot tables'!AC122/'pivot tables'!AC23</f>
        <v>0</v>
      </c>
      <c r="AC73" s="7">
        <f>'pivot tables'!AD122/'pivot tables'!AD23</f>
        <v>0</v>
      </c>
      <c r="AD73" s="7">
        <f>'pivot tables'!AE122/'pivot tables'!AE23</f>
        <v>0</v>
      </c>
      <c r="AE73" s="7">
        <f>'pivot tables'!AF122/'pivot tables'!AF23</f>
        <v>0</v>
      </c>
      <c r="AF73" s="7">
        <f>'pivot tables'!AG122/'pivot tables'!AG23</f>
        <v>0</v>
      </c>
      <c r="AG73" s="7">
        <f>'pivot tables'!AH122/'pivot tables'!AH23</f>
        <v>0</v>
      </c>
      <c r="AH73" s="7">
        <f>'pivot tables'!AI122/'pivot tables'!AI23</f>
        <v>0</v>
      </c>
      <c r="AI73" s="7">
        <f>'pivot tables'!AJ122/'pivot tables'!AJ23</f>
        <v>0</v>
      </c>
      <c r="AJ73" s="7">
        <f>'pivot tables'!AK122/'pivot tables'!AK23</f>
        <v>0</v>
      </c>
    </row>
    <row r="74" spans="2:36" x14ac:dyDescent="0.25">
      <c r="B74" t="s">
        <v>41</v>
      </c>
      <c r="C74" s="7">
        <f>'pivot tables'!D123/'pivot tables'!D24</f>
        <v>-1.1937281020342216</v>
      </c>
      <c r="D74" s="7">
        <f>'pivot tables'!E123/'pivot tables'!E24</f>
        <v>-1.1047268256175318</v>
      </c>
      <c r="E74" s="7">
        <f>'pivot tables'!F123/'pivot tables'!F24</f>
        <v>-1.0492989365969534</v>
      </c>
      <c r="F74" s="7">
        <f>'pivot tables'!G123/'pivot tables'!G24</f>
        <v>-1.1568425729429035</v>
      </c>
      <c r="G74" s="7">
        <f>'pivot tables'!H123/'pivot tables'!H24</f>
        <v>-1.3336270372001846</v>
      </c>
      <c r="H74" s="7">
        <f>'pivot tables'!I123/'pivot tables'!I24</f>
        <v>-1.5009804762612162</v>
      </c>
      <c r="I74" s="7">
        <f>'pivot tables'!J123/'pivot tables'!J24</f>
        <v>-1.4785609800385178</v>
      </c>
      <c r="J74" s="7">
        <f>'pivot tables'!K123/'pivot tables'!K24</f>
        <v>-1.7864981670601146</v>
      </c>
      <c r="K74" s="7">
        <f>'pivot tables'!L123/'pivot tables'!L24</f>
        <v>-1.9409112096357253</v>
      </c>
      <c r="L74" s="7">
        <f>'pivot tables'!M123/'pivot tables'!M24</f>
        <v>-2.4432053301558168</v>
      </c>
      <c r="M74" s="7">
        <f>'pivot tables'!N123/'pivot tables'!N24</f>
        <v>-2.0554303732532477</v>
      </c>
      <c r="N74" s="7">
        <f>'pivot tables'!O123/'pivot tables'!O24</f>
        <v>-1.9568289878147134</v>
      </c>
      <c r="O74" s="7">
        <f>'pivot tables'!P123/'pivot tables'!P24</f>
        <v>-2.0671416867219863</v>
      </c>
      <c r="P74" s="7">
        <f>'pivot tables'!Q123/'pivot tables'!Q24</f>
        <v>-2.1228958989686828</v>
      </c>
      <c r="Q74" s="7">
        <f>'pivot tables'!R123/'pivot tables'!R24</f>
        <v>-2.0250329699353524</v>
      </c>
      <c r="R74" s="7">
        <f>'pivot tables'!S123/'pivot tables'!S24</f>
        <v>-2.088250805151215</v>
      </c>
      <c r="S74" s="7">
        <f>'pivot tables'!T123/'pivot tables'!T24</f>
        <v>-1.8804177076873696</v>
      </c>
      <c r="T74" s="7">
        <f>'pivot tables'!U123/'pivot tables'!U24</f>
        <v>-1.9250330675365142</v>
      </c>
      <c r="U74" s="7">
        <f>'pivot tables'!V123/'pivot tables'!V24</f>
        <v>-1.763218476346293</v>
      </c>
      <c r="V74" s="7">
        <f>'pivot tables'!W123/'pivot tables'!W24</f>
        <v>-2.2686347359101373</v>
      </c>
      <c r="W74" s="7">
        <f>'pivot tables'!X123/'pivot tables'!X24</f>
        <v>-2.5731100386847983</v>
      </c>
      <c r="X74" s="7">
        <f>'pivot tables'!Y123/'pivot tables'!Y24</f>
        <v>-2.4549256668910551</v>
      </c>
      <c r="Y74" s="7">
        <f>'pivot tables'!Z123/'pivot tables'!Z24</f>
        <v>-2.3217148708529334</v>
      </c>
      <c r="Z74" s="7">
        <f>'pivot tables'!AA123/'pivot tables'!AA24</f>
        <v>-2.3520317094212979</v>
      </c>
      <c r="AA74" s="7">
        <f>'pivot tables'!AB123/'pivot tables'!AB24</f>
        <v>-2.5349407885315642</v>
      </c>
      <c r="AB74" s="7">
        <f>'pivot tables'!AC123/'pivot tables'!AC24</f>
        <v>-2.4555228789277166</v>
      </c>
      <c r="AC74" s="7">
        <f>'pivot tables'!AD123/'pivot tables'!AD24</f>
        <v>-2.5430757690265224</v>
      </c>
      <c r="AD74" s="7">
        <f>'pivot tables'!AE123/'pivot tables'!AE24</f>
        <v>-2.560601780375316</v>
      </c>
      <c r="AE74" s="7">
        <f>'pivot tables'!AF123/'pivot tables'!AF24</f>
        <v>-2.5898561370771986</v>
      </c>
      <c r="AF74" s="7">
        <f>'pivot tables'!AG123/'pivot tables'!AG24</f>
        <v>-2.4960635926696417</v>
      </c>
      <c r="AG74" s="7">
        <f>'pivot tables'!AH123/'pivot tables'!AH24</f>
        <v>-2.5910639575237231</v>
      </c>
      <c r="AH74" s="7">
        <f>'pivot tables'!AI123/'pivot tables'!AI24</f>
        <v>-2.5942868424039496</v>
      </c>
      <c r="AI74" s="7">
        <f>'pivot tables'!AJ123/'pivot tables'!AJ24</f>
        <v>-2.7623614627079172</v>
      </c>
      <c r="AJ74" s="7">
        <f>'pivot tables'!AK123/'pivot tables'!AK24</f>
        <v>-2.8020993171982589</v>
      </c>
    </row>
    <row r="75" spans="2:36" x14ac:dyDescent="0.25">
      <c r="B75" t="s">
        <v>42</v>
      </c>
      <c r="C75" s="7">
        <f>'pivot tables'!D124/'pivot tables'!D25</f>
        <v>-0.60062267962477844</v>
      </c>
      <c r="D75" s="7">
        <f>'pivot tables'!E124/'pivot tables'!E25</f>
        <v>-0.57750414259158245</v>
      </c>
      <c r="E75" s="7">
        <f>'pivot tables'!F124/'pivot tables'!F25</f>
        <v>-0.58260750794139882</v>
      </c>
      <c r="F75" s="7">
        <f>'pivot tables'!G124/'pivot tables'!G25</f>
        <v>-0.54921351543133823</v>
      </c>
      <c r="G75" s="7">
        <f>'pivot tables'!H124/'pivot tables'!H25</f>
        <v>-0.58139676812809626</v>
      </c>
      <c r="H75" s="7">
        <f>'pivot tables'!I124/'pivot tables'!I25</f>
        <v>-0.51272810304115413</v>
      </c>
      <c r="I75" s="7">
        <f>'pivot tables'!J124/'pivot tables'!J25</f>
        <v>-0.59050256348724572</v>
      </c>
      <c r="J75" s="7">
        <f>'pivot tables'!K124/'pivot tables'!K25</f>
        <v>-0.53053173686301969</v>
      </c>
      <c r="K75" s="7">
        <f>'pivot tables'!L124/'pivot tables'!L25</f>
        <v>-0.51551349709279948</v>
      </c>
      <c r="L75" s="7">
        <f>'pivot tables'!M124/'pivot tables'!M25</f>
        <v>-0.43484127337596362</v>
      </c>
      <c r="M75" s="7">
        <f>'pivot tables'!N124/'pivot tables'!N25</f>
        <v>-0.52479845870260633</v>
      </c>
      <c r="N75" s="7">
        <f>'pivot tables'!O124/'pivot tables'!O25</f>
        <v>-0.47547139912988745</v>
      </c>
      <c r="O75" s="7">
        <f>'pivot tables'!P124/'pivot tables'!P25</f>
        <v>-0.48114304928355828</v>
      </c>
      <c r="P75" s="7">
        <f>'pivot tables'!Q124/'pivot tables'!Q25</f>
        <v>-0.5234788064783048</v>
      </c>
      <c r="Q75" s="7">
        <f>'pivot tables'!R124/'pivot tables'!R25</f>
        <v>-0.53937291394118059</v>
      </c>
      <c r="R75" s="7">
        <f>'pivot tables'!S124/'pivot tables'!S25</f>
        <v>-0.50505630258071743</v>
      </c>
      <c r="S75" s="7">
        <f>'pivot tables'!T124/'pivot tables'!T25</f>
        <v>-0.60480341201968224</v>
      </c>
      <c r="T75" s="7">
        <f>'pivot tables'!U124/'pivot tables'!U25</f>
        <v>-0.57680458365780807</v>
      </c>
      <c r="U75" s="7">
        <f>'pivot tables'!V124/'pivot tables'!V25</f>
        <v>-0.49036797465309567</v>
      </c>
      <c r="V75" s="7">
        <f>'pivot tables'!W124/'pivot tables'!W25</f>
        <v>-0.54396663532534906</v>
      </c>
      <c r="W75" s="7">
        <f>'pivot tables'!X124/'pivot tables'!X25</f>
        <v>-0.51385556169899427</v>
      </c>
      <c r="X75" s="7">
        <f>'pivot tables'!Y124/'pivot tables'!Y25</f>
        <v>-0.54469828055194192</v>
      </c>
      <c r="Y75" s="7">
        <f>'pivot tables'!Z124/'pivot tables'!Z25</f>
        <v>-0.55853717026338612</v>
      </c>
      <c r="Z75" s="7">
        <f>'pivot tables'!AA124/'pivot tables'!AA25</f>
        <v>-0.61254572115173667</v>
      </c>
      <c r="AA75" s="7">
        <f>'pivot tables'!AB124/'pivot tables'!AB25</f>
        <v>-0.63421854205333272</v>
      </c>
      <c r="AB75" s="7">
        <f>'pivot tables'!AC124/'pivot tables'!AC25</f>
        <v>-0.70892373421474197</v>
      </c>
      <c r="AC75" s="7">
        <f>'pivot tables'!AD124/'pivot tables'!AD25</f>
        <v>-0.76283600109599936</v>
      </c>
      <c r="AD75" s="7">
        <f>'pivot tables'!AE124/'pivot tables'!AE25</f>
        <v>-0.72392238979995083</v>
      </c>
      <c r="AE75" s="7">
        <f>'pivot tables'!AF124/'pivot tables'!AF25</f>
        <v>-0.80878281695175147</v>
      </c>
      <c r="AF75" s="7">
        <f>'pivot tables'!AG124/'pivot tables'!AG25</f>
        <v>-0.90189073041662626</v>
      </c>
      <c r="AG75" s="7">
        <f>'pivot tables'!AH124/'pivot tables'!AH25</f>
        <v>-0.74712917224345032</v>
      </c>
      <c r="AH75" s="7">
        <f>'pivot tables'!AI124/'pivot tables'!AI25</f>
        <v>-0.85079296941985949</v>
      </c>
      <c r="AI75" s="7">
        <f>'pivot tables'!AJ124/'pivot tables'!AJ25</f>
        <v>-0.88946027724190302</v>
      </c>
      <c r="AJ75" s="7">
        <f>'pivot tables'!AK124/'pivot tables'!AK25</f>
        <v>-0.73719153138189752</v>
      </c>
    </row>
    <row r="76" spans="2:36" x14ac:dyDescent="0.25">
      <c r="B76" t="s">
        <v>43</v>
      </c>
      <c r="C76" s="7">
        <f>'pivot tables'!D125/'pivot tables'!D26</f>
        <v>-9.5498808844924777E-3</v>
      </c>
      <c r="D76" s="7">
        <f>'pivot tables'!E125/'pivot tables'!E26</f>
        <v>-7.598409145957245E-3</v>
      </c>
      <c r="E76" s="7">
        <f>'pivot tables'!F125/'pivot tables'!F26</f>
        <v>-7.3923709217553505E-3</v>
      </c>
      <c r="F76" s="7">
        <f>'pivot tables'!G125/'pivot tables'!G26</f>
        <v>-3.4017990082413997E-4</v>
      </c>
      <c r="G76" s="7">
        <f>'pivot tables'!H125/'pivot tables'!H26</f>
        <v>-5.8613257785770341E-3</v>
      </c>
      <c r="H76" s="7">
        <f>'pivot tables'!I125/'pivot tables'!I26</f>
        <v>-1.0503521122732519E-2</v>
      </c>
      <c r="I76" s="7">
        <f>'pivot tables'!J125/'pivot tables'!J26</f>
        <v>-2.2195129783364426E-2</v>
      </c>
      <c r="J76" s="7">
        <f>'pivot tables'!K125/'pivot tables'!K26</f>
        <v>-1.8417022147519436E-2</v>
      </c>
      <c r="K76" s="7">
        <f>'pivot tables'!L125/'pivot tables'!L26</f>
        <v>-3.0591196045250974E-2</v>
      </c>
      <c r="L76" s="7">
        <f>'pivot tables'!M125/'pivot tables'!M26</f>
        <v>-9.5157353571678812E-3</v>
      </c>
      <c r="M76" s="7">
        <f>'pivot tables'!N125/'pivot tables'!N26</f>
        <v>-1.5793688363805247E-2</v>
      </c>
      <c r="N76" s="7">
        <f>'pivot tables'!O125/'pivot tables'!O26</f>
        <v>-7.3242860374741941E-3</v>
      </c>
      <c r="O76" s="7">
        <f>'pivot tables'!P125/'pivot tables'!P26</f>
        <v>-3.0598120884815012E-2</v>
      </c>
      <c r="P76" s="7">
        <f>'pivot tables'!Q125/'pivot tables'!Q26</f>
        <v>-3.6512500651914734E-2</v>
      </c>
      <c r="Q76" s="7">
        <f>'pivot tables'!R125/'pivot tables'!R26</f>
        <v>-4.3215358049012977E-2</v>
      </c>
      <c r="R76" s="7">
        <f>'pivot tables'!S125/'pivot tables'!S26</f>
        <v>-2.6621405553755886E-2</v>
      </c>
      <c r="S76" s="7">
        <f>'pivot tables'!T125/'pivot tables'!T26</f>
        <v>-6.654585226412154E-3</v>
      </c>
      <c r="T76" s="7">
        <f>'pivot tables'!U125/'pivot tables'!U26</f>
        <v>-3.4063883561666106E-2</v>
      </c>
      <c r="U76" s="7">
        <f>'pivot tables'!V125/'pivot tables'!V26</f>
        <v>-1.5638521205918712E-2</v>
      </c>
      <c r="V76" s="7">
        <f>'pivot tables'!W125/'pivot tables'!W26</f>
        <v>-1.3982021250171414E-2</v>
      </c>
      <c r="W76" s="7">
        <f>'pivot tables'!X125/'pivot tables'!X26</f>
        <v>-1.6447883400766555E-2</v>
      </c>
      <c r="X76" s="7">
        <f>'pivot tables'!Y125/'pivot tables'!Y26</f>
        <v>-1.3899224100737741E-2</v>
      </c>
      <c r="Y76" s="7">
        <f>'pivot tables'!Z125/'pivot tables'!Z26</f>
        <v>-1.38810206323017E-2</v>
      </c>
      <c r="Z76" s="7">
        <f>'pivot tables'!AA125/'pivot tables'!AA26</f>
        <v>-8.9444254879419739E-3</v>
      </c>
      <c r="AA76" s="7">
        <f>'pivot tables'!AB125/'pivot tables'!AB26</f>
        <v>-7.7055226186235806E-3</v>
      </c>
      <c r="AB76" s="7">
        <f>'pivot tables'!AC125/'pivot tables'!AC26</f>
        <v>-7.3542645471806733E-3</v>
      </c>
      <c r="AC76" s="7">
        <f>'pivot tables'!AD125/'pivot tables'!AD26</f>
        <v>-2.4693608565953937E-4</v>
      </c>
      <c r="AD76" s="7">
        <f>'pivot tables'!AE125/'pivot tables'!AE26</f>
        <v>-2.4658721605647527E-2</v>
      </c>
      <c r="AE76" s="7">
        <f>'pivot tables'!AF125/'pivot tables'!AF26</f>
        <v>-4.8593656953016514E-3</v>
      </c>
      <c r="AF76" s="7">
        <f>'pivot tables'!AG125/'pivot tables'!AG26</f>
        <v>-3.0584740826530266E-3</v>
      </c>
      <c r="AG76" s="7">
        <f>'pivot tables'!AH125/'pivot tables'!AH26</f>
        <v>-2.2509548470095019E-3</v>
      </c>
      <c r="AH76" s="7">
        <f>'pivot tables'!AI125/'pivot tables'!AI26</f>
        <v>-4.2077782781833701E-3</v>
      </c>
      <c r="AI76" s="7">
        <f>'pivot tables'!AJ125/'pivot tables'!AJ26</f>
        <v>-8.1627325388683499E-3</v>
      </c>
      <c r="AJ76" s="7">
        <f>'pivot tables'!AK125/'pivot tables'!AK26</f>
        <v>-3.51666478364033E-4</v>
      </c>
    </row>
    <row r="77" spans="2:36" x14ac:dyDescent="0.25">
      <c r="B77" t="s">
        <v>44</v>
      </c>
      <c r="C77" s="7">
        <f>'pivot tables'!D126/'pivot tables'!D27</f>
        <v>-1.4633964013125687</v>
      </c>
      <c r="D77" s="7">
        <f>'pivot tables'!E126/'pivot tables'!E27</f>
        <v>-1.4309582619644567</v>
      </c>
      <c r="E77" s="7">
        <f>'pivot tables'!F126/'pivot tables'!F27</f>
        <v>-1.3823132109143621</v>
      </c>
      <c r="F77" s="7">
        <f>'pivot tables'!G126/'pivot tables'!G27</f>
        <v>-1.3732528276408911</v>
      </c>
      <c r="G77" s="7">
        <f>'pivot tables'!H126/'pivot tables'!H27</f>
        <v>-1.336429466544087</v>
      </c>
      <c r="H77" s="7">
        <f>'pivot tables'!I126/'pivot tables'!I27</f>
        <v>-1.2903512016941667</v>
      </c>
      <c r="I77" s="7">
        <f>'pivot tables'!J126/'pivot tables'!J27</f>
        <v>-1.3983967808989783</v>
      </c>
      <c r="J77" s="7">
        <f>'pivot tables'!K126/'pivot tables'!K27</f>
        <v>-1.3934321027368002</v>
      </c>
      <c r="K77" s="7">
        <f>'pivot tables'!L126/'pivot tables'!L27</f>
        <v>-1.3488908333864207</v>
      </c>
      <c r="L77" s="7">
        <f>'pivot tables'!M126/'pivot tables'!M27</f>
        <v>-1.3836965694968639</v>
      </c>
      <c r="M77" s="7">
        <f>'pivot tables'!N126/'pivot tables'!N27</f>
        <v>-1.5400436610507882</v>
      </c>
      <c r="N77" s="7">
        <f>'pivot tables'!O126/'pivot tables'!O27</f>
        <v>-1.3752146398048513</v>
      </c>
      <c r="O77" s="7">
        <f>'pivot tables'!P126/'pivot tables'!P27</f>
        <v>-1.3582718560858482</v>
      </c>
      <c r="P77" s="7">
        <f>'pivot tables'!Q126/'pivot tables'!Q27</f>
        <v>-1.4352844184093174</v>
      </c>
      <c r="Q77" s="7">
        <f>'pivot tables'!R126/'pivot tables'!R27</f>
        <v>-1.5279874778453924</v>
      </c>
      <c r="R77" s="7">
        <f>'pivot tables'!S126/'pivot tables'!S27</f>
        <v>-1.5181312808837577</v>
      </c>
      <c r="S77" s="7">
        <f>'pivot tables'!T126/'pivot tables'!T27</f>
        <v>-1.6441681361812941</v>
      </c>
      <c r="T77" s="7">
        <f>'pivot tables'!U126/'pivot tables'!U27</f>
        <v>-1.63893508964074</v>
      </c>
      <c r="U77" s="7">
        <f>'pivot tables'!V126/'pivot tables'!V27</f>
        <v>-1.4873876362187248</v>
      </c>
      <c r="V77" s="7">
        <f>'pivot tables'!W126/'pivot tables'!W27</f>
        <v>-1.4307794791772339</v>
      </c>
      <c r="W77" s="7">
        <f>'pivot tables'!X126/'pivot tables'!X27</f>
        <v>-1.432361278660329</v>
      </c>
      <c r="X77" s="7">
        <f>'pivot tables'!Y126/'pivot tables'!Y27</f>
        <v>-1.5504239634328265</v>
      </c>
      <c r="Y77" s="7">
        <f>'pivot tables'!Z126/'pivot tables'!Z27</f>
        <v>-1.5338287025752571</v>
      </c>
      <c r="Z77" s="7">
        <f>'pivot tables'!AA126/'pivot tables'!AA27</f>
        <v>-1.5253361493242541</v>
      </c>
      <c r="AA77" s="7">
        <f>'pivot tables'!AB126/'pivot tables'!AB27</f>
        <v>-1.57968026653225</v>
      </c>
      <c r="AB77" s="7">
        <f>'pivot tables'!AC126/'pivot tables'!AC27</f>
        <v>-1.5999726756043913</v>
      </c>
      <c r="AC77" s="7">
        <f>'pivot tables'!AD126/'pivot tables'!AD27</f>
        <v>-1.5869177121750269</v>
      </c>
      <c r="AD77" s="7">
        <f>'pivot tables'!AE126/'pivot tables'!AE27</f>
        <v>-1.6318058937383448</v>
      </c>
      <c r="AE77" s="7">
        <f>'pivot tables'!AF126/'pivot tables'!AF27</f>
        <v>-1.5835415663335952</v>
      </c>
      <c r="AF77" s="7">
        <f>'pivot tables'!AG126/'pivot tables'!AG27</f>
        <v>-1.5995250787470541</v>
      </c>
      <c r="AG77" s="7">
        <f>'pivot tables'!AH126/'pivot tables'!AH27</f>
        <v>-1.5110667608373141</v>
      </c>
      <c r="AH77" s="7">
        <f>'pivot tables'!AI126/'pivot tables'!AI27</f>
        <v>-1.6107391891964227</v>
      </c>
      <c r="AI77" s="7">
        <f>'pivot tables'!AJ126/'pivot tables'!AJ27</f>
        <v>-1.6164604506926974</v>
      </c>
      <c r="AJ77" s="7">
        <f>'pivot tables'!AK126/'pivot tables'!AK27</f>
        <v>-1.6116748602451685</v>
      </c>
    </row>
    <row r="78" spans="2:36" x14ac:dyDescent="0.25">
      <c r="B78" t="s">
        <v>45</v>
      </c>
      <c r="C78" s="7">
        <f>'pivot tables'!D127/'pivot tables'!D28</f>
        <v>-0.8432581585957678</v>
      </c>
      <c r="D78" s="7">
        <f>'pivot tables'!E127/'pivot tables'!E28</f>
        <v>-0.8037294822136225</v>
      </c>
      <c r="E78" s="7">
        <f>'pivot tables'!F127/'pivot tables'!F28</f>
        <v>-0.77494227511734259</v>
      </c>
      <c r="F78" s="7">
        <f>'pivot tables'!G127/'pivot tables'!G28</f>
        <v>-0.74083471994161298</v>
      </c>
      <c r="G78" s="7">
        <f>'pivot tables'!H127/'pivot tables'!H28</f>
        <v>-0.72113606288069787</v>
      </c>
      <c r="H78" s="7">
        <f>'pivot tables'!I127/'pivot tables'!I28</f>
        <v>-0.74572911805246156</v>
      </c>
      <c r="I78" s="7">
        <f>'pivot tables'!J127/'pivot tables'!J28</f>
        <v>-0.77554582795209681</v>
      </c>
      <c r="J78" s="7">
        <f>'pivot tables'!K127/'pivot tables'!K28</f>
        <v>-0.76336704234282349</v>
      </c>
      <c r="K78" s="7">
        <f>'pivot tables'!L127/'pivot tables'!L28</f>
        <v>-0.69903642865931459</v>
      </c>
      <c r="L78" s="7">
        <f>'pivot tables'!M127/'pivot tables'!M28</f>
        <v>-0.73624866298649616</v>
      </c>
      <c r="M78" s="7">
        <f>'pivot tables'!N127/'pivot tables'!N28</f>
        <v>-0.7534316609847902</v>
      </c>
      <c r="N78" s="7">
        <f>'pivot tables'!O127/'pivot tables'!O28</f>
        <v>-0.72541549542465089</v>
      </c>
      <c r="O78" s="7">
        <f>'pivot tables'!P127/'pivot tables'!P28</f>
        <v>-0.81183724656666278</v>
      </c>
      <c r="P78" s="7">
        <f>'pivot tables'!Q127/'pivot tables'!Q28</f>
        <v>-0.82442916298662738</v>
      </c>
      <c r="Q78" s="7">
        <f>'pivot tables'!R127/'pivot tables'!R28</f>
        <v>-0.84829169107188684</v>
      </c>
      <c r="R78" s="7">
        <f>'pivot tables'!S127/'pivot tables'!S28</f>
        <v>-0.79795975754014747</v>
      </c>
      <c r="S78" s="7">
        <f>'pivot tables'!T127/'pivot tables'!T28</f>
        <v>-0.8019679145139319</v>
      </c>
      <c r="T78" s="7">
        <f>'pivot tables'!U127/'pivot tables'!U28</f>
        <v>-0.83992757076656155</v>
      </c>
      <c r="U78" s="7">
        <f>'pivot tables'!V127/'pivot tables'!V28</f>
        <v>-0.82922421476817221</v>
      </c>
      <c r="V78" s="7">
        <f>'pivot tables'!W127/'pivot tables'!W28</f>
        <v>-0.82446815439718624</v>
      </c>
      <c r="W78" s="7">
        <f>'pivot tables'!X127/'pivot tables'!X28</f>
        <v>-0.84026213166204833</v>
      </c>
      <c r="X78" s="7">
        <f>'pivot tables'!Y127/'pivot tables'!Y28</f>
        <v>-0.89669950256158149</v>
      </c>
      <c r="Y78" s="7">
        <f>'pivot tables'!Z127/'pivot tables'!Z28</f>
        <v>-0.9214818286872074</v>
      </c>
      <c r="Z78" s="7">
        <f>'pivot tables'!AA127/'pivot tables'!AA28</f>
        <v>-0.92551151538835308</v>
      </c>
      <c r="AA78" s="7">
        <f>'pivot tables'!AB127/'pivot tables'!AB28</f>
        <v>-0.88123089530140752</v>
      </c>
      <c r="AB78" s="7">
        <f>'pivot tables'!AC127/'pivot tables'!AC28</f>
        <v>-0.89090002011276292</v>
      </c>
      <c r="AC78" s="7">
        <f>'pivot tables'!AD127/'pivot tables'!AD28</f>
        <v>-0.86061224891195476</v>
      </c>
      <c r="AD78" s="7">
        <f>'pivot tables'!AE127/'pivot tables'!AE28</f>
        <v>-0.89831511130389907</v>
      </c>
      <c r="AE78" s="7">
        <f>'pivot tables'!AF127/'pivot tables'!AF28</f>
        <v>-0.93601153650221725</v>
      </c>
      <c r="AF78" s="7">
        <f>'pivot tables'!AG127/'pivot tables'!AG28</f>
        <v>-0.91719699471385518</v>
      </c>
      <c r="AG78" s="7">
        <f>'pivot tables'!AH127/'pivot tables'!AH28</f>
        <v>-0.93141898091137387</v>
      </c>
      <c r="AH78" s="7">
        <f>'pivot tables'!AI127/'pivot tables'!AI28</f>
        <v>-0.94561689577721941</v>
      </c>
      <c r="AI78" s="7">
        <f>'pivot tables'!AJ127/'pivot tables'!AJ28</f>
        <v>-0.96286619856249878</v>
      </c>
      <c r="AJ78" s="7">
        <f>'pivot tables'!AK127/'pivot tables'!AK28</f>
        <v>-0.882609669499542</v>
      </c>
    </row>
    <row r="79" spans="2:36" x14ac:dyDescent="0.25">
      <c r="B79" t="s">
        <v>46</v>
      </c>
      <c r="C79" s="7">
        <f>'pivot tables'!D128/'pivot tables'!D29</f>
        <v>-1.2026589705482311</v>
      </c>
      <c r="D79" s="7">
        <f>'pivot tables'!E128/'pivot tables'!E29</f>
        <v>-1.0150147955682258</v>
      </c>
      <c r="E79" s="7">
        <f>'pivot tables'!F128/'pivot tables'!F29</f>
        <v>-0.92087116397395874</v>
      </c>
      <c r="F79" s="7">
        <f>'pivot tables'!G128/'pivot tables'!G29</f>
        <v>-0.94111169351607693</v>
      </c>
      <c r="G79" s="7">
        <f>'pivot tables'!H128/'pivot tables'!H29</f>
        <v>-1.0927871433097716</v>
      </c>
      <c r="H79" s="7">
        <f>'pivot tables'!I128/'pivot tables'!I29</f>
        <v>-1.189073960123733</v>
      </c>
      <c r="I79" s="7">
        <f>'pivot tables'!J128/'pivot tables'!J29</f>
        <v>-1.2135752527308779</v>
      </c>
      <c r="J79" s="7">
        <f>'pivot tables'!K128/'pivot tables'!K29</f>
        <v>-1.3185347439687438</v>
      </c>
      <c r="K79" s="7">
        <f>'pivot tables'!L128/'pivot tables'!L29</f>
        <v>-1.2355836471268054</v>
      </c>
      <c r="L79" s="7">
        <f>'pivot tables'!M128/'pivot tables'!M29</f>
        <v>-1.2935846052457072</v>
      </c>
      <c r="M79" s="7">
        <f>'pivot tables'!N128/'pivot tables'!N29</f>
        <v>-1.4062694557824273</v>
      </c>
      <c r="N79" s="7">
        <f>'pivot tables'!O128/'pivot tables'!O29</f>
        <v>-1.4164205121468707</v>
      </c>
      <c r="O79" s="7">
        <f>'pivot tables'!P128/'pivot tables'!P29</f>
        <v>-1.4253463568671059</v>
      </c>
      <c r="P79" s="7">
        <f>'pivot tables'!Q128/'pivot tables'!Q29</f>
        <v>-1.5077604649886114</v>
      </c>
      <c r="Q79" s="7">
        <f>'pivot tables'!R128/'pivot tables'!R29</f>
        <v>-1.6394321155230407</v>
      </c>
      <c r="R79" s="7">
        <f>'pivot tables'!S128/'pivot tables'!S29</f>
        <v>-2.248082150499453</v>
      </c>
      <c r="S79" s="7">
        <f>'pivot tables'!T128/'pivot tables'!T29</f>
        <v>-1.8598123095247452</v>
      </c>
      <c r="T79" s="7">
        <f>'pivot tables'!U128/'pivot tables'!U29</f>
        <v>-1.899189375052085</v>
      </c>
      <c r="U79" s="7">
        <f>'pivot tables'!V128/'pivot tables'!V29</f>
        <v>-2.086301228323848</v>
      </c>
      <c r="V79" s="7">
        <f>'pivot tables'!W128/'pivot tables'!W29</f>
        <v>-2.030823368870855</v>
      </c>
      <c r="W79" s="7">
        <f>'pivot tables'!X128/'pivot tables'!X29</f>
        <v>-2.1798300194135067</v>
      </c>
      <c r="X79" s="7">
        <f>'pivot tables'!Y128/'pivot tables'!Y29</f>
        <v>-2.1126666320730374</v>
      </c>
      <c r="Y79" s="7">
        <f>'pivot tables'!Z128/'pivot tables'!Z29</f>
        <v>-1.8484972115255329</v>
      </c>
      <c r="Z79" s="7">
        <f>'pivot tables'!AA128/'pivot tables'!AA29</f>
        <v>-1.7638062682010585</v>
      </c>
      <c r="AA79" s="7">
        <f>'pivot tables'!AB128/'pivot tables'!AB29</f>
        <v>-2.1052333542651107</v>
      </c>
      <c r="AB79" s="7">
        <f>'pivot tables'!AC128/'pivot tables'!AC29</f>
        <v>-2.0559701149270881</v>
      </c>
      <c r="AC79" s="7">
        <f>'pivot tables'!AD128/'pivot tables'!AD29</f>
        <v>-2.0877395318538752</v>
      </c>
      <c r="AD79" s="7">
        <f>'pivot tables'!AE128/'pivot tables'!AE29</f>
        <v>-2.0875212464029902</v>
      </c>
      <c r="AE79" s="7">
        <f>'pivot tables'!AF128/'pivot tables'!AF29</f>
        <v>-2.1841341750745888</v>
      </c>
      <c r="AF79" s="7">
        <f>'pivot tables'!AG128/'pivot tables'!AG29</f>
        <v>-2.044174573015948</v>
      </c>
      <c r="AG79" s="7">
        <f>'pivot tables'!AH128/'pivot tables'!AH29</f>
        <v>-1.6858691366792256</v>
      </c>
      <c r="AH79" s="7">
        <f>'pivot tables'!AI128/'pivot tables'!AI29</f>
        <v>-1.7222436095367666</v>
      </c>
      <c r="AI79" s="7">
        <f>'pivot tables'!AJ128/'pivot tables'!AJ29</f>
        <v>-1.727229877420454</v>
      </c>
      <c r="AJ79" s="7">
        <f>'pivot tables'!AK128/'pivot tables'!AK29</f>
        <v>-1.6190662532502191</v>
      </c>
    </row>
    <row r="80" spans="2:36" x14ac:dyDescent="0.25">
      <c r="B80" t="s">
        <v>47</v>
      </c>
      <c r="C80" s="7">
        <f>'pivot tables'!D129/'pivot tables'!D30</f>
        <v>-6.0345674631353645E-2</v>
      </c>
      <c r="D80" s="7">
        <f>'pivot tables'!E129/'pivot tables'!E30</f>
        <v>-8.061561917710286E-2</v>
      </c>
      <c r="E80" s="7">
        <f>'pivot tables'!F129/'pivot tables'!F30</f>
        <v>-0.10026325594046741</v>
      </c>
      <c r="F80" s="7">
        <f>'pivot tables'!G129/'pivot tables'!G30</f>
        <v>-0.11934208471624062</v>
      </c>
      <c r="G80" s="7">
        <f>'pivot tables'!H129/'pivot tables'!H30</f>
        <v>-0.13787645392895348</v>
      </c>
      <c r="H80" s="7">
        <f>'pivot tables'!I129/'pivot tables'!I30</f>
        <v>-0.15588934187317274</v>
      </c>
      <c r="I80" s="7">
        <f>'pivot tables'!J129/'pivot tables'!J30</f>
        <v>-0.17317270320359565</v>
      </c>
      <c r="J80" s="7">
        <f>'pivot tables'!K129/'pivot tables'!K30</f>
        <v>-0.19004959249275286</v>
      </c>
      <c r="K80" s="7">
        <f>'pivot tables'!L129/'pivot tables'!L30</f>
        <v>-0.20647064237173615</v>
      </c>
      <c r="L80" s="7">
        <f>'pivot tables'!M129/'pivot tables'!M30</f>
        <v>-0.22245407487108149</v>
      </c>
      <c r="M80" s="7">
        <f>'pivot tables'!N129/'pivot tables'!N30</f>
        <v>-0.23801715356639233</v>
      </c>
      <c r="N80" s="7">
        <f>'pivot tables'!O129/'pivot tables'!O30</f>
        <v>-0.25317624577728798</v>
      </c>
      <c r="O80" s="7">
        <f>'pivot tables'!P129/'pivot tables'!P30</f>
        <v>-0.26794687998472583</v>
      </c>
      <c r="P80" s="7">
        <f>'pivot tables'!Q129/'pivot tables'!Q30</f>
        <v>-0.26633298714960701</v>
      </c>
      <c r="Q80" s="7">
        <f>'pivot tables'!R129/'pivot tables'!R30</f>
        <v>-0.26463849772592901</v>
      </c>
      <c r="R80" s="7">
        <f>'pivot tables'!S129/'pivot tables'!S30</f>
        <v>-0.26294148266902728</v>
      </c>
      <c r="S80" s="7">
        <f>'pivot tables'!T129/'pivot tables'!T30</f>
        <v>-0.26124193632801324</v>
      </c>
      <c r="T80" s="7">
        <f>'pivot tables'!U129/'pivot tables'!U30</f>
        <v>-0.25962627041573705</v>
      </c>
      <c r="U80" s="7">
        <f>'pivot tables'!V129/'pivot tables'!V30</f>
        <v>-0.25808878660548584</v>
      </c>
      <c r="V80" s="7">
        <f>'pivot tables'!W129/'pivot tables'!W30</f>
        <v>-0.25655117537240951</v>
      </c>
      <c r="W80" s="7">
        <f>'pivot tables'!X129/'pivot tables'!X30</f>
        <v>-0.25501343670066645</v>
      </c>
      <c r="X80" s="7">
        <f>'pivot tables'!Y129/'pivot tables'!Y30</f>
        <v>-0.23525460529430245</v>
      </c>
      <c r="Y80" s="7">
        <f>'pivot tables'!Z129/'pivot tables'!Z30</f>
        <v>-0.21549413612164831</v>
      </c>
      <c r="Z80" s="7">
        <f>'pivot tables'!AA129/'pivot tables'!AA30</f>
        <v>-0.19581700377053304</v>
      </c>
      <c r="AA80" s="7">
        <f>'pivot tables'!AB129/'pivot tables'!AB30</f>
        <v>-0.64715416085525035</v>
      </c>
      <c r="AB80" s="7">
        <f>'pivot tables'!AC129/'pivot tables'!AC30</f>
        <v>-0.63436475736672737</v>
      </c>
      <c r="AC80" s="7">
        <f>'pivot tables'!AD129/'pivot tables'!AD30</f>
        <v>-0.62168065422811225</v>
      </c>
      <c r="AD80" s="7">
        <f>'pivot tables'!AE129/'pivot tables'!AE30</f>
        <v>-0.60847558986146388</v>
      </c>
      <c r="AE80" s="7">
        <f>'pivot tables'!AF129/'pivot tables'!AF30</f>
        <v>-0.5952634165898476</v>
      </c>
      <c r="AF80" s="7">
        <f>'pivot tables'!AG129/'pivot tables'!AG30</f>
        <v>-0.11089122134426097</v>
      </c>
      <c r="AG80" s="7">
        <f>'pivot tables'!AH129/'pivot tables'!AH30</f>
        <v>-9.1056517745342944E-2</v>
      </c>
      <c r="AH80" s="7">
        <f>'pivot tables'!AI129/'pivot tables'!AI30</f>
        <v>-7.1211127566372989E-2</v>
      </c>
      <c r="AI80" s="7">
        <f>'pivot tables'!AJ129/'pivot tables'!AJ30</f>
        <v>-5.1355042168422675E-2</v>
      </c>
      <c r="AJ80" s="7">
        <f>'pivot tables'!AK129/'pivot tables'!AK30</f>
        <v>-5.0988688762793159E-2</v>
      </c>
    </row>
    <row r="81" spans="2:36" x14ac:dyDescent="0.25">
      <c r="B81" t="s">
        <v>48</v>
      </c>
      <c r="C81" s="7">
        <f>'pivot tables'!D130/'pivot tables'!D31</f>
        <v>0</v>
      </c>
      <c r="D81" s="7">
        <f>'pivot tables'!E130/'pivot tables'!E31</f>
        <v>0</v>
      </c>
      <c r="E81" s="7">
        <f>'pivot tables'!F130/'pivot tables'!F31</f>
        <v>0</v>
      </c>
      <c r="F81" s="7">
        <f>'pivot tables'!G130/'pivot tables'!G31</f>
        <v>0</v>
      </c>
      <c r="G81" s="7">
        <f>'pivot tables'!H130/'pivot tables'!H31</f>
        <v>0</v>
      </c>
      <c r="H81" s="7">
        <f>'pivot tables'!I130/'pivot tables'!I31</f>
        <v>0</v>
      </c>
      <c r="I81" s="7">
        <f>'pivot tables'!J130/'pivot tables'!J31</f>
        <v>0</v>
      </c>
      <c r="J81" s="7">
        <f>'pivot tables'!K130/'pivot tables'!K31</f>
        <v>0</v>
      </c>
      <c r="K81" s="7">
        <f>'pivot tables'!L130/'pivot tables'!L31</f>
        <v>0</v>
      </c>
      <c r="L81" s="7">
        <f>'pivot tables'!M130/'pivot tables'!M31</f>
        <v>0</v>
      </c>
      <c r="M81" s="7">
        <f>'pivot tables'!N130/'pivot tables'!N31</f>
        <v>0</v>
      </c>
      <c r="N81" s="7">
        <f>'pivot tables'!O130/'pivot tables'!O31</f>
        <v>0</v>
      </c>
      <c r="O81" s="7">
        <f>'pivot tables'!P130/'pivot tables'!P31</f>
        <v>0</v>
      </c>
      <c r="P81" s="7">
        <f>'pivot tables'!Q130/'pivot tables'!Q31</f>
        <v>0</v>
      </c>
      <c r="Q81" s="7">
        <f>'pivot tables'!R130/'pivot tables'!R31</f>
        <v>0</v>
      </c>
      <c r="R81" s="7">
        <f>'pivot tables'!S130/'pivot tables'!S31</f>
        <v>0</v>
      </c>
      <c r="S81" s="7">
        <f>'pivot tables'!T130/'pivot tables'!T31</f>
        <v>0</v>
      </c>
      <c r="T81" s="7">
        <f>'pivot tables'!U130/'pivot tables'!U31</f>
        <v>0</v>
      </c>
      <c r="U81" s="7">
        <f>'pivot tables'!V130/'pivot tables'!V31</f>
        <v>0</v>
      </c>
      <c r="V81" s="7">
        <f>'pivot tables'!W130/'pivot tables'!W31</f>
        <v>0</v>
      </c>
      <c r="W81" s="7">
        <f>'pivot tables'!X130/'pivot tables'!X31</f>
        <v>0</v>
      </c>
      <c r="X81" s="7">
        <f>'pivot tables'!Y130/'pivot tables'!Y31</f>
        <v>0</v>
      </c>
      <c r="Y81" s="7">
        <f>'pivot tables'!Z130/'pivot tables'!Z31</f>
        <v>0</v>
      </c>
      <c r="Z81" s="7">
        <f>'pivot tables'!AA130/'pivot tables'!AA31</f>
        <v>0</v>
      </c>
      <c r="AA81" s="7">
        <f>'pivot tables'!AB130/'pivot tables'!AB31</f>
        <v>0</v>
      </c>
      <c r="AB81" s="7">
        <f>'pivot tables'!AC130/'pivot tables'!AC31</f>
        <v>0</v>
      </c>
      <c r="AC81" s="7">
        <f>'pivot tables'!AD130/'pivot tables'!AD31</f>
        <v>0</v>
      </c>
      <c r="AD81" s="7">
        <f>'pivot tables'!AE130/'pivot tables'!AE31</f>
        <v>0</v>
      </c>
      <c r="AE81" s="7">
        <f>'pivot tables'!AF130/'pivot tables'!AF31</f>
        <v>-1.5318891578384829E-4</v>
      </c>
      <c r="AF81" s="7">
        <f>'pivot tables'!AG130/'pivot tables'!AG31</f>
        <v>0</v>
      </c>
      <c r="AG81" s="7">
        <f>'pivot tables'!AH130/'pivot tables'!AH31</f>
        <v>0</v>
      </c>
      <c r="AH81" s="7">
        <f>'pivot tables'!AI130/'pivot tables'!AI31</f>
        <v>0</v>
      </c>
      <c r="AI81" s="7">
        <f>'pivot tables'!AJ130/'pivot tables'!AJ31</f>
        <v>0</v>
      </c>
      <c r="AJ81" s="7">
        <f>'pivot tables'!AK130/'pivot tables'!AK31</f>
        <v>-1.3141494368965149E-4</v>
      </c>
    </row>
    <row r="82" spans="2:36" x14ac:dyDescent="0.25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7" spans="2:36" x14ac:dyDescent="0.25">
      <c r="B87" s="11" t="s">
        <v>23</v>
      </c>
      <c r="C87" s="11">
        <v>1990</v>
      </c>
      <c r="D87" s="11">
        <v>1991</v>
      </c>
      <c r="E87" s="11">
        <v>1992</v>
      </c>
      <c r="F87" s="11">
        <v>1993</v>
      </c>
      <c r="G87" s="11">
        <v>1994</v>
      </c>
      <c r="H87" s="11">
        <v>1995</v>
      </c>
      <c r="I87" s="11">
        <v>1996</v>
      </c>
      <c r="J87" s="11">
        <v>1997</v>
      </c>
      <c r="K87" s="11">
        <v>1998</v>
      </c>
      <c r="L87" s="11">
        <v>1999</v>
      </c>
      <c r="M87" s="11">
        <v>2000</v>
      </c>
      <c r="N87" s="11">
        <v>2001</v>
      </c>
      <c r="O87" s="11">
        <v>2002</v>
      </c>
      <c r="P87" s="11">
        <v>2003</v>
      </c>
      <c r="Q87" s="11">
        <v>2004</v>
      </c>
      <c r="R87" s="11">
        <v>2005</v>
      </c>
      <c r="S87" s="11">
        <v>2006</v>
      </c>
      <c r="T87" s="11">
        <v>2007</v>
      </c>
      <c r="U87" s="11">
        <v>2008</v>
      </c>
      <c r="V87" s="11">
        <v>2009</v>
      </c>
      <c r="W87" s="11">
        <v>2010</v>
      </c>
      <c r="X87" s="11">
        <v>2011</v>
      </c>
      <c r="Y87" s="11">
        <v>2012</v>
      </c>
      <c r="Z87" s="11">
        <v>2013</v>
      </c>
      <c r="AA87" s="11">
        <v>2014</v>
      </c>
      <c r="AB87" s="11">
        <v>2015</v>
      </c>
      <c r="AC87" s="11">
        <v>2016</v>
      </c>
      <c r="AD87" s="11">
        <v>2017</v>
      </c>
      <c r="AE87" s="11">
        <v>2018</v>
      </c>
      <c r="AF87" s="11">
        <v>2019</v>
      </c>
      <c r="AG87" s="11">
        <v>2020</v>
      </c>
      <c r="AH87" s="11">
        <v>2021</v>
      </c>
      <c r="AI87" s="11">
        <v>2022</v>
      </c>
      <c r="AJ87" s="11">
        <v>2023</v>
      </c>
    </row>
    <row r="88" spans="2:36" x14ac:dyDescent="0.25">
      <c r="B88" s="12" t="s">
        <v>51</v>
      </c>
      <c r="C88" s="13">
        <f>IF('Table S4'!C57=0,"",'Table S4'!C24/'Table S4'!C57)</f>
        <v>-0.34897854781618598</v>
      </c>
      <c r="D88" s="13">
        <f>IF('Table S4'!D57=0,"",'Table S4'!D24/'Table S4'!D57)</f>
        <v>-0.42918567934007895</v>
      </c>
      <c r="E88" s="13">
        <f>IF('Table S4'!E57=0,"",'Table S4'!E24/'Table S4'!E57)</f>
        <v>-0.39280799713801062</v>
      </c>
      <c r="F88" s="13">
        <f>IF('Table S4'!F57=0,"",'Table S4'!F24/'Table S4'!F57)</f>
        <v>-0.38880401311174911</v>
      </c>
      <c r="G88" s="13">
        <f>IF('Table S4'!G57=0,"",'Table S4'!G24/'Table S4'!G57)</f>
        <v>-0.37810105137449057</v>
      </c>
      <c r="H88" s="13">
        <f>IF('Table S4'!H57=0,"",'Table S4'!H24/'Table S4'!H57)</f>
        <v>-0.42458472810385289</v>
      </c>
      <c r="I88" s="13">
        <f>IF('Table S4'!I57=0,"",'Table S4'!I24/'Table S4'!I57)</f>
        <v>-0.41568458482474513</v>
      </c>
      <c r="J88" s="13">
        <f>IF('Table S4'!J57=0,"",'Table S4'!J24/'Table S4'!J57)</f>
        <v>-0.41595772096955891</v>
      </c>
      <c r="K88" s="13">
        <f>IF('Table S4'!K57=0,"",'Table S4'!K24/'Table S4'!K57)</f>
        <v>-0.43675214633581877</v>
      </c>
      <c r="L88" s="13">
        <f>IF('Table S4'!L57=0,"",'Table S4'!L24/'Table S4'!L57)</f>
        <v>-0.40665430004916231</v>
      </c>
      <c r="M88" s="13">
        <f>IF('Table S4'!M57=0,"",'Table S4'!M24/'Table S4'!M57)</f>
        <v>-0.42848631296572293</v>
      </c>
      <c r="N88" s="13">
        <f>IF('Table S4'!N57=0,"",'Table S4'!N24/'Table S4'!N57)</f>
        <v>-0.46384928941816367</v>
      </c>
      <c r="O88" s="13">
        <f>IF('Table S4'!O57=0,"",'Table S4'!O24/'Table S4'!O57)</f>
        <v>-0.42628872383106919</v>
      </c>
      <c r="P88" s="13">
        <f>IF('Table S4'!P57=0,"",'Table S4'!P24/'Table S4'!P57)</f>
        <v>-0.40179481237374987</v>
      </c>
      <c r="Q88" s="13">
        <f>IF('Table S4'!Q57=0,"",'Table S4'!Q24/'Table S4'!Q57)</f>
        <v>-0.39299492504022793</v>
      </c>
      <c r="R88" s="13">
        <f>IF('Table S4'!R57=0,"",'Table S4'!R24/'Table S4'!R57)</f>
        <v>-0.39901451043134178</v>
      </c>
      <c r="S88" s="13">
        <f>IF('Table S4'!S57=0,"",'Table S4'!S24/'Table S4'!S57)</f>
        <v>-0.36064145541833664</v>
      </c>
      <c r="T88" s="13">
        <f>IF('Table S4'!T57=0,"",'Table S4'!T24/'Table S4'!T57)</f>
        <v>-0.36834041278053925</v>
      </c>
      <c r="U88" s="13">
        <f>IF('Table S4'!U57=0,"",'Table S4'!U24/'Table S4'!U57)</f>
        <v>-0.35888133186187066</v>
      </c>
      <c r="V88" s="13">
        <f>IF('Table S4'!V57=0,"",'Table S4'!V24/'Table S4'!V57)</f>
        <v>-0.33179841075289651</v>
      </c>
      <c r="W88" s="13">
        <f>IF('Table S4'!W57=0,"",'Table S4'!W24/'Table S4'!W57)</f>
        <v>-0.35701842305292297</v>
      </c>
      <c r="X88" s="13">
        <f>IF('Table S4'!X57=0,"",'Table S4'!X24/'Table S4'!X57)</f>
        <v>-0.34826225010643269</v>
      </c>
      <c r="Y88" s="13">
        <f>IF('Table S4'!Y57=0,"",'Table S4'!Y24/'Table S4'!Y57)</f>
        <v>-0.34106016788848442</v>
      </c>
      <c r="Z88" s="13">
        <f>IF('Table S4'!Z57=0,"",'Table S4'!Z24/'Table S4'!Z57)</f>
        <v>-0.32178640098040179</v>
      </c>
      <c r="AA88" s="13">
        <f>IF('Table S4'!AA57=0,"",'Table S4'!AA24/'Table S4'!AA57)</f>
        <v>-0.33210685925476319</v>
      </c>
      <c r="AB88" s="13">
        <f>IF('Table S4'!AB57=0,"",'Table S4'!AB24/'Table S4'!AB57)</f>
        <v>-0.31486709685513831</v>
      </c>
      <c r="AC88" s="13">
        <f>IF('Table S4'!AC57=0,"",'Table S4'!AC24/'Table S4'!AC57)</f>
        <v>-0.32369578743450805</v>
      </c>
      <c r="AD88" s="13">
        <f>IF('Table S4'!AD57=0,"",'Table S4'!AD24/'Table S4'!AD57)</f>
        <v>-0.32589061044240614</v>
      </c>
      <c r="AE88" s="13">
        <f>IF('Table S4'!AE57=0,"",'Table S4'!AE24/'Table S4'!AE57)</f>
        <v>-0.3090848941240506</v>
      </c>
      <c r="AF88" s="13">
        <f>IF('Table S4'!AF57=0,"",'Table S4'!AF24/'Table S4'!AF57)</f>
        <v>-0.26794321691032663</v>
      </c>
      <c r="AG88" s="13">
        <f>IF('Table S4'!AG57=0,"",'Table S4'!AG24/'Table S4'!AG57)</f>
        <v>-0.25673680999164955</v>
      </c>
      <c r="AH88" s="13">
        <f>IF('Table S4'!AH57=0,"",'Table S4'!AH24/'Table S4'!AH57)</f>
        <v>-0.28522407425451629</v>
      </c>
      <c r="AI88" s="13">
        <f>IF('Table S4'!AI57=0,"",'Table S4'!AI24/'Table S4'!AI57)</f>
        <v>-0.27536465415600886</v>
      </c>
      <c r="AJ88" s="13">
        <f>IF('Table S4'!AJ57=0,"",'Table S4'!AJ24/'Table S4'!AJ57)</f>
        <v>-0.24391709920832716</v>
      </c>
    </row>
    <row r="89" spans="2:36" x14ac:dyDescent="0.25">
      <c r="B89" s="12" t="s">
        <v>52</v>
      </c>
      <c r="C89" s="13">
        <f>IF(C70=0,"",C37/C70)</f>
        <v>-0.23262872556729541</v>
      </c>
      <c r="D89" s="13">
        <f t="shared" ref="D89:AJ89" si="0">IF(D70=0,"",D37/D70)</f>
        <v>-0.1972792533069431</v>
      </c>
      <c r="E89" s="13">
        <f t="shared" si="0"/>
        <v>-0.16870295244369909</v>
      </c>
      <c r="F89" s="13">
        <f t="shared" si="0"/>
        <v>-0.1911262021894784</v>
      </c>
      <c r="G89" s="13">
        <f t="shared" si="0"/>
        <v>-0.19317715879951661</v>
      </c>
      <c r="H89" s="13">
        <f t="shared" si="0"/>
        <v>-0.20793303841015512</v>
      </c>
      <c r="I89" s="13">
        <f t="shared" si="0"/>
        <v>-0.18816599060545575</v>
      </c>
      <c r="J89" s="13">
        <f t="shared" si="0"/>
        <v>-0.14152936561441865</v>
      </c>
      <c r="K89" s="13">
        <f t="shared" si="0"/>
        <v>-0.15344822756549129</v>
      </c>
      <c r="L89" s="13">
        <f t="shared" si="0"/>
        <v>-0.16193786481891798</v>
      </c>
      <c r="M89" s="13">
        <f t="shared" si="0"/>
        <v>-0.15317280951202994</v>
      </c>
      <c r="N89" s="13">
        <f t="shared" si="0"/>
        <v>-0.19803328693437508</v>
      </c>
      <c r="O89" s="13">
        <f t="shared" si="0"/>
        <v>-0.21290779354055311</v>
      </c>
      <c r="P89" s="13">
        <f t="shared" si="0"/>
        <v>-0.19441588896140591</v>
      </c>
      <c r="Q89" s="13">
        <f t="shared" si="0"/>
        <v>-0.19217722374863302</v>
      </c>
      <c r="R89" s="13">
        <f t="shared" si="0"/>
        <v>-0.22568876921079226</v>
      </c>
      <c r="S89" s="13">
        <f t="shared" si="0"/>
        <v>-0.22400016175097054</v>
      </c>
      <c r="T89" s="13">
        <f t="shared" si="0"/>
        <v>-0.21348893524045653</v>
      </c>
      <c r="U89" s="13">
        <f t="shared" si="0"/>
        <v>-0.21786980580019671</v>
      </c>
      <c r="V89" s="13">
        <f t="shared" si="0"/>
        <v>-0.21126833168208578</v>
      </c>
      <c r="W89" s="13">
        <f t="shared" si="0"/>
        <v>-0.21891333484422637</v>
      </c>
      <c r="X89" s="13">
        <f t="shared" si="0"/>
        <v>-0.19775535393068394</v>
      </c>
      <c r="Y89" s="13">
        <f t="shared" si="0"/>
        <v>-0.20144325695041179</v>
      </c>
      <c r="Z89" s="13">
        <f t="shared" si="0"/>
        <v>-0.20926011479002604</v>
      </c>
      <c r="AA89" s="13">
        <f t="shared" si="0"/>
        <v>-0.20461702531505077</v>
      </c>
      <c r="AB89" s="13">
        <f t="shared" si="0"/>
        <v>-0.21469731583348997</v>
      </c>
      <c r="AC89" s="13">
        <f t="shared" si="0"/>
        <v>-0.21193511942577392</v>
      </c>
      <c r="AD89" s="13">
        <f t="shared" si="0"/>
        <v>-0.23251981980061326</v>
      </c>
      <c r="AE89" s="13">
        <f t="shared" si="0"/>
        <v>-0.20208514624078516</v>
      </c>
      <c r="AF89" s="13">
        <f t="shared" si="0"/>
        <v>-0.20626310479203133</v>
      </c>
      <c r="AG89" s="13">
        <f t="shared" si="0"/>
        <v>-0.20137595848384629</v>
      </c>
      <c r="AH89" s="13">
        <f t="shared" si="0"/>
        <v>-0.20147824654760638</v>
      </c>
      <c r="AI89" s="13">
        <f t="shared" si="0"/>
        <v>-0.17035183599066506</v>
      </c>
      <c r="AJ89" s="13">
        <f t="shared" si="0"/>
        <v>-0.17343350867329907</v>
      </c>
    </row>
    <row r="90" spans="2:36" x14ac:dyDescent="0.25">
      <c r="B90" s="12" t="s">
        <v>53</v>
      </c>
      <c r="C90" s="13">
        <f>IF('Table S4'!C61=0,"",'Table S4'!C28/'Table S4'!C61)</f>
        <v>-0.31170767501943292</v>
      </c>
      <c r="D90" s="13">
        <f>IF('Table S4'!D61=0,"",'Table S4'!D28/'Table S4'!D61)</f>
        <v>-0.28754487648168853</v>
      </c>
      <c r="E90" s="13">
        <f>IF('Table S4'!E61=0,"",'Table S4'!E28/'Table S4'!E61)</f>
        <v>-0.21906511947575488</v>
      </c>
      <c r="F90" s="13">
        <f>IF('Table S4'!F61=0,"",'Table S4'!F28/'Table S4'!F61)</f>
        <v>-0.29152468909350099</v>
      </c>
      <c r="G90" s="13">
        <f>IF('Table S4'!G61=0,"",'Table S4'!G28/'Table S4'!G61)</f>
        <v>-0.25748250270029105</v>
      </c>
      <c r="H90" s="13">
        <f>IF('Table S4'!H61=0,"",'Table S4'!H28/'Table S4'!H61)</f>
        <v>-0.26875963376162332</v>
      </c>
      <c r="I90" s="13">
        <f>IF('Table S4'!I61=0,"",'Table S4'!I28/'Table S4'!I61)</f>
        <v>-0.26046512666992405</v>
      </c>
      <c r="J90" s="13">
        <f>IF('Table S4'!J61=0,"",'Table S4'!J28/'Table S4'!J61)</f>
        <v>-0.24308208174406346</v>
      </c>
      <c r="K90" s="13">
        <f>IF('Table S4'!K61=0,"",'Table S4'!K28/'Table S4'!K61)</f>
        <v>-0.23013038972550964</v>
      </c>
      <c r="L90" s="13">
        <f>IF('Table S4'!L61=0,"",'Table S4'!L28/'Table S4'!L61)</f>
        <v>-0.23350431133820493</v>
      </c>
      <c r="M90" s="13">
        <f>IF('Table S4'!M61=0,"",'Table S4'!M28/'Table S4'!M61)</f>
        <v>-0.25584332874897658</v>
      </c>
      <c r="N90" s="13">
        <f>IF('Table S4'!N61=0,"",'Table S4'!N28/'Table S4'!N61)</f>
        <v>-0.25699829225733706</v>
      </c>
      <c r="O90" s="13">
        <f>IF('Table S4'!O61=0,"",'Table S4'!O28/'Table S4'!O61)</f>
        <v>-0.25281147914354984</v>
      </c>
      <c r="P90" s="13">
        <f>IF('Table S4'!P61=0,"",'Table S4'!P28/'Table S4'!P61)</f>
        <v>-0.26727034620019607</v>
      </c>
      <c r="Q90" s="13">
        <f>IF('Table S4'!Q61=0,"",'Table S4'!Q28/'Table S4'!Q61)</f>
        <v>-0.26582883427486315</v>
      </c>
      <c r="R90" s="13">
        <f>IF('Table S4'!R61=0,"",'Table S4'!R28/'Table S4'!R61)</f>
        <v>-0.26474898673105185</v>
      </c>
      <c r="S90" s="13">
        <f>IF('Table S4'!S61=0,"",'Table S4'!S28/'Table S4'!S61)</f>
        <v>-0.27931529343088579</v>
      </c>
      <c r="T90" s="13">
        <f>IF('Table S4'!T61=0,"",'Table S4'!T28/'Table S4'!T61)</f>
        <v>-0.29432338306532135</v>
      </c>
      <c r="U90" s="13">
        <f>IF('Table S4'!U61=0,"",'Table S4'!U28/'Table S4'!U61)</f>
        <v>-0.29540941940978394</v>
      </c>
      <c r="V90" s="13">
        <f>IF('Table S4'!V61=0,"",'Table S4'!V28/'Table S4'!V61)</f>
        <v>-0.25713937461109665</v>
      </c>
      <c r="W90" s="13">
        <f>IF('Table S4'!W61=0,"",'Table S4'!W28/'Table S4'!W61)</f>
        <v>-0.26495434750883451</v>
      </c>
      <c r="X90" s="13">
        <f>IF('Table S4'!X61=0,"",'Table S4'!X28/'Table S4'!X61)</f>
        <v>-0.25789098123676135</v>
      </c>
      <c r="Y90" s="13">
        <f>IF('Table S4'!Y61=0,"",'Table S4'!Y28/'Table S4'!Y61)</f>
        <v>-0.24544047690242735</v>
      </c>
      <c r="Z90" s="13">
        <f>IF('Table S4'!Z61=0,"",'Table S4'!Z28/'Table S4'!Z61)</f>
        <v>-0.20964491506183205</v>
      </c>
      <c r="AA90" s="13">
        <f>IF('Table S4'!AA61=0,"",'Table S4'!AA28/'Table S4'!AA61)</f>
        <v>-0.20327374460121411</v>
      </c>
      <c r="AB90" s="13">
        <f>IF('Table S4'!AB61=0,"",'Table S4'!AB28/'Table S4'!AB61)</f>
        <v>-0.21393885514093494</v>
      </c>
      <c r="AC90" s="13">
        <f>IF('Table S4'!AC61=0,"",'Table S4'!AC28/'Table S4'!AC61)</f>
        <v>-0.21383055037708892</v>
      </c>
      <c r="AD90" s="13">
        <f>IF('Table S4'!AD61=0,"",'Table S4'!AD28/'Table S4'!AD61)</f>
        <v>-0.20737194464575942</v>
      </c>
      <c r="AE90" s="13">
        <f>IF('Table S4'!AE61=0,"",'Table S4'!AE28/'Table S4'!AE61)</f>
        <v>-0.17090152954190799</v>
      </c>
      <c r="AF90" s="13">
        <f>IF('Table S4'!AF61=0,"",'Table S4'!AF28/'Table S4'!AF61)</f>
        <v>-0.14749703366549505</v>
      </c>
      <c r="AG90" s="13">
        <f>IF('Table S4'!AG61=0,"",'Table S4'!AG28/'Table S4'!AG61)</f>
        <v>-0.16041865243966211</v>
      </c>
      <c r="AH90" s="13">
        <f>IF('Table S4'!AH61=0,"",'Table S4'!AH28/'Table S4'!AH61)</f>
        <v>-0.18004206528122471</v>
      </c>
      <c r="AI90" s="13">
        <f>IF('Table S4'!AI61=0,"",'Table S4'!AI28/'Table S4'!AI61)</f>
        <v>-0.20249353867073291</v>
      </c>
      <c r="AJ90" s="13">
        <f>IF('Table S4'!AJ61=0,"",'Table S4'!AJ28/'Table S4'!AJ61)</f>
        <v>-0.24071921729880175</v>
      </c>
    </row>
    <row r="91" spans="2:36" x14ac:dyDescent="0.25">
      <c r="B91" s="12" t="s">
        <v>54</v>
      </c>
      <c r="C91" s="13">
        <f>IF('Table S4'!C65=0,"",'Table S4'!C32/'Table S4'!C65)</f>
        <v>-0.95553658963461019</v>
      </c>
      <c r="D91" s="13">
        <f>IF('Table S4'!D65=0,"",'Table S4'!D32/'Table S4'!D65)</f>
        <v>-0.60995819117512484</v>
      </c>
      <c r="E91" s="13">
        <f>IF('Table S4'!E65=0,"",'Table S4'!E32/'Table S4'!E65)</f>
        <v>-0.36649491200174694</v>
      </c>
      <c r="F91" s="13">
        <f>IF('Table S4'!F65=0,"",'Table S4'!F32/'Table S4'!F65)</f>
        <v>-0.32309781443054858</v>
      </c>
      <c r="G91" s="13">
        <f>IF('Table S4'!G65=0,"",'Table S4'!G32/'Table S4'!G65)</f>
        <v>-0.27860806108186537</v>
      </c>
      <c r="H91" s="13">
        <f>IF('Table S4'!H65=0,"",'Table S4'!H32/'Table S4'!H65)</f>
        <v>-0.24202772810846315</v>
      </c>
      <c r="I91" s="13">
        <f>IF('Table S4'!I65=0,"",'Table S4'!I32/'Table S4'!I65)</f>
        <v>-0.2351301355348546</v>
      </c>
      <c r="J91" s="13">
        <f>IF('Table S4'!J65=0,"",'Table S4'!J32/'Table S4'!J65)</f>
        <v>-0.26158306350032595</v>
      </c>
      <c r="K91" s="13">
        <f>IF('Table S4'!K65=0,"",'Table S4'!K32/'Table S4'!K65)</f>
        <v>-0.21381719018126974</v>
      </c>
      <c r="L91" s="13">
        <f>IF('Table S4'!L65=0,"",'Table S4'!L32/'Table S4'!L65)</f>
        <v>-0.21318705127514634</v>
      </c>
      <c r="M91" s="13">
        <f>IF('Table S4'!M65=0,"",'Table S4'!M32/'Table S4'!M65)</f>
        <v>-0.21040994250135944</v>
      </c>
      <c r="N91" s="13">
        <f>IF('Table S4'!N65=0,"",'Table S4'!N32/'Table S4'!N65)</f>
        <v>-0.18740570478924623</v>
      </c>
      <c r="O91" s="13">
        <f>IF('Table S4'!O65=0,"",'Table S4'!O32/'Table S4'!O65)</f>
        <v>-0.15583700215765875</v>
      </c>
      <c r="P91" s="13">
        <f>IF('Table S4'!P65=0,"",'Table S4'!P32/'Table S4'!P65)</f>
        <v>-0.18598812000780673</v>
      </c>
      <c r="Q91" s="13">
        <f>IF('Table S4'!Q65=0,"",'Table S4'!Q32/'Table S4'!Q65)</f>
        <v>-0.17089120649638923</v>
      </c>
      <c r="R91" s="13">
        <f>IF('Table S4'!R65=0,"",'Table S4'!R32/'Table S4'!R65)</f>
        <v>-0.18765423563586853</v>
      </c>
      <c r="S91" s="13">
        <f>IF('Table S4'!S65=0,"",'Table S4'!S32/'Table S4'!S65)</f>
        <v>-0.23413498181944564</v>
      </c>
      <c r="T91" s="13">
        <f>IF('Table S4'!T65=0,"",'Table S4'!T32/'Table S4'!T65)</f>
        <v>-0.25143831201895611</v>
      </c>
      <c r="U91" s="13">
        <f>IF('Table S4'!U65=0,"",'Table S4'!U32/'Table S4'!U65)</f>
        <v>-0.27715407400513514</v>
      </c>
      <c r="V91" s="13">
        <f>IF('Table S4'!V65=0,"",'Table S4'!V32/'Table S4'!V65)</f>
        <v>-0.28242187659355028</v>
      </c>
      <c r="W91" s="13">
        <f>IF('Table S4'!W65=0,"",'Table S4'!W32/'Table S4'!W65)</f>
        <v>-0.26570190398451082</v>
      </c>
      <c r="X91" s="13">
        <f>IF('Table S4'!X65=0,"",'Table S4'!X32/'Table S4'!X65)</f>
        <v>-0.18839344281559492</v>
      </c>
      <c r="Y91" s="13">
        <f>IF('Table S4'!Y65=0,"",'Table S4'!Y32/'Table S4'!Y65)</f>
        <v>-0.15959903116485688</v>
      </c>
      <c r="Z91" s="13">
        <f>IF('Table S4'!Z65=0,"",'Table S4'!Z32/'Table S4'!Z65)</f>
        <v>-0.15318424788318308</v>
      </c>
      <c r="AA91" s="13">
        <f>IF('Table S4'!AA65=0,"",'Table S4'!AA32/'Table S4'!AA65)</f>
        <v>-0.16466053002116685</v>
      </c>
      <c r="AB91" s="13">
        <f>IF('Table S4'!AB65=0,"",'Table S4'!AB32/'Table S4'!AB65)</f>
        <v>-0.17811159904786045</v>
      </c>
      <c r="AC91" s="13">
        <f>IF('Table S4'!AC65=0,"",'Table S4'!AC32/'Table S4'!AC65)</f>
        <v>-0.18274585713310013</v>
      </c>
      <c r="AD91" s="13">
        <f>IF('Table S4'!AD65=0,"",'Table S4'!AD32/'Table S4'!AD65)</f>
        <v>-0.18222607247984191</v>
      </c>
      <c r="AE91" s="13">
        <f>IF('Table S4'!AE65=0,"",'Table S4'!AE32/'Table S4'!AE65)</f>
        <v>-0.16724603629981566</v>
      </c>
      <c r="AF91" s="13">
        <f>IF('Table S4'!AF65=0,"",'Table S4'!AF32/'Table S4'!AF65)</f>
        <v>-0.16279947961481642</v>
      </c>
      <c r="AG91" s="13">
        <f>IF('Table S4'!AG65=0,"",'Table S4'!AG32/'Table S4'!AG65)</f>
        <v>-0.19135309675656687</v>
      </c>
      <c r="AH91" s="13">
        <f>IF('Table S4'!AH65=0,"",'Table S4'!AH32/'Table S4'!AH65)</f>
        <v>-0.19885430823900227</v>
      </c>
      <c r="AI91" s="13">
        <f>IF('Table S4'!AI65=0,"",'Table S4'!AI32/'Table S4'!AI65)</f>
        <v>-0.18794069531603785</v>
      </c>
      <c r="AJ91" s="13">
        <f>IF('Table S4'!AJ65=0,"",'Table S4'!AJ32/'Table S4'!AJ65)</f>
        <v>-0.14891736161978697</v>
      </c>
    </row>
    <row r="92" spans="2:36" x14ac:dyDescent="0.25">
      <c r="B92" s="12" t="s">
        <v>55</v>
      </c>
      <c r="C92" s="13">
        <f>IF('Table S4'!C66=0,"",'Table S4'!C33/'Table S4'!C66)</f>
        <v>-0.26333512057169722</v>
      </c>
      <c r="D92" s="13">
        <f>IF('Table S4'!D66=0,"",'Table S4'!D33/'Table S4'!D66)</f>
        <v>-0.29477644593608571</v>
      </c>
      <c r="E92" s="13">
        <f>IF('Table S4'!E66=0,"",'Table S4'!E33/'Table S4'!E66)</f>
        <v>-0.26641048684033197</v>
      </c>
      <c r="F92" s="13">
        <f>IF('Table S4'!F66=0,"",'Table S4'!F33/'Table S4'!F66)</f>
        <v>-0.28814885756398173</v>
      </c>
      <c r="G92" s="13">
        <f>IF('Table S4'!G66=0,"",'Table S4'!G33/'Table S4'!G66)</f>
        <v>-0.27723573682865837</v>
      </c>
      <c r="H92" s="13">
        <f>IF('Table S4'!H66=0,"",'Table S4'!H33/'Table S4'!H66)</f>
        <v>-0.26811457186248633</v>
      </c>
      <c r="I92" s="13">
        <f>IF('Table S4'!I66=0,"",'Table S4'!I33/'Table S4'!I66)</f>
        <v>-0.28386113277719338</v>
      </c>
      <c r="J92" s="13">
        <f>IF('Table S4'!J66=0,"",'Table S4'!J33/'Table S4'!J66)</f>
        <v>-0.28971143105964009</v>
      </c>
      <c r="K92" s="13">
        <f>IF('Table S4'!K66=0,"",'Table S4'!K33/'Table S4'!K66)</f>
        <v>-0.28316876021567011</v>
      </c>
      <c r="L92" s="13">
        <f>IF('Table S4'!L66=0,"",'Table S4'!L33/'Table S4'!L66)</f>
        <v>-0.28250587623553874</v>
      </c>
      <c r="M92" s="13">
        <f>IF('Table S4'!M66=0,"",'Table S4'!M33/'Table S4'!M66)</f>
        <v>-0.28213770985377867</v>
      </c>
      <c r="N92" s="13">
        <f>IF('Table S4'!N66=0,"",'Table S4'!N33/'Table S4'!N66)</f>
        <v>-0.26602530647160927</v>
      </c>
      <c r="O92" s="13">
        <f>IF('Table S4'!O66=0,"",'Table S4'!O33/'Table S4'!O66)</f>
        <v>-0.26627659521083635</v>
      </c>
      <c r="P92" s="13">
        <f>IF('Table S4'!P66=0,"",'Table S4'!P33/'Table S4'!P66)</f>
        <v>-0.26983640302445938</v>
      </c>
      <c r="Q92" s="13">
        <f>IF('Table S4'!Q66=0,"",'Table S4'!Q33/'Table S4'!Q66)</f>
        <v>-0.2754634458570242</v>
      </c>
      <c r="R92" s="13">
        <f>IF('Table S4'!R66=0,"",'Table S4'!R33/'Table S4'!R66)</f>
        <v>-0.24605729154549733</v>
      </c>
      <c r="S92" s="13">
        <f>IF('Table S4'!S66=0,"",'Table S4'!S33/'Table S4'!S66)</f>
        <v>-0.28362248588909916</v>
      </c>
      <c r="T92" s="13">
        <f>IF('Table S4'!T66=0,"",'Table S4'!T33/'Table S4'!T66)</f>
        <v>-0.2679089381570971</v>
      </c>
      <c r="U92" s="13">
        <f>IF('Table S4'!U66=0,"",'Table S4'!U33/'Table S4'!U66)</f>
        <v>-0.24678585812542367</v>
      </c>
      <c r="V92" s="13">
        <f>IF('Table S4'!V66=0,"",'Table S4'!V33/'Table S4'!V66)</f>
        <v>-0.24287605864224804</v>
      </c>
      <c r="W92" s="13">
        <f>IF('Table S4'!W66=0,"",'Table S4'!W33/'Table S4'!W66)</f>
        <v>-0.23939158907913749</v>
      </c>
      <c r="X92" s="13">
        <f>IF('Table S4'!X66=0,"",'Table S4'!X33/'Table S4'!X66)</f>
        <v>-0.23768505496715692</v>
      </c>
      <c r="Y92" s="13">
        <f>IF('Table S4'!Y66=0,"",'Table S4'!Y33/'Table S4'!Y66)</f>
        <v>-0.23537228248267214</v>
      </c>
      <c r="Z92" s="13">
        <f>IF('Table S4'!Z66=0,"",'Table S4'!Z33/'Table S4'!Z66)</f>
        <v>-0.22297922363361969</v>
      </c>
      <c r="AA92" s="13">
        <f>IF('Table S4'!AA66=0,"",'Table S4'!AA33/'Table S4'!AA66)</f>
        <v>-0.23015771830991891</v>
      </c>
      <c r="AB92" s="13">
        <f>IF('Table S4'!AB66=0,"",'Table S4'!AB33/'Table S4'!AB66)</f>
        <v>-0.22171326807356956</v>
      </c>
      <c r="AC92" s="13">
        <f>IF('Table S4'!AC66=0,"",'Table S4'!AC33/'Table S4'!AC66)</f>
        <v>-0.22590399822173302</v>
      </c>
      <c r="AD92" s="13">
        <f>IF('Table S4'!AD66=0,"",'Table S4'!AD33/'Table S4'!AD66)</f>
        <v>-0.23049562282740049</v>
      </c>
      <c r="AE92" s="13">
        <f>IF('Table S4'!AE66=0,"",'Table S4'!AE33/'Table S4'!AE66)</f>
        <v>-0.22033215123896699</v>
      </c>
      <c r="AF92" s="13">
        <f>IF('Table S4'!AF66=0,"",'Table S4'!AF33/'Table S4'!AF66)</f>
        <v>-0.22732299973248804</v>
      </c>
      <c r="AG92" s="13">
        <f>IF('Table S4'!AG66=0,"",'Table S4'!AG33/'Table S4'!AG66)</f>
        <v>-0.21837898096304045</v>
      </c>
      <c r="AH92" s="13">
        <f>IF('Table S4'!AH66=0,"",'Table S4'!AH33/'Table S4'!AH66)</f>
        <v>-0.21833810138196505</v>
      </c>
      <c r="AI92" s="13">
        <f>IF('Table S4'!AI66=0,"",'Table S4'!AI33/'Table S4'!AI66)</f>
        <v>-0.21916066432319023</v>
      </c>
      <c r="AJ92" s="13">
        <f>IF('Table S4'!AJ66=0,"",'Table S4'!AJ33/'Table S4'!AJ66)</f>
        <v>-0.21072234364588385</v>
      </c>
    </row>
    <row r="93" spans="2:36" x14ac:dyDescent="0.25">
      <c r="B93" s="12" t="s">
        <v>56</v>
      </c>
      <c r="C93" s="13">
        <f>IF('Table S4'!C67=0,"",'Table S4'!C34/'Table S4'!C67)</f>
        <v>-0.18221878939191544</v>
      </c>
      <c r="D93" s="13">
        <f>IF('Table S4'!D67=0,"",'Table S4'!D34/'Table S4'!D67)</f>
        <v>-0.16995189097156144</v>
      </c>
      <c r="E93" s="13">
        <f>IF('Table S4'!E67=0,"",'Table S4'!E34/'Table S4'!E67)</f>
        <v>-0.14886794415669721</v>
      </c>
      <c r="F93" s="13">
        <f>IF('Table S4'!F67=0,"",'Table S4'!F34/'Table S4'!F67)</f>
        <v>-0.14131087348137356</v>
      </c>
      <c r="G93" s="13">
        <f>IF('Table S4'!G67=0,"",'Table S4'!G34/'Table S4'!G67)</f>
        <v>-0.15033585149411241</v>
      </c>
      <c r="H93" s="13">
        <f>IF('Table S4'!H67=0,"",'Table S4'!H34/'Table S4'!H67)</f>
        <v>-0.15657847827250321</v>
      </c>
      <c r="I93" s="13">
        <f>IF('Table S4'!I67=0,"",'Table S4'!I34/'Table S4'!I67)</f>
        <v>-0.16039818572261891</v>
      </c>
      <c r="J93" s="13">
        <f>IF('Table S4'!J67=0,"",'Table S4'!J34/'Table S4'!J67)</f>
        <v>-0.16500922577701305</v>
      </c>
      <c r="K93" s="13">
        <f>IF('Table S4'!K67=0,"",'Table S4'!K34/'Table S4'!K67)</f>
        <v>-0.17227761987414608</v>
      </c>
      <c r="L93" s="13">
        <f>IF('Table S4'!L67=0,"",'Table S4'!L34/'Table S4'!L67)</f>
        <v>-0.10292949142363859</v>
      </c>
      <c r="M93" s="13">
        <f>IF('Table S4'!M67=0,"",'Table S4'!M34/'Table S4'!M67)</f>
        <v>-0.16243878759564365</v>
      </c>
      <c r="N93" s="13">
        <f>IF('Table S4'!N67=0,"",'Table S4'!N34/'Table S4'!N67)</f>
        <v>-0.1781478701938049</v>
      </c>
      <c r="O93" s="13">
        <f>IF('Table S4'!O67=0,"",'Table S4'!O34/'Table S4'!O67)</f>
        <v>-0.18278268675011156</v>
      </c>
      <c r="P93" s="13">
        <f>IF('Table S4'!P67=0,"",'Table S4'!P34/'Table S4'!P67)</f>
        <v>-0.18857440413087506</v>
      </c>
      <c r="Q93" s="13">
        <f>IF('Table S4'!Q67=0,"",'Table S4'!Q34/'Table S4'!Q67)</f>
        <v>-0.1947350335954226</v>
      </c>
      <c r="R93" s="13">
        <f>IF('Table S4'!R67=0,"",'Table S4'!R34/'Table S4'!R67)</f>
        <v>-0.20258076374186373</v>
      </c>
      <c r="S93" s="13">
        <f>IF('Table S4'!S67=0,"",'Table S4'!S34/'Table S4'!S67)</f>
        <v>-0.20591126814759722</v>
      </c>
      <c r="T93" s="13">
        <f>IF('Table S4'!T67=0,"",'Table S4'!T34/'Table S4'!T67)</f>
        <v>-0.21129795961006434</v>
      </c>
      <c r="U93" s="13">
        <f>IF('Table S4'!U67=0,"",'Table S4'!U34/'Table S4'!U67)</f>
        <v>-0.20228418070160847</v>
      </c>
      <c r="V93" s="13">
        <f>IF('Table S4'!V67=0,"",'Table S4'!V34/'Table S4'!V67)</f>
        <v>-0.13415341466388747</v>
      </c>
      <c r="W93" s="13">
        <f>IF('Table S4'!W67=0,"",'Table S4'!W34/'Table S4'!W67)</f>
        <v>-0.1808719999537349</v>
      </c>
      <c r="X93" s="13">
        <f>IF('Table S4'!X67=0,"",'Table S4'!X34/'Table S4'!X67)</f>
        <v>-0.18982022983048411</v>
      </c>
      <c r="Y93" s="13">
        <f>IF('Table S4'!Y67=0,"",'Table S4'!Y34/'Table S4'!Y67)</f>
        <v>-0.19036840197300253</v>
      </c>
      <c r="Z93" s="13">
        <f>IF('Table S4'!Z67=0,"",'Table S4'!Z34/'Table S4'!Z67)</f>
        <v>-0.18590266487161788</v>
      </c>
      <c r="AA93" s="13">
        <f>IF('Table S4'!AA67=0,"",'Table S4'!AA34/'Table S4'!AA67)</f>
        <v>-0.1733050629306844</v>
      </c>
      <c r="AB93" s="13">
        <f>IF('Table S4'!AB67=0,"",'Table S4'!AB34/'Table S4'!AB67)</f>
        <v>-0.16216435704390952</v>
      </c>
      <c r="AC93" s="13">
        <f>IF('Table S4'!AC67=0,"",'Table S4'!AC34/'Table S4'!AC67)</f>
        <v>-0.14810337025223408</v>
      </c>
      <c r="AD93" s="13">
        <f>IF('Table S4'!AD67=0,"",'Table S4'!AD34/'Table S4'!AD67)</f>
        <v>-0.13704202698693072</v>
      </c>
      <c r="AE93" s="13">
        <f>IF('Table S4'!AE67=0,"",'Table S4'!AE34/'Table S4'!AE67)</f>
        <v>-0.12783914448618416</v>
      </c>
      <c r="AF93" s="13">
        <f>IF('Table S4'!AF67=0,"",'Table S4'!AF34/'Table S4'!AF67)</f>
        <v>-0.11899991219001294</v>
      </c>
      <c r="AG93" s="13">
        <f>IF('Table S4'!AG67=0,"",'Table S4'!AG34/'Table S4'!AG67)</f>
        <v>-0.10641008685897958</v>
      </c>
      <c r="AH93" s="13">
        <f>IF('Table S4'!AH67=0,"",'Table S4'!AH34/'Table S4'!AH67)</f>
        <v>-0.12180073331939997</v>
      </c>
      <c r="AI93" s="13">
        <f>IF('Table S4'!AI67=0,"",'Table S4'!AI34/'Table S4'!AI67)</f>
        <v>-0.11978216010802674</v>
      </c>
      <c r="AJ93" s="13">
        <f>IF('Table S4'!AJ67=0,"",'Table S4'!AJ34/'Table S4'!AJ67)</f>
        <v>-0.11527635998689531</v>
      </c>
    </row>
    <row r="94" spans="2:36" x14ac:dyDescent="0.25">
      <c r="B94" s="12" t="s">
        <v>57</v>
      </c>
      <c r="C94" s="13">
        <f>IF('Table S4'!C72=0,"",'Table S4'!C39/'Table S4'!C72)</f>
        <v>-5.5151079759101711E-2</v>
      </c>
      <c r="D94" s="13">
        <f>IF('Table S4'!D72=0,"",'Table S4'!D39/'Table S4'!D72)</f>
        <v>-6.1219416354125554E-2</v>
      </c>
      <c r="E94" s="13">
        <f>IF('Table S4'!E72=0,"",'Table S4'!E39/'Table S4'!E72)</f>
        <v>-5.0079764945238789E-2</v>
      </c>
      <c r="F94" s="13">
        <f>IF('Table S4'!F72=0,"",'Table S4'!F39/'Table S4'!F72)</f>
        <v>-4.5726489071456454E-2</v>
      </c>
      <c r="G94" s="13">
        <f>IF('Table S4'!G72=0,"",'Table S4'!G39/'Table S4'!G72)</f>
        <v>-4.8079489444800921E-2</v>
      </c>
      <c r="H94" s="13">
        <f>IF('Table S4'!H72=0,"",'Table S4'!H39/'Table S4'!H72)</f>
        <v>-6.9524178415594717E-2</v>
      </c>
      <c r="I94" s="13">
        <f>IF('Table S4'!I72=0,"",'Table S4'!I39/'Table S4'!I72)</f>
        <v>-7.059852721703827E-2</v>
      </c>
      <c r="J94" s="13">
        <f>IF('Table S4'!J72=0,"",'Table S4'!J39/'Table S4'!J72)</f>
        <v>-5.850080121121979E-2</v>
      </c>
      <c r="K94" s="13">
        <f>IF('Table S4'!K72=0,"",'Table S4'!K39/'Table S4'!K72)</f>
        <v>-6.331395286323703E-2</v>
      </c>
      <c r="L94" s="13">
        <f>IF('Table S4'!L72=0,"",'Table S4'!L39/'Table S4'!L72)</f>
        <v>-6.7221272521261546E-2</v>
      </c>
      <c r="M94" s="13">
        <f>IF('Table S4'!M72=0,"",'Table S4'!M39/'Table S4'!M72)</f>
        <v>-5.6774066108163608E-2</v>
      </c>
      <c r="N94" s="13">
        <f>IF('Table S4'!N72=0,"",'Table S4'!N39/'Table S4'!N72)</f>
        <v>-5.7480431666597429E-2</v>
      </c>
      <c r="O94" s="13">
        <f>IF('Table S4'!O72=0,"",'Table S4'!O39/'Table S4'!O72)</f>
        <v>-6.334879239691335E-2</v>
      </c>
      <c r="P94" s="13">
        <f>IF('Table S4'!P72=0,"",'Table S4'!P39/'Table S4'!P72)</f>
        <v>-5.7259991179089677E-2</v>
      </c>
      <c r="Q94" s="13">
        <f>IF('Table S4'!Q72=0,"",'Table S4'!Q39/'Table S4'!Q72)</f>
        <v>-6.5075360782232208E-2</v>
      </c>
      <c r="R94" s="13">
        <f>IF('Table S4'!R72=0,"",'Table S4'!R39/'Table S4'!R72)</f>
        <v>-6.4612811183650254E-2</v>
      </c>
      <c r="S94" s="13">
        <f>IF('Table S4'!S72=0,"",'Table S4'!S39/'Table S4'!S72)</f>
        <v>-6.8919832685291116E-2</v>
      </c>
      <c r="T94" s="13">
        <f>IF('Table S4'!T72=0,"",'Table S4'!T39/'Table S4'!T72)</f>
        <v>-5.2937163539256857E-2</v>
      </c>
      <c r="U94" s="13">
        <f>IF('Table S4'!U72=0,"",'Table S4'!U39/'Table S4'!U72)</f>
        <v>-6.6253904258933835E-2</v>
      </c>
      <c r="V94" s="13">
        <f>IF('Table S4'!V72=0,"",'Table S4'!V39/'Table S4'!V72)</f>
        <v>-6.0353541841603214E-2</v>
      </c>
      <c r="W94" s="13">
        <f>IF('Table S4'!W72=0,"",'Table S4'!W39/'Table S4'!W72)</f>
        <v>-5.9726077895483953E-2</v>
      </c>
      <c r="X94" s="13">
        <f>IF('Table S4'!X72=0,"",'Table S4'!X39/'Table S4'!X72)</f>
        <v>-4.9857346365109571E-2</v>
      </c>
      <c r="Y94" s="13">
        <f>IF('Table S4'!Y72=0,"",'Table S4'!Y39/'Table S4'!Y72)</f>
        <v>-4.3451877675194601E-2</v>
      </c>
      <c r="Z94" s="13">
        <f>IF('Table S4'!Z72=0,"",'Table S4'!Z39/'Table S4'!Z72)</f>
        <v>-5.0571409769130223E-2</v>
      </c>
      <c r="AA94" s="13">
        <f>IF('Table S4'!AA72=0,"",'Table S4'!AA39/'Table S4'!AA72)</f>
        <v>-5.2703806177091098E-2</v>
      </c>
      <c r="AB94" s="13">
        <f>IF('Table S4'!AB72=0,"",'Table S4'!AB39/'Table S4'!AB72)</f>
        <v>-5.5168152219224359E-2</v>
      </c>
      <c r="AC94" s="13">
        <f>IF('Table S4'!AC72=0,"",'Table S4'!AC39/'Table S4'!AC72)</f>
        <v>-5.5436514508225225E-2</v>
      </c>
      <c r="AD94" s="13">
        <f>IF('Table S4'!AD72=0,"",'Table S4'!AD39/'Table S4'!AD72)</f>
        <v>-4.044979960402724E-2</v>
      </c>
      <c r="AE94" s="13">
        <f>IF('Table S4'!AE72=0,"",'Table S4'!AE39/'Table S4'!AE72)</f>
        <v>-4.8899856328388995E-2</v>
      </c>
      <c r="AF94" s="13">
        <f>IF('Table S4'!AF72=0,"",'Table S4'!AF39/'Table S4'!AF72)</f>
        <v>-7.6889034619134752E-2</v>
      </c>
      <c r="AG94" s="13">
        <f>IF('Table S4'!AG72=0,"",'Table S4'!AG39/'Table S4'!AG72)</f>
        <v>-5.5565955516097915E-2</v>
      </c>
      <c r="AH94" s="13">
        <f>IF('Table S4'!AH72=0,"",'Table S4'!AH39/'Table S4'!AH72)</f>
        <v>-4.9209957275678132E-2</v>
      </c>
      <c r="AI94" s="13">
        <f>IF('Table S4'!AI72=0,"",'Table S4'!AI39/'Table S4'!AI72)</f>
        <v>-4.9887638656104495E-2</v>
      </c>
      <c r="AJ94" s="13">
        <f>IF('Table S4'!AJ72=0,"",'Table S4'!AJ39/'Table S4'!AJ72)</f>
        <v>-6.0177404453000717E-2</v>
      </c>
    </row>
    <row r="95" spans="2:36" x14ac:dyDescent="0.25">
      <c r="B95" s="12" t="s">
        <v>58</v>
      </c>
      <c r="C95" s="13">
        <f>IF('Table S4'!C74=0,"",'Table S4'!C41/'Table S4'!C74)</f>
        <v>-8.3228824104537441E-2</v>
      </c>
      <c r="D95" s="13">
        <f>IF('Table S4'!D74=0,"",'Table S4'!D41/'Table S4'!D74)</f>
        <v>-8.9894551451603924E-2</v>
      </c>
      <c r="E95" s="13">
        <f>IF('Table S4'!E74=0,"",'Table S4'!E41/'Table S4'!E74)</f>
        <v>-7.7326644685153198E-2</v>
      </c>
      <c r="F95" s="13">
        <f>IF('Table S4'!F74=0,"",'Table S4'!F41/'Table S4'!F74)</f>
        <v>-4.4563640393410889E-2</v>
      </c>
      <c r="G95" s="13">
        <f>IF('Table S4'!G74=0,"",'Table S4'!G41/'Table S4'!G74)</f>
        <v>-6.9821866955886963E-2</v>
      </c>
      <c r="H95" s="13">
        <f>IF('Table S4'!H74=0,"",'Table S4'!H41/'Table S4'!H74)</f>
        <v>-8.3677725224101621E-2</v>
      </c>
      <c r="I95" s="13">
        <f>IF('Table S4'!I74=0,"",'Table S4'!I41/'Table S4'!I74)</f>
        <v>-9.7437786367128368E-2</v>
      </c>
      <c r="J95" s="13">
        <f>IF('Table S4'!J74=0,"",'Table S4'!J41/'Table S4'!J74)</f>
        <v>-0.12350869363296293</v>
      </c>
      <c r="K95" s="13">
        <f>IF('Table S4'!K74=0,"",'Table S4'!K41/'Table S4'!K74)</f>
        <v>-0.1324979800714591</v>
      </c>
      <c r="L95" s="13">
        <f>IF('Table S4'!L74=0,"",'Table S4'!L41/'Table S4'!L74)</f>
        <v>-0.11811638320102773</v>
      </c>
      <c r="M95" s="13">
        <f>IF('Table S4'!M74=0,"",'Table S4'!M41/'Table S4'!M74)</f>
        <v>-0.14698418088397247</v>
      </c>
      <c r="N95" s="13">
        <f>IF('Table S4'!N74=0,"",'Table S4'!N41/'Table S4'!N74)</f>
        <v>-0.14931928564739824</v>
      </c>
      <c r="O95" s="13">
        <f>IF('Table S4'!O74=0,"",'Table S4'!O41/'Table S4'!O74)</f>
        <v>-0.14485922234314774</v>
      </c>
      <c r="P95" s="13">
        <f>IF('Table S4'!P74=0,"",'Table S4'!P41/'Table S4'!P74)</f>
        <v>-0.14199615413676783</v>
      </c>
      <c r="Q95" s="13">
        <f>IF('Table S4'!Q74=0,"",'Table S4'!Q41/'Table S4'!Q74)</f>
        <v>-0.14573415775034387</v>
      </c>
      <c r="R95" s="13">
        <f>IF('Table S4'!R74=0,"",'Table S4'!R41/'Table S4'!R74)</f>
        <v>-0.14500724796707951</v>
      </c>
      <c r="S95" s="13">
        <f>IF('Table S4'!S74=0,"",'Table S4'!S41/'Table S4'!S74)</f>
        <v>-0.16497767811563585</v>
      </c>
      <c r="T95" s="13">
        <f>IF('Table S4'!T74=0,"",'Table S4'!T41/'Table S4'!T74)</f>
        <v>-0.12306187139295571</v>
      </c>
      <c r="U95" s="13">
        <f>IF('Table S4'!U74=0,"",'Table S4'!U41/'Table S4'!U74)</f>
        <v>-0.12006304974497557</v>
      </c>
      <c r="V95" s="13">
        <f>IF('Table S4'!V74=0,"",'Table S4'!V41/'Table S4'!V74)</f>
        <v>-0.10102362454531064</v>
      </c>
      <c r="W95" s="13">
        <f>IF('Table S4'!W74=0,"",'Table S4'!W41/'Table S4'!W74)</f>
        <v>-0.109144812189772</v>
      </c>
      <c r="X95" s="13">
        <f>IF('Table S4'!X74=0,"",'Table S4'!X41/'Table S4'!X74)</f>
        <v>-0.12297281866029727</v>
      </c>
      <c r="Y95" s="13">
        <f>IF('Table S4'!Y74=0,"",'Table S4'!Y41/'Table S4'!Y74)</f>
        <v>-0.12638249740177995</v>
      </c>
      <c r="Z95" s="13">
        <f>IF('Table S4'!Z74=0,"",'Table S4'!Z41/'Table S4'!Z74)</f>
        <v>-0.1263497797679671</v>
      </c>
      <c r="AA95" s="13">
        <f>IF('Table S4'!AA74=0,"",'Table S4'!AA41/'Table S4'!AA74)</f>
        <v>-0.11784678014994714</v>
      </c>
      <c r="AB95" s="13">
        <f>IF('Table S4'!AB74=0,"",'Table S4'!AB41/'Table S4'!AB74)</f>
        <v>-0.12287239533386608</v>
      </c>
      <c r="AC95" s="13">
        <f>IF('Table S4'!AC74=0,"",'Table S4'!AC41/'Table S4'!AC74)</f>
        <v>-0.12925968526374843</v>
      </c>
      <c r="AD95" s="13">
        <f>IF('Table S4'!AD74=0,"",'Table S4'!AD41/'Table S4'!AD74)</f>
        <v>-0.14280886881468516</v>
      </c>
      <c r="AE95" s="13">
        <f>IF('Table S4'!AE74=0,"",'Table S4'!AE41/'Table S4'!AE74)</f>
        <v>-0.13642440357154895</v>
      </c>
      <c r="AF95" s="13">
        <f>IF('Table S4'!AF74=0,"",'Table S4'!AF41/'Table S4'!AF74)</f>
        <v>-0.14323736545507965</v>
      </c>
      <c r="AG95" s="13">
        <f>IF('Table S4'!AG74=0,"",'Table S4'!AG41/'Table S4'!AG74)</f>
        <v>-0.13294326383679853</v>
      </c>
      <c r="AH95" s="13">
        <f>IF('Table S4'!AH74=0,"",'Table S4'!AH41/'Table S4'!AH74)</f>
        <v>-0.14922965879627223</v>
      </c>
      <c r="AI95" s="13">
        <f>IF('Table S4'!AI74=0,"",'Table S4'!AI41/'Table S4'!AI74)</f>
        <v>-0.12308317832762322</v>
      </c>
      <c r="AJ95" s="13">
        <f>IF('Table S4'!AJ74=0,"",'Table S4'!AJ41/'Table S4'!AJ74)</f>
        <v>-0.13206659623241832</v>
      </c>
    </row>
    <row r="96" spans="2:36" x14ac:dyDescent="0.25">
      <c r="B96" s="12" t="s">
        <v>59</v>
      </c>
      <c r="C96" s="13">
        <f>IF('Table S4'!C77=0,"",'Table S4'!C44/'Table S4'!C77)</f>
        <v>-0.20291833975931439</v>
      </c>
      <c r="D96" s="13">
        <f>IF('Table S4'!D77=0,"",'Table S4'!D44/'Table S4'!D77)</f>
        <v>-0.2061066932186873</v>
      </c>
      <c r="E96" s="13">
        <f>IF('Table S4'!E77=0,"",'Table S4'!E44/'Table S4'!E77)</f>
        <v>-0.19888413031542471</v>
      </c>
      <c r="F96" s="13">
        <f>IF('Table S4'!F77=0,"",'Table S4'!F44/'Table S4'!F77)</f>
        <v>-0.19453695610930535</v>
      </c>
      <c r="G96" s="13">
        <f>IF('Table S4'!G77=0,"",'Table S4'!G44/'Table S4'!G77)</f>
        <v>-0.19871257942219628</v>
      </c>
      <c r="H96" s="13">
        <f>IF('Table S4'!H77=0,"",'Table S4'!H44/'Table S4'!H77)</f>
        <v>-0.1990169029043673</v>
      </c>
      <c r="I96" s="13">
        <f>IF('Table S4'!I77=0,"",'Table S4'!I44/'Table S4'!I77)</f>
        <v>-0.19212827727328327</v>
      </c>
      <c r="J96" s="13">
        <f>IF('Table S4'!J77=0,"",'Table S4'!J44/'Table S4'!J77)</f>
        <v>-0.18194317631636647</v>
      </c>
      <c r="K96" s="13">
        <f>IF('Table S4'!K77=0,"",'Table S4'!K44/'Table S4'!K77)</f>
        <v>-0.17307065533748625</v>
      </c>
      <c r="L96" s="13">
        <f>IF('Table S4'!L77=0,"",'Table S4'!L44/'Table S4'!L77)</f>
        <v>-0.17942831861578407</v>
      </c>
      <c r="M96" s="13">
        <f>IF('Table S4'!M77=0,"",'Table S4'!M44/'Table S4'!M77)</f>
        <v>-0.17268361266105617</v>
      </c>
      <c r="N96" s="13">
        <f>IF('Table S4'!N77=0,"",'Table S4'!N44/'Table S4'!N77)</f>
        <v>-0.18703201238168163</v>
      </c>
      <c r="O96" s="13">
        <f>IF('Table S4'!O77=0,"",'Table S4'!O44/'Table S4'!O77)</f>
        <v>-0.19641352105420865</v>
      </c>
      <c r="P96" s="13">
        <f>IF('Table S4'!P77=0,"",'Table S4'!P44/'Table S4'!P77)</f>
        <v>-0.19971579982622309</v>
      </c>
      <c r="Q96" s="13">
        <f>IF('Table S4'!Q77=0,"",'Table S4'!Q44/'Table S4'!Q77)</f>
        <v>-0.18687453603071552</v>
      </c>
      <c r="R96" s="13">
        <f>IF('Table S4'!R77=0,"",'Table S4'!R44/'Table S4'!R77)</f>
        <v>-0.19166011968617444</v>
      </c>
      <c r="S96" s="13">
        <f>IF('Table S4'!S77=0,"",'Table S4'!S44/'Table S4'!S77)</f>
        <v>-0.18020794275301139</v>
      </c>
      <c r="T96" s="13">
        <f>IF('Table S4'!T77=0,"",'Table S4'!T44/'Table S4'!T77)</f>
        <v>-0.17364578120401372</v>
      </c>
      <c r="U96" s="13">
        <f>IF('Table S4'!U77=0,"",'Table S4'!U44/'Table S4'!U77)</f>
        <v>-0.19222070788968881</v>
      </c>
      <c r="V96" s="13">
        <f>IF('Table S4'!V77=0,"",'Table S4'!V44/'Table S4'!V77)</f>
        <v>-0.20557201520959378</v>
      </c>
      <c r="W96" s="13">
        <f>IF('Table S4'!W77=0,"",'Table S4'!W44/'Table S4'!W77)</f>
        <v>-0.18794903038555447</v>
      </c>
      <c r="X96" s="13">
        <f>IF('Table S4'!X77=0,"",'Table S4'!X44/'Table S4'!X77)</f>
        <v>-0.17842790063202024</v>
      </c>
      <c r="Y96" s="13">
        <f>IF('Table S4'!Y77=0,"",'Table S4'!Y44/'Table S4'!Y77)</f>
        <v>-0.19055775677763648</v>
      </c>
      <c r="Z96" s="13">
        <f>IF('Table S4'!Z77=0,"",'Table S4'!Z44/'Table S4'!Z77)</f>
        <v>-0.16820293026870869</v>
      </c>
      <c r="AA96" s="13">
        <f>IF('Table S4'!AA77=0,"",'Table S4'!AA44/'Table S4'!AA77)</f>
        <v>-0.17457843005618179</v>
      </c>
      <c r="AB96" s="13">
        <f>IF('Table S4'!AB77=0,"",'Table S4'!AB44/'Table S4'!AB77)</f>
        <v>-0.18822753635295492</v>
      </c>
      <c r="AC96" s="13">
        <f>IF('Table S4'!AC77=0,"",'Table S4'!AC44/'Table S4'!AC77)</f>
        <v>-0.18695379417806318</v>
      </c>
      <c r="AD96" s="13">
        <f>IF('Table S4'!AD77=0,"",'Table S4'!AD44/'Table S4'!AD77)</f>
        <v>-0.1785949917834655</v>
      </c>
      <c r="AE96" s="13">
        <f>IF('Table S4'!AE77=0,"",'Table S4'!AE44/'Table S4'!AE77)</f>
        <v>-0.19011142809480971</v>
      </c>
      <c r="AF96" s="13">
        <f>IF('Table S4'!AF77=0,"",'Table S4'!AF44/'Table S4'!AF77)</f>
        <v>-0.18859634716780724</v>
      </c>
      <c r="AG96" s="13">
        <f>IF('Table S4'!AG77=0,"",'Table S4'!AG44/'Table S4'!AG77)</f>
        <v>-0.18476685209627955</v>
      </c>
      <c r="AH96" s="13">
        <f>IF('Table S4'!AH77=0,"",'Table S4'!AH44/'Table S4'!AH77)</f>
        <v>-0.18808133847250152</v>
      </c>
      <c r="AI96" s="13">
        <f>IF('Table S4'!AI77=0,"",'Table S4'!AI44/'Table S4'!AI77)</f>
        <v>-0.18307852999269414</v>
      </c>
      <c r="AJ96" s="13">
        <f>IF('Table S4'!AJ77=0,"",'Table S4'!AJ44/'Table S4'!AJ77)</f>
        <v>-0.18036404576790416</v>
      </c>
    </row>
    <row r="97" spans="2:36" x14ac:dyDescent="0.25">
      <c r="B97" s="12" t="s">
        <v>60</v>
      </c>
      <c r="C97" s="13">
        <f>IF('Table S4'!C78=0,"",'Table S4'!C45/'Table S4'!C78)</f>
        <v>-0.20498891378525344</v>
      </c>
      <c r="D97" s="13">
        <f>IF('Table S4'!D78=0,"",'Table S4'!D45/'Table S4'!D78)</f>
        <v>-0.16361960305045134</v>
      </c>
      <c r="E97" s="13">
        <f>IF('Table S4'!E78=0,"",'Table S4'!E45/'Table S4'!E78)</f>
        <v>-0.18367243272649697</v>
      </c>
      <c r="F97" s="13">
        <f>IF('Table S4'!F78=0,"",'Table S4'!F45/'Table S4'!F78)</f>
        <v>-0.19410078349983251</v>
      </c>
      <c r="G97" s="13">
        <f>IF('Table S4'!G78=0,"",'Table S4'!G45/'Table S4'!G78)</f>
        <v>-0.13165989234913725</v>
      </c>
      <c r="H97" s="13">
        <f>IF('Table S4'!H78=0,"",'Table S4'!H45/'Table S4'!H78)</f>
        <v>-0.1366745451154488</v>
      </c>
      <c r="I97" s="13">
        <f>IF('Table S4'!I78=0,"",'Table S4'!I45/'Table S4'!I78)</f>
        <v>-0.12491047020061442</v>
      </c>
      <c r="J97" s="13">
        <f>IF('Table S4'!J78=0,"",'Table S4'!J45/'Table S4'!J78)</f>
        <v>-0.13207238539033542</v>
      </c>
      <c r="K97" s="13">
        <f>IF('Table S4'!K78=0,"",'Table S4'!K45/'Table S4'!K78)</f>
        <v>-0.15291512048471759</v>
      </c>
      <c r="L97" s="13">
        <f>IF('Table S4'!L78=0,"",'Table S4'!L45/'Table S4'!L78)</f>
        <v>-0.17595654766592481</v>
      </c>
      <c r="M97" s="13">
        <f>IF('Table S4'!M78=0,"",'Table S4'!M45/'Table S4'!M78)</f>
        <v>-0.20508698008663806</v>
      </c>
      <c r="N97" s="13">
        <f>IF('Table S4'!N78=0,"",'Table S4'!N45/'Table S4'!N78)</f>
        <v>-0.20819161829445693</v>
      </c>
      <c r="O97" s="13">
        <f>IF('Table S4'!O78=0,"",'Table S4'!O45/'Table S4'!O78)</f>
        <v>-0.216480775188472</v>
      </c>
      <c r="P97" s="13">
        <f>IF('Table S4'!P78=0,"",'Table S4'!P45/'Table S4'!P78)</f>
        <v>-0.25178044852512116</v>
      </c>
      <c r="Q97" s="13">
        <f>IF('Table S4'!Q78=0,"",'Table S4'!Q45/'Table S4'!Q78)</f>
        <v>-0.26554407111912248</v>
      </c>
      <c r="R97" s="13">
        <f>IF('Table S4'!R78=0,"",'Table S4'!R45/'Table S4'!R78)</f>
        <v>-0.2602003651568815</v>
      </c>
      <c r="S97" s="13">
        <f>IF('Table S4'!S78=0,"",'Table S4'!S45/'Table S4'!S78)</f>
        <v>-0.24087206475725539</v>
      </c>
      <c r="T97" s="13">
        <f>IF('Table S4'!T78=0,"",'Table S4'!T45/'Table S4'!T78)</f>
        <v>-0.26687523948583552</v>
      </c>
      <c r="U97" s="13">
        <f>IF('Table S4'!U78=0,"",'Table S4'!U45/'Table S4'!U78)</f>
        <v>-0.27484777160558771</v>
      </c>
      <c r="V97" s="13">
        <f>IF('Table S4'!V78=0,"",'Table S4'!V45/'Table S4'!V78)</f>
        <v>-0.26145744644101077</v>
      </c>
      <c r="W97" s="13">
        <f>IF('Table S4'!W78=0,"",'Table S4'!W45/'Table S4'!W78)</f>
        <v>-0.31125792932458207</v>
      </c>
      <c r="X97" s="13">
        <f>IF('Table S4'!X78=0,"",'Table S4'!X45/'Table S4'!X78)</f>
        <v>-0.30317951316197694</v>
      </c>
      <c r="Y97" s="13">
        <f>IF('Table S4'!Y78=0,"",'Table S4'!Y45/'Table S4'!Y78)</f>
        <v>-0.37175377271841015</v>
      </c>
      <c r="Z97" s="13">
        <f>IF('Table S4'!Z78=0,"",'Table S4'!Z45/'Table S4'!Z78)</f>
        <v>-0.39334429074421284</v>
      </c>
      <c r="AA97" s="13">
        <f>IF('Table S4'!AA78=0,"",'Table S4'!AA45/'Table S4'!AA78)</f>
        <v>-0.40347341352555599</v>
      </c>
      <c r="AB97" s="13">
        <f>IF('Table S4'!AB78=0,"",'Table S4'!AB45/'Table S4'!AB78)</f>
        <v>-0.40083703014535765</v>
      </c>
      <c r="AC97" s="13">
        <f>IF('Table S4'!AC78=0,"",'Table S4'!AC45/'Table S4'!AC78)</f>
        <v>-0.42080045343565281</v>
      </c>
      <c r="AD97" s="13">
        <f>IF('Table S4'!AD78=0,"",'Table S4'!AD45/'Table S4'!AD78)</f>
        <v>-0.39853298394997866</v>
      </c>
      <c r="AE97" s="13">
        <f>IF('Table S4'!AE78=0,"",'Table S4'!AE45/'Table S4'!AE78)</f>
        <v>-0.35108076773315061</v>
      </c>
      <c r="AF97" s="13">
        <f>IF('Table S4'!AF78=0,"",'Table S4'!AF45/'Table S4'!AF78)</f>
        <v>-0.37012941342924655</v>
      </c>
      <c r="AG97" s="13">
        <f>IF('Table S4'!AG78=0,"",'Table S4'!AG45/'Table S4'!AG78)</f>
        <v>-0.35690033782428077</v>
      </c>
      <c r="AH97" s="13">
        <f>IF('Table S4'!AH78=0,"",'Table S4'!AH45/'Table S4'!AH78)</f>
        <v>-0.34223259175836984</v>
      </c>
      <c r="AI97" s="13">
        <f>IF('Table S4'!AI78=0,"",'Table S4'!AI45/'Table S4'!AI78)</f>
        <v>-0.28435973978306583</v>
      </c>
      <c r="AJ97" s="13">
        <f>IF('Table S4'!AJ78=0,"",'Table S4'!AJ45/'Table S4'!AJ78)</f>
        <v>-0.29132285346256892</v>
      </c>
    </row>
    <row r="98" spans="2:36" x14ac:dyDescent="0.25">
      <c r="B98" s="12" t="s">
        <v>61</v>
      </c>
      <c r="C98" s="13">
        <f>IF('Table S4'!C79=0,"",'Table S4'!C46/'Table S4'!C79)</f>
        <v>-0.18618721951122016</v>
      </c>
      <c r="D98" s="13">
        <f>IF('Table S4'!D79=0,"",'Table S4'!D46/'Table S4'!D79)</f>
        <v>-0.16626988046318475</v>
      </c>
      <c r="E98" s="13">
        <f>IF('Table S4'!E79=0,"",'Table S4'!E46/'Table S4'!E79)</f>
        <v>-0.13063775855052223</v>
      </c>
      <c r="F98" s="13">
        <f>IF('Table S4'!F79=0,"",'Table S4'!F46/'Table S4'!F79)</f>
        <v>-0.16271104184346272</v>
      </c>
      <c r="G98" s="13">
        <f>IF('Table S4'!G79=0,"",'Table S4'!G46/'Table S4'!G79)</f>
        <v>-0.15890160979885712</v>
      </c>
      <c r="H98" s="13">
        <f>IF('Table S4'!H79=0,"",'Table S4'!H46/'Table S4'!H79)</f>
        <v>-0.14269090801143164</v>
      </c>
      <c r="I98" s="13">
        <f>IF('Table S4'!I79=0,"",'Table S4'!I46/'Table S4'!I79)</f>
        <v>-0.15341059555597855</v>
      </c>
      <c r="J98" s="13">
        <f>IF('Table S4'!J79=0,"",'Table S4'!J46/'Table S4'!J79)</f>
        <v>-0.16318604233615966</v>
      </c>
      <c r="K98" s="13">
        <f>IF('Table S4'!K79=0,"",'Table S4'!K46/'Table S4'!K79)</f>
        <v>-0.21991235039638773</v>
      </c>
      <c r="L98" s="13">
        <f>IF('Table S4'!L79=0,"",'Table S4'!L46/'Table S4'!L79)</f>
        <v>-0.23922802892725903</v>
      </c>
      <c r="M98" s="13">
        <f>IF('Table S4'!M79=0,"",'Table S4'!M46/'Table S4'!M79)</f>
        <v>-0.23885839848221874</v>
      </c>
      <c r="N98" s="13">
        <f>IF('Table S4'!N79=0,"",'Table S4'!N46/'Table S4'!N79)</f>
        <v>-0.18250128083138398</v>
      </c>
      <c r="O98" s="13">
        <f>IF('Table S4'!O79=0,"",'Table S4'!O46/'Table S4'!O79)</f>
        <v>-0.21342211515336504</v>
      </c>
      <c r="P98" s="13">
        <f>IF('Table S4'!P79=0,"",'Table S4'!P46/'Table S4'!P79)</f>
        <v>-0.22085962672693568</v>
      </c>
      <c r="Q98" s="13">
        <f>IF('Table S4'!Q79=0,"",'Table S4'!Q46/'Table S4'!Q79)</f>
        <v>-0.23313140865218429</v>
      </c>
      <c r="R98" s="13">
        <f>IF('Table S4'!R79=0,"",'Table S4'!R46/'Table S4'!R79)</f>
        <v>-0.22508238371727285</v>
      </c>
      <c r="S98" s="13">
        <f>IF('Table S4'!S79=0,"",'Table S4'!S46/'Table S4'!S79)</f>
        <v>-0.26948107563625157</v>
      </c>
      <c r="T98" s="13">
        <f>IF('Table S4'!T79=0,"",'Table S4'!T46/'Table S4'!T79)</f>
        <v>-0.27847876222010021</v>
      </c>
      <c r="U98" s="13">
        <f>IF('Table S4'!U79=0,"",'Table S4'!U46/'Table S4'!U79)</f>
        <v>-0.25167844090354641</v>
      </c>
      <c r="V98" s="13">
        <f>IF('Table S4'!V79=0,"",'Table S4'!V46/'Table S4'!V79)</f>
        <v>-0.22906633370329418</v>
      </c>
      <c r="W98" s="13">
        <f>IF('Table S4'!W79=0,"",'Table S4'!W46/'Table S4'!W79)</f>
        <v>-0.20545562839287196</v>
      </c>
      <c r="X98" s="13">
        <f>IF('Table S4'!X79=0,"",'Table S4'!X46/'Table S4'!X79)</f>
        <v>-0.19329271285890981</v>
      </c>
      <c r="Y98" s="13">
        <f>IF('Table S4'!Y79=0,"",'Table S4'!Y46/'Table S4'!Y79)</f>
        <v>-0.17804958247577615</v>
      </c>
      <c r="Z98" s="13">
        <f>IF('Table S4'!Z79=0,"",'Table S4'!Z46/'Table S4'!Z79)</f>
        <v>-0.18011988355879893</v>
      </c>
      <c r="AA98" s="13">
        <f>IF('Table S4'!AA79=0,"",'Table S4'!AA46/'Table S4'!AA79)</f>
        <v>-0.16948863213355186</v>
      </c>
      <c r="AB98" s="13">
        <f>IF('Table S4'!AB79=0,"",'Table S4'!AB46/'Table S4'!AB79)</f>
        <v>-0.18857777911023213</v>
      </c>
      <c r="AC98" s="13">
        <f>IF('Table S4'!AC79=0,"",'Table S4'!AC46/'Table S4'!AC79)</f>
        <v>-0.19603567584950451</v>
      </c>
      <c r="AD98" s="13">
        <f>IF('Table S4'!AD79=0,"",'Table S4'!AD46/'Table S4'!AD79)</f>
        <v>-0.19929588501481554</v>
      </c>
      <c r="AE98" s="13">
        <f>IF('Table S4'!AE79=0,"",'Table S4'!AE46/'Table S4'!AE79)</f>
        <v>-0.18015431885332756</v>
      </c>
      <c r="AF98" s="13">
        <f>IF('Table S4'!AF79=0,"",'Table S4'!AF46/'Table S4'!AF79)</f>
        <v>-0.17634271908998503</v>
      </c>
      <c r="AG98" s="13">
        <f>IF('Table S4'!AG79=0,"",'Table S4'!AG46/'Table S4'!AG79)</f>
        <v>-0.18065140755548986</v>
      </c>
      <c r="AH98" s="13">
        <f>IF('Table S4'!AH79=0,"",'Table S4'!AH46/'Table S4'!AH79)</f>
        <v>-0.18740074769000312</v>
      </c>
      <c r="AI98" s="13">
        <f>IF('Table S4'!AI79=0,"",'Table S4'!AI46/'Table S4'!AI79)</f>
        <v>-0.16829948777910209</v>
      </c>
      <c r="AJ98" s="13">
        <f>IF('Table S4'!AJ79=0,"",'Table S4'!AJ46/'Table S4'!AJ79)</f>
        <v>-0.1917677970727476</v>
      </c>
    </row>
    <row r="99" spans="2:36" x14ac:dyDescent="0.25">
      <c r="B99" s="12" t="s">
        <v>62</v>
      </c>
      <c r="C99" s="13">
        <f>IF('Table S4'!C80=0,"",'Table S4'!C47/'Table S4'!C80)</f>
        <v>-3.484049883901843</v>
      </c>
      <c r="D99" s="13">
        <f>IF('Table S4'!D80=0,"",'Table S4'!D47/'Table S4'!D80)</f>
        <v>-2.1785500992424112</v>
      </c>
      <c r="E99" s="13">
        <f>IF('Table S4'!E80=0,"",'Table S4'!E47/'Table S4'!E80)</f>
        <v>-1.5844055093729899</v>
      </c>
      <c r="F99" s="13">
        <f>IF('Table S4'!F80=0,"",'Table S4'!F47/'Table S4'!F80)</f>
        <v>-1.2105612483619759</v>
      </c>
      <c r="G99" s="13">
        <f>IF('Table S4'!G80=0,"",'Table S4'!G47/'Table S4'!G80)</f>
        <v>-1.1180372115143176</v>
      </c>
      <c r="H99" s="13">
        <f>IF('Table S4'!H80=0,"",'Table S4'!H47/'Table S4'!H80)</f>
        <v>-0.99328076823178524</v>
      </c>
      <c r="I99" s="13">
        <f>IF('Table S4'!I80=0,"",'Table S4'!I47/'Table S4'!I80)</f>
        <v>-0.98022780022884415</v>
      </c>
      <c r="J99" s="13">
        <f>IF('Table S4'!J80=0,"",'Table S4'!J47/'Table S4'!J80)</f>
        <v>-0.79882174654852611</v>
      </c>
      <c r="K99" s="13">
        <f>IF('Table S4'!K80=0,"",'Table S4'!K47/'Table S4'!K80)</f>
        <v>-0.84117736492314887</v>
      </c>
      <c r="L99" s="13">
        <f>IF('Table S4'!L80=0,"",'Table S4'!L47/'Table S4'!L80)</f>
        <v>-0.74381702938484728</v>
      </c>
      <c r="M99" s="13">
        <f>IF('Table S4'!M80=0,"",'Table S4'!M47/'Table S4'!M80)</f>
        <v>-0.73674165122952429</v>
      </c>
      <c r="N99" s="13">
        <f>IF('Table S4'!N80=0,"",'Table S4'!N47/'Table S4'!N80)</f>
        <v>-0.68218643652684618</v>
      </c>
      <c r="O99" s="13">
        <f>IF('Table S4'!O80=0,"",'Table S4'!O47/'Table S4'!O80)</f>
        <v>-0.6577170602136686</v>
      </c>
      <c r="P99" s="13">
        <f>IF('Table S4'!P80=0,"",'Table S4'!P47/'Table S4'!P80)</f>
        <v>-0.69277556745826885</v>
      </c>
      <c r="Q99" s="13">
        <f>IF('Table S4'!Q80=0,"",'Table S4'!Q47/'Table S4'!Q80)</f>
        <v>-0.7321317813061281</v>
      </c>
      <c r="R99" s="13">
        <f>IF('Table S4'!R80=0,"",'Table S4'!R47/'Table S4'!R80)</f>
        <v>-0.76097626150137421</v>
      </c>
      <c r="S99" s="13">
        <f>IF('Table S4'!S80=0,"",'Table S4'!S47/'Table S4'!S80)</f>
        <v>-0.79670230995311664</v>
      </c>
      <c r="T99" s="13">
        <f>IF('Table S4'!T80=0,"",'Table S4'!T47/'Table S4'!T80)</f>
        <v>-0.87666233600733479</v>
      </c>
      <c r="U99" s="13">
        <f>IF('Table S4'!U80=0,"",'Table S4'!U47/'Table S4'!U80)</f>
        <v>-0.80506856715273101</v>
      </c>
      <c r="V99" s="13">
        <f>IF('Table S4'!V80=0,"",'Table S4'!V47/'Table S4'!V80)</f>
        <v>-0.76633772203677208</v>
      </c>
      <c r="W99" s="13">
        <f>IF('Table S4'!W80=0,"",'Table S4'!W47/'Table S4'!W80)</f>
        <v>-0.72238946046984398</v>
      </c>
      <c r="X99" s="13">
        <f>IF('Table S4'!X80=0,"",'Table S4'!X47/'Table S4'!X80)</f>
        <v>-0.72829088852586632</v>
      </c>
      <c r="Y99" s="13">
        <f>IF('Table S4'!Y80=0,"",'Table S4'!Y47/'Table S4'!Y80)</f>
        <v>-0.77973932653966449</v>
      </c>
      <c r="Z99" s="13">
        <f>IF('Table S4'!Z80=0,"",'Table S4'!Z47/'Table S4'!Z80)</f>
        <v>-0.80833251860105582</v>
      </c>
      <c r="AA99" s="13">
        <f>IF('Table S4'!AA80=0,"",'Table S4'!AA47/'Table S4'!AA80)</f>
        <v>-0.27582518710560194</v>
      </c>
      <c r="AB99" s="13">
        <f>IF('Table S4'!AB80=0,"",'Table S4'!AB47/'Table S4'!AB80)</f>
        <v>-0.29009548257268242</v>
      </c>
      <c r="AC99" s="13">
        <f>IF('Table S4'!AC80=0,"",'Table S4'!AC47/'Table S4'!AC80)</f>
        <v>-0.28883708598253433</v>
      </c>
      <c r="AD99" s="13">
        <f>IF('Table S4'!AD80=0,"",'Table S4'!AD47/'Table S4'!AD80)</f>
        <v>-0.29058998849849366</v>
      </c>
      <c r="AE99" s="13">
        <f>IF('Table S4'!AE80=0,"",'Table S4'!AE47/'Table S4'!AE80)</f>
        <v>-0.31262112315751117</v>
      </c>
      <c r="AF99" s="13">
        <f>IF('Table S4'!AF80=0,"",'Table S4'!AF47/'Table S4'!AF80)</f>
        <v>-1.945352189658381</v>
      </c>
      <c r="AG99" s="13">
        <f>IF('Table S4'!AG80=0,"",'Table S4'!AG47/'Table S4'!AG80)</f>
        <v>-2.1099513561243346</v>
      </c>
      <c r="AH99" s="13">
        <f>IF('Table S4'!AH80=0,"",'Table S4'!AH47/'Table S4'!AH80)</f>
        <v>-2.873831674330106</v>
      </c>
      <c r="AI99" s="13">
        <f>IF('Table S4'!AI80=0,"",'Table S4'!AI47/'Table S4'!AI80)</f>
        <v>-4.470941823626986</v>
      </c>
      <c r="AJ99" s="13">
        <f>IF('Table S4'!AJ80=0,"",'Table S4'!AJ47/'Table S4'!AJ80)</f>
        <v>-4.3584314063574645</v>
      </c>
    </row>
    <row r="100" spans="2:36" x14ac:dyDescent="0.25">
      <c r="B100" s="12" t="s">
        <v>50</v>
      </c>
      <c r="C100" s="13">
        <f>IF('Table S4'!C68=0,"",'Table S4'!C35/'Table S4'!C68)</f>
        <v>-0.14427797299280223</v>
      </c>
      <c r="D100" s="13">
        <f>IF('Table S4'!D68=0,"",'Table S4'!D35/'Table S4'!D68)</f>
        <v>-0.1397268459016088</v>
      </c>
      <c r="E100" s="13">
        <f>IF('Table S4'!E68=0,"",'Table S4'!E35/'Table S4'!E68)</f>
        <v>-0.14017518183085553</v>
      </c>
      <c r="F100" s="13">
        <f>IF('Table S4'!F68=0,"",'Table S4'!F35/'Table S4'!F68)</f>
        <v>-0.14004839112864509</v>
      </c>
      <c r="G100" s="13">
        <f>IF('Table S4'!G68=0,"",'Table S4'!G35/'Table S4'!G68)</f>
        <v>-0.14412967280517441</v>
      </c>
      <c r="H100" s="13">
        <f>IF('Table S4'!H68=0,"",'Table S4'!H35/'Table S4'!H68)</f>
        <v>-0.14538743854724157</v>
      </c>
      <c r="I100" s="13">
        <f>IF('Table S4'!I68=0,"",'Table S4'!I35/'Table S4'!I68)</f>
        <v>-0.14343821665508702</v>
      </c>
      <c r="J100" s="13">
        <f>IF('Table S4'!J68=0,"",'Table S4'!J35/'Table S4'!J68)</f>
        <v>-0.14645271478906385</v>
      </c>
      <c r="K100" s="13">
        <f>IF('Table S4'!K68=0,"",'Table S4'!K35/'Table S4'!K68)</f>
        <v>-0.14352078271563304</v>
      </c>
      <c r="L100" s="13">
        <f>IF('Table S4'!L68=0,"",'Table S4'!L35/'Table S4'!L68)</f>
        <v>-0.14678946029911433</v>
      </c>
      <c r="M100" s="13">
        <f>IF('Table S4'!M68=0,"",'Table S4'!M35/'Table S4'!M68)</f>
        <v>-0.1525905407001</v>
      </c>
      <c r="N100" s="13">
        <f>IF('Table S4'!N68=0,"",'Table S4'!N35/'Table S4'!N68)</f>
        <v>-0.14923155636438662</v>
      </c>
      <c r="O100" s="13">
        <f>IF('Table S4'!O68=0,"",'Table S4'!O35/'Table S4'!O68)</f>
        <v>-0.14782480723802777</v>
      </c>
      <c r="P100" s="13">
        <f>IF('Table S4'!P68=0,"",'Table S4'!P35/'Table S4'!P68)</f>
        <v>-0.15054541580981481</v>
      </c>
      <c r="Q100" s="13">
        <f>IF('Table S4'!Q68=0,"",'Table S4'!Q35/'Table S4'!Q68)</f>
        <v>-0.14595937961649838</v>
      </c>
      <c r="R100" s="13">
        <f>IF('Table S4'!R68=0,"",'Table S4'!R35/'Table S4'!R68)</f>
        <v>-0.14258456442655901</v>
      </c>
      <c r="S100" s="13">
        <f>IF('Table S4'!S68=0,"",'Table S4'!S35/'Table S4'!S68)</f>
        <v>-0.13427819429263571</v>
      </c>
      <c r="T100" s="13">
        <f>IF('Table S4'!T68=0,"",'Table S4'!T35/'Table S4'!T68)</f>
        <v>-0.13326259673469656</v>
      </c>
      <c r="U100" s="13">
        <f>IF('Table S4'!U68=0,"",'Table S4'!U35/'Table S4'!U68)</f>
        <v>-0.12555852273165394</v>
      </c>
      <c r="V100" s="13">
        <f>IF('Table S4'!V68=0,"",'Table S4'!V35/'Table S4'!V68)</f>
        <v>-0.12095163374138586</v>
      </c>
      <c r="W100" s="13">
        <f>IF('Table S4'!W68=0,"",'Table S4'!W35/'Table S4'!W68)</f>
        <v>-0.12235222268553717</v>
      </c>
      <c r="X100" s="13">
        <f>IF('Table S4'!X68=0,"",'Table S4'!X35/'Table S4'!X68)</f>
        <v>-0.12449611532417897</v>
      </c>
      <c r="Y100" s="13">
        <f>IF('Table S4'!Y68=0,"",'Table S4'!Y35/'Table S4'!Y68)</f>
        <v>-0.13020302942809817</v>
      </c>
      <c r="Z100" s="13">
        <f>IF('Table S4'!Z68=0,"",'Table S4'!Z35/'Table S4'!Z68)</f>
        <v>-0.12408249588788146</v>
      </c>
      <c r="AA100" s="13">
        <f>IF('Table S4'!AA68=0,"",'Table S4'!AA35/'Table S4'!AA68)</f>
        <v>-0.12149109968468029</v>
      </c>
      <c r="AB100" s="13">
        <f>IF('Table S4'!AB68=0,"",'Table S4'!AB35/'Table S4'!AB68)</f>
        <v>-0.12283158532003514</v>
      </c>
      <c r="AC100" s="13">
        <f>IF('Table S4'!AC68=0,"",'Table S4'!AC35/'Table S4'!AC68)</f>
        <v>-0.12086216908929033</v>
      </c>
      <c r="AD100" s="13">
        <f>IF('Table S4'!AD68=0,"",'Table S4'!AD35/'Table S4'!AD68)</f>
        <v>-0.11709026012586024</v>
      </c>
      <c r="AE100" s="13">
        <f>IF('Table S4'!AE68=0,"",'Table S4'!AE35/'Table S4'!AE68)</f>
        <v>-0.11529379298443168</v>
      </c>
      <c r="AF100" s="13">
        <f>IF('Table S4'!AF68=0,"",'Table S4'!AF35/'Table S4'!AF68)</f>
        <v>-0.1127923813841412</v>
      </c>
      <c r="AG100" s="13">
        <f>IF('Table S4'!AG68=0,"",'Table S4'!AG35/'Table S4'!AG68)</f>
        <v>-0.1119837464043961</v>
      </c>
      <c r="AH100" s="13">
        <f>IF('Table S4'!AH68=0,"",'Table S4'!AH35/'Table S4'!AH68)</f>
        <v>-0.118246372973193</v>
      </c>
      <c r="AI100" s="13">
        <f>IF('Table S4'!AI68=0,"",'Table S4'!AI35/'Table S4'!AI68)</f>
        <v>-0.11592953880612886</v>
      </c>
      <c r="AJ100" s="13">
        <f>IF('Table S4'!AJ68=0,"",'Table S4'!AJ35/'Table S4'!AJ68)</f>
        <v>-0.11600158375157565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E306-AC02-47CE-85A4-DF17A2D7BB51}">
  <dimension ref="A1:AJ97"/>
  <sheetViews>
    <sheetView tabSelected="1" workbookViewId="0">
      <selection activeCell="E15" sqref="E15"/>
    </sheetView>
  </sheetViews>
  <sheetFormatPr baseColWidth="10" defaultColWidth="11.42578125" defaultRowHeight="15" x14ac:dyDescent="0.25"/>
  <sheetData>
    <row r="1" spans="1:36" x14ac:dyDescent="0.25">
      <c r="A1" t="s">
        <v>9</v>
      </c>
    </row>
    <row r="3" spans="1:36" x14ac:dyDescent="0.25">
      <c r="B3" s="6" t="s">
        <v>23</v>
      </c>
      <c r="C3" s="6">
        <v>1990</v>
      </c>
      <c r="D3" s="6">
        <v>1991</v>
      </c>
      <c r="E3" s="6">
        <v>1992</v>
      </c>
      <c r="F3" s="6">
        <v>1993</v>
      </c>
      <c r="G3" s="6">
        <v>1994</v>
      </c>
      <c r="H3" s="6">
        <v>1995</v>
      </c>
      <c r="I3" s="6">
        <v>1996</v>
      </c>
      <c r="J3" s="6">
        <v>1997</v>
      </c>
      <c r="K3" s="6">
        <v>1998</v>
      </c>
      <c r="L3" s="6">
        <v>1999</v>
      </c>
      <c r="M3" s="6">
        <v>2000</v>
      </c>
      <c r="N3" s="6">
        <v>2001</v>
      </c>
      <c r="O3" s="6">
        <v>2002</v>
      </c>
      <c r="P3" s="6">
        <v>2003</v>
      </c>
      <c r="Q3" s="6">
        <v>2004</v>
      </c>
      <c r="R3" s="6">
        <v>2005</v>
      </c>
      <c r="S3" s="6">
        <v>2006</v>
      </c>
      <c r="T3" s="6">
        <v>2007</v>
      </c>
      <c r="U3" s="6">
        <v>2008</v>
      </c>
      <c r="V3" s="6">
        <v>2009</v>
      </c>
      <c r="W3" s="6">
        <v>2010</v>
      </c>
      <c r="X3" s="6">
        <v>2011</v>
      </c>
      <c r="Y3" s="6">
        <v>2012</v>
      </c>
      <c r="Z3" s="6">
        <v>2013</v>
      </c>
      <c r="AA3" s="6">
        <v>2014</v>
      </c>
      <c r="AB3" s="6">
        <v>2015</v>
      </c>
      <c r="AC3" s="6">
        <v>2016</v>
      </c>
      <c r="AD3" s="6">
        <v>2017</v>
      </c>
      <c r="AE3" s="6">
        <v>2018</v>
      </c>
      <c r="AF3" s="6">
        <v>2019</v>
      </c>
      <c r="AG3" s="6">
        <v>2020</v>
      </c>
      <c r="AH3" s="6">
        <v>2021</v>
      </c>
      <c r="AI3" s="6">
        <v>2022</v>
      </c>
      <c r="AJ3" s="6">
        <v>2023</v>
      </c>
    </row>
    <row r="4" spans="1:36" x14ac:dyDescent="0.25">
      <c r="B4" t="s">
        <v>68</v>
      </c>
      <c r="C4" s="5">
        <f>SUM(C21,C25,C29,C30,C31,C32,C34,C36,C38,C41,C42,C43,C44)</f>
        <v>19767.785317436803</v>
      </c>
      <c r="D4" s="5">
        <f>SUM(D21,D25,D29,D30,D31,D32,D34,D36,D38,D41,D42,D43,D44)</f>
        <v>17926.376726193332</v>
      </c>
      <c r="E4" s="5">
        <f>SUM(E21,E25,E29,E30,E31,E32,E34,E36,E38,E41,E42,E43,E44)</f>
        <v>16828.552428842297</v>
      </c>
      <c r="F4" s="5">
        <f>SUM(F21,F25,F29,F30,F31,F32,F34,F36,F38,F41,F42,F43,F44)</f>
        <v>17512.290897473751</v>
      </c>
      <c r="G4" s="5">
        <f>SUM(G21,G25,G29,G30,G31,G32,G34,G36,G38,G41,G42,G43,G44)</f>
        <v>18530.466100105372</v>
      </c>
      <c r="H4" s="5">
        <f>SUM(H21,H25,H29,H30,H31,H32,H34,H36,H38,H41,H42,H43,H44)</f>
        <v>19191.715311782093</v>
      </c>
      <c r="I4" s="5">
        <f>SUM(I21,I25,I29,I30,I31,I32,I34,I36,I38,I41,I42,I43,I44)</f>
        <v>19243.191888697856</v>
      </c>
      <c r="J4" s="5">
        <f>SUM(J21,J25,J29,J30,J31,J32,J34,J36,J38,J41,J42,J43,J44)</f>
        <v>20607.898488315885</v>
      </c>
      <c r="K4" s="5">
        <f>SUM(K21,K25,K29,K30,K31,K32,K34,K36,K38,K41,K42,K43,K44)</f>
        <v>21274.699542850685</v>
      </c>
      <c r="L4" s="5">
        <f>SUM(L21,L25,L29,L30,L31,L32,L34,L36,L38,L41,L42,L43,L44)</f>
        <v>21831.039649886636</v>
      </c>
      <c r="M4" s="5">
        <f>SUM(M21,M25,M29,M30,M31,M32,M34,M36,M38,M41,M42,M43,M44)</f>
        <v>22744.369413939872</v>
      </c>
      <c r="N4" s="5">
        <f>SUM(N21,N25,N29,N30,N31,N32,N34,N36,N38,N41,N42,N43,N44)</f>
        <v>22105.385214790185</v>
      </c>
      <c r="O4" s="5">
        <f>SUM(O21,O25,O29,O30,O31,O32,O34,O36,O38,O41,O42,O43,O44)</f>
        <v>22582.27336774303</v>
      </c>
      <c r="P4" s="5">
        <f>SUM(P21,P25,P29,P30,P31,P32,P34,P36,P38,P41,P42,P43,P44)</f>
        <v>23517.5863764561</v>
      </c>
      <c r="Q4" s="5">
        <f>SUM(Q21,Q25,Q29,Q30,Q31,Q32,Q34,Q36,Q38,Q41,Q42,Q43,Q44)</f>
        <v>23894.786160305426</v>
      </c>
      <c r="R4" s="5">
        <f>SUM(R21,R25,R29,R30,R31,R32,R34,R36,R38,R41,R42,R43,R44)</f>
        <v>23331.912151932353</v>
      </c>
      <c r="S4" s="5">
        <f>SUM(S21,S25,S29,S30,S31,S32,S34,S36,S38,S41,S42,S43,S44)</f>
        <v>24560.511101266031</v>
      </c>
      <c r="T4" s="5">
        <f>SUM(T21,T25,T29,T30,T31,T32,T34,T36,T38,T41,T42,T43,T44)</f>
        <v>25659.77637254629</v>
      </c>
      <c r="U4" s="5">
        <f>SUM(U21,U25,U29,U30,U31,U32,U34,U36,U38,U41,U42,U43,U44)</f>
        <v>23983.633467272091</v>
      </c>
      <c r="V4" s="5">
        <f>SUM(V21,V25,V29,V30,V31,V32,V34,V36,V38,V41,V42,V43,V44)</f>
        <v>20786.550036310073</v>
      </c>
      <c r="W4" s="5">
        <f>SUM(W21,W25,W29,W30,W31,W32,W34,W36,W38,W41,W42,W43,W44)</f>
        <v>23234.112697306689</v>
      </c>
      <c r="X4" s="5">
        <f>SUM(X21,X25,X29,X30,X31,X32,X34,X36,X38,X41,X42,X43,X44)</f>
        <v>23345.608593138761</v>
      </c>
      <c r="Y4" s="5">
        <f>SUM(Y21,Y25,Y29,Y30,Y31,Y32,Y34,Y36,Y38,Y41,Y42,Y43,Y44)</f>
        <v>23257.741871575741</v>
      </c>
      <c r="Z4" s="5">
        <f>SUM(Z21,Z25,Z29,Z30,Z31,Z32,Z34,Z36,Z38,Z41,Z42,Z43,Z44)</f>
        <v>22773.421859665403</v>
      </c>
      <c r="AA4" s="5">
        <f>SUM(AA21,AA25,AA29,AA30,AA31,AA32,AA34,AA36,AA38,AA41,AA42,AA43,AA44)</f>
        <v>23083.395483125467</v>
      </c>
      <c r="AB4" s="5">
        <f>SUM(AB21,AB25,AB29,AB30,AB31,AB32,AB34,AB36,AB38,AB41,AB42,AB43,AB44)</f>
        <v>23339.274058452898</v>
      </c>
      <c r="AC4" s="5">
        <f>SUM(AC21,AC25,AC29,AC30,AC31,AC32,AC34,AC36,AC38,AC41,AC42,AC43,AC44)</f>
        <v>23751.01507274148</v>
      </c>
      <c r="AD4" s="5">
        <f>SUM(AD21,AD25,AD29,AD30,AD31,AD32,AD34,AD36,AD38,AD41,AD42,AD43,AD44)</f>
        <v>24369.719036908205</v>
      </c>
      <c r="AE4" s="5">
        <f>SUM(AE21,AE25,AE29,AE30,AE31,AE32,AE34,AE36,AE38,AE41,AE42,AE43,AE44)</f>
        <v>24291.369394663863</v>
      </c>
      <c r="AF4" s="5">
        <f>SUM(AF21,AF25,AF29,AF30,AF31,AF32,AF34,AF36,AF38,AF41,AF42,AF43,AF44)</f>
        <v>24424.748399444044</v>
      </c>
      <c r="AG4" s="5">
        <f>SUM(AG21,AG25,AG29,AG30,AG31,AG32,AG34,AG36,AG38,AG41,AG42,AG43,AG44)</f>
        <v>22769.083876968449</v>
      </c>
      <c r="AH4" s="5">
        <f>SUM(AH21,AH25,AH29,AH30,AH31,AH32,AH34,AH36,AH38,AH41,AH42,AH43,AH44)</f>
        <v>24727.00999252783</v>
      </c>
      <c r="AI4" s="5">
        <f>SUM(AI21,AI25,AI29,AI30,AI31,AI32,AI34,AI36,AI38,AI41,AI42,AI43,AI44)</f>
        <v>23773.397128901233</v>
      </c>
      <c r="AJ4" s="5">
        <f>SUM(AJ21,AJ25,AJ29,AJ30,AJ31,AJ32,AJ34,AJ36,AJ38,AJ41,AJ42,AJ43,AJ44)</f>
        <v>22558.270365533102</v>
      </c>
    </row>
    <row r="5" spans="1:36" x14ac:dyDescent="0.25">
      <c r="B5" t="s">
        <v>69</v>
      </c>
      <c r="C5" s="5">
        <f>SUM(C54,C58,C62,C63,C64,C65,C67,C69,C71,C74,C75,C76,C77)</f>
        <v>-99736.003897254224</v>
      </c>
      <c r="D5" s="5">
        <f>SUM(D54,D58,D62,D63,D64,D65,D67,D69,D71,D74,D75,D76,D77)</f>
        <v>-90585.334505385166</v>
      </c>
      <c r="E5" s="5">
        <f>SUM(E54,E58,E62,E63,E64,E65,E67,E69,E71,E74,E75,E76,E77)</f>
        <v>-93220.665820699607</v>
      </c>
      <c r="F5" s="5">
        <f>SUM(F54,F58,F62,F63,F64,F65,F67,F69,F71,F74,F75,F76,F77)</f>
        <v>-96678.861221784406</v>
      </c>
      <c r="G5" s="5">
        <f>SUM(G54,G58,G62,G63,G64,G65,G67,G69,G71,G74,G75,G76,G77)</f>
        <v>-99856.043065495905</v>
      </c>
      <c r="H5" s="5">
        <f>SUM(H54,H58,H62,H63,H64,H65,H67,H69,H71,H74,H75,H76,H77)</f>
        <v>-100422.39182154823</v>
      </c>
      <c r="I5" s="5">
        <f>SUM(I54,I58,I62,I63,I64,I65,I67,I69,I71,I74,I75,I76,I77)</f>
        <v>-99128.913496232431</v>
      </c>
      <c r="J5" s="5">
        <f>SUM(J54,J58,J62,J63,J64,J65,J67,J69,J71,J74,J75,J76,J77)</f>
        <v>-106434.46834772572</v>
      </c>
      <c r="K5" s="5">
        <f>SUM(K54,K58,K62,K63,K64,K65,K67,K69,K71,K74,K75,K76,K77)</f>
        <v>-108195.20165539939</v>
      </c>
      <c r="L5" s="5">
        <f>SUM(L54,L58,L62,L63,L64,L65,L67,L69,L71,L74,L75,L76,L77)</f>
        <v>-127799.32078596541</v>
      </c>
      <c r="M5" s="5">
        <f>SUM(M54,M58,M62,M63,M64,M65,M67,M69,M71,M74,M75,M76,M77)</f>
        <v>-114845.95597785663</v>
      </c>
      <c r="N5" s="5">
        <f>SUM(N54,N58,N62,N63,N64,N65,N67,N69,N71,N74,N75,N76,N77)</f>
        <v>-109490.70858592061</v>
      </c>
      <c r="O5" s="5">
        <f>SUM(O54,O58,O62,O63,O64,O65,O67,O69,O71,O74,O75,O76,O77)</f>
        <v>-109664.08388206681</v>
      </c>
      <c r="P5" s="5">
        <f>SUM(P54,P58,P62,P63,P64,P65,P67,P69,P71,P74,P75,P76,P77)</f>
        <v>-112588.46536020114</v>
      </c>
      <c r="Q5" s="5">
        <f>SUM(Q54,Q58,Q62,Q63,Q64,Q65,Q67,Q69,Q71,Q74,Q75,Q76,Q77)</f>
        <v>-112342.71614829121</v>
      </c>
      <c r="R5" s="5">
        <f>SUM(R54,R58,R62,R63,R64,R65,R67,R69,R71,R74,R75,R76,R77)</f>
        <v>-112261.72732707969</v>
      </c>
      <c r="S5" s="5">
        <f>SUM(S54,S58,S62,S63,S64,S65,S67,S69,S71,S74,S75,S76,S77)</f>
        <v>-112713.60589247388</v>
      </c>
      <c r="T5" s="5">
        <f>SUM(T54,T58,T62,T63,T64,T65,T67,T69,T71,T74,T75,T76,T77)</f>
        <v>-121674.33796289006</v>
      </c>
      <c r="U5" s="5">
        <f>SUM(U54,U58,U62,U63,U64,U65,U67,U69,U71,U74,U75,U76,U77)</f>
        <v>-114636.48507544446</v>
      </c>
      <c r="V5" s="5">
        <f>SUM(V54,V58,V62,V63,V64,V65,V67,V69,V71,V74,V75,V76,V77)</f>
        <v>-116215.01426801852</v>
      </c>
      <c r="W5" s="5">
        <f>SUM(W54,W58,W62,W63,W64,W65,W67,W69,W71,W74,W75,W76,W77)</f>
        <v>-118157.11394965953</v>
      </c>
      <c r="X5" s="5">
        <f>SUM(X54,X58,X62,X63,X64,X65,X67,X69,X71,X74,X75,X76,X77)</f>
        <v>-120414.70903826752</v>
      </c>
      <c r="Y5" s="5">
        <f>SUM(Y54,Y58,Y62,Y63,Y64,Y65,Y67,Y69,Y71,Y74,Y75,Y76,Y77)</f>
        <v>-119980.39513015552</v>
      </c>
      <c r="Z5" s="5">
        <f>SUM(Z54,Z58,Z62,Z63,Z64,Z65,Z67,Z69,Z71,Z74,Z75,Z76,Z77)</f>
        <v>-119266.7100741679</v>
      </c>
      <c r="AA5" s="5">
        <f>SUM(AA54,AA58,AA62,AA63,AA64,AA65,AA67,AA69,AA71,AA74,AA75,AA76,AA77)</f>
        <v>-122187.367181405</v>
      </c>
      <c r="AB5" s="5">
        <f>SUM(AB54,AB58,AB62,AB63,AB64,AB65,AB67,AB69,AB71,AB74,AB75,AB76,AB77)</f>
        <v>-124457.8320383203</v>
      </c>
      <c r="AC5" s="5">
        <f>SUM(AC54,AC58,AC62,AC63,AC64,AC65,AC67,AC69,AC71,AC74,AC75,AC76,AC77)</f>
        <v>-127497.56551966812</v>
      </c>
      <c r="AD5" s="5">
        <f>SUM(AD54,AD58,AD62,AD63,AD64,AD65,AD67,AD69,AD71,AD74,AD75,AD76,AD77)</f>
        <v>-136144.69951361371</v>
      </c>
      <c r="AE5" s="5">
        <f>SUM(AE54,AE58,AE62,AE63,AE64,AE65,AE67,AE69,AE71,AE74,AE75,AE76,AE77)</f>
        <v>-139246.00168284413</v>
      </c>
      <c r="AF5" s="5">
        <f>SUM(AF54,AF58,AF62,AF63,AF64,AF65,AF67,AF69,AF71,AF74,AF75,AF76,AF77)</f>
        <v>-141962.53887201558</v>
      </c>
      <c r="AG5" s="5">
        <f>SUM(AG54,AG58,AG62,AG63,AG64,AG65,AG67,AG69,AG71,AG74,AG75,AG76,AG77)</f>
        <v>-140817.24423948585</v>
      </c>
      <c r="AH5" s="5">
        <f>SUM(AH54,AH58,AH62,AH63,AH64,AH65,AH67,AH69,AH71,AH74,AH75,AH76,AH77)</f>
        <v>-145190.15292796108</v>
      </c>
      <c r="AI5" s="5">
        <f>SUM(AI54,AI58,AI62,AI63,AI64,AI65,AI67,AI69,AI71,AI74,AI75,AI76,AI77)</f>
        <v>-143877.08366996102</v>
      </c>
      <c r="AJ5" s="5">
        <f>SUM(AJ54,AJ58,AJ62,AJ63,AJ64,AJ65,AJ67,AJ69,AJ71,AJ74,AJ75,AJ76,AJ77)</f>
        <v>-137690.62652565201</v>
      </c>
    </row>
    <row r="6" spans="1:36" x14ac:dyDescent="0.25">
      <c r="B6" t="s">
        <v>70</v>
      </c>
      <c r="C6" s="5">
        <f>C4/C5</f>
        <v>-0.19820109634431643</v>
      </c>
      <c r="D6" s="5">
        <f t="shared" ref="D6:AJ6" si="0">D4/D5</f>
        <v>-0.19789491118043656</v>
      </c>
      <c r="E6" s="5">
        <f t="shared" si="0"/>
        <v>-0.18052383857899376</v>
      </c>
      <c r="F6" s="5">
        <f t="shared" si="0"/>
        <v>-0.18113877921358626</v>
      </c>
      <c r="G6" s="5">
        <f t="shared" si="0"/>
        <v>-0.18557180448209007</v>
      </c>
      <c r="H6" s="5">
        <f t="shared" si="0"/>
        <v>-0.19110992044369943</v>
      </c>
      <c r="I6" s="5">
        <f t="shared" si="0"/>
        <v>-0.19412289724560763</v>
      </c>
      <c r="J6" s="5">
        <f t="shared" si="0"/>
        <v>-0.19362053297423393</v>
      </c>
      <c r="K6" s="5">
        <f t="shared" si="0"/>
        <v>-0.19663256056964878</v>
      </c>
      <c r="L6" s="5">
        <f t="shared" si="0"/>
        <v>-0.17082281435946461</v>
      </c>
      <c r="M6" s="5">
        <f t="shared" si="0"/>
        <v>-0.19804240576242144</v>
      </c>
      <c r="N6" s="5">
        <f t="shared" si="0"/>
        <v>-0.20189279529087559</v>
      </c>
      <c r="O6" s="5">
        <f t="shared" si="0"/>
        <v>-0.2059222360534019</v>
      </c>
      <c r="P6" s="5">
        <f t="shared" si="0"/>
        <v>-0.20888095686549188</v>
      </c>
      <c r="Q6" s="5">
        <f t="shared" si="0"/>
        <v>-0.21269546419693608</v>
      </c>
      <c r="R6" s="5">
        <f t="shared" si="0"/>
        <v>-0.20783496484027683</v>
      </c>
      <c r="S6" s="5">
        <f t="shared" si="0"/>
        <v>-0.21790191970875442</v>
      </c>
      <c r="T6" s="5">
        <f t="shared" si="0"/>
        <v>-0.21088897463631459</v>
      </c>
      <c r="U6" s="5">
        <f t="shared" si="0"/>
        <v>-0.20921466190705346</v>
      </c>
      <c r="V6" s="5">
        <f t="shared" si="0"/>
        <v>-0.17886286180175923</v>
      </c>
      <c r="W6" s="5">
        <f t="shared" si="0"/>
        <v>-0.19663744247515652</v>
      </c>
      <c r="X6" s="5">
        <f t="shared" si="0"/>
        <v>-0.1938767180487857</v>
      </c>
      <c r="Y6" s="5">
        <f t="shared" si="0"/>
        <v>-0.19384618500668871</v>
      </c>
      <c r="Z6" s="5">
        <f t="shared" si="0"/>
        <v>-0.19094533458249488</v>
      </c>
      <c r="AA6" s="5">
        <f t="shared" si="0"/>
        <v>-0.18891802005075364</v>
      </c>
      <c r="AB6" s="5">
        <f t="shared" si="0"/>
        <v>-0.18752756396453046</v>
      </c>
      <c r="AC6" s="5">
        <f t="shared" si="0"/>
        <v>-0.18628602809735675</v>
      </c>
      <c r="AD6" s="5">
        <f t="shared" si="0"/>
        <v>-0.17899866189407815</v>
      </c>
      <c r="AE6" s="5">
        <f t="shared" si="0"/>
        <v>-0.17444931345311793</v>
      </c>
      <c r="AF6" s="5">
        <f t="shared" si="0"/>
        <v>-0.17205065923386909</v>
      </c>
      <c r="AG6" s="5">
        <f t="shared" si="0"/>
        <v>-0.16169244043893799</v>
      </c>
      <c r="AH6" s="5">
        <f t="shared" si="0"/>
        <v>-0.17030776188242336</v>
      </c>
      <c r="AI6" s="5">
        <f t="shared" si="0"/>
        <v>-0.16523407705034471</v>
      </c>
      <c r="AJ6" s="5">
        <f t="shared" si="0"/>
        <v>-0.16383301416186422</v>
      </c>
    </row>
    <row r="7" spans="1:36" x14ac:dyDescent="0.2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36" x14ac:dyDescent="0.25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x14ac:dyDescent="0.2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x14ac:dyDescent="0.25">
      <c r="B10" s="11" t="s">
        <v>23</v>
      </c>
      <c r="C10" s="11" t="s">
        <v>63</v>
      </c>
      <c r="D10" s="11" t="s">
        <v>64</v>
      </c>
      <c r="E10" s="11" t="s">
        <v>65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x14ac:dyDescent="0.25">
      <c r="B11" s="12" t="s">
        <v>70</v>
      </c>
      <c r="C11" s="13">
        <f>AVERAGE(C6:U6)</f>
        <v>-0.19804808077124228</v>
      </c>
      <c r="D11" s="13">
        <f>AVERAGE(V6:AD6)</f>
        <v>-0.18843320176906714</v>
      </c>
      <c r="E11" s="13">
        <f>AVERAGE(AE6:AJ6)</f>
        <v>-0.16792787770342621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x14ac:dyDescent="0.2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x14ac:dyDescent="0.2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x14ac:dyDescent="0.2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x14ac:dyDescent="0.2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 x14ac:dyDescent="0.2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8" spans="2:36" ht="15.75" x14ac:dyDescent="0.25">
      <c r="C18" s="9" t="s">
        <v>21</v>
      </c>
      <c r="D18" s="10"/>
      <c r="E18" s="10"/>
      <c r="F18" s="10"/>
      <c r="G18" s="10"/>
    </row>
    <row r="19" spans="2:36" x14ac:dyDescent="0.25">
      <c r="B19" t="s">
        <v>66</v>
      </c>
    </row>
    <row r="20" spans="2:36" s="6" customFormat="1" x14ac:dyDescent="0.25">
      <c r="B20" s="6" t="s">
        <v>23</v>
      </c>
      <c r="C20" s="6">
        <v>1990</v>
      </c>
      <c r="D20" s="6">
        <v>1991</v>
      </c>
      <c r="E20" s="6">
        <v>1992</v>
      </c>
      <c r="F20" s="6">
        <v>1993</v>
      </c>
      <c r="G20" s="6">
        <v>1994</v>
      </c>
      <c r="H20" s="6">
        <v>1995</v>
      </c>
      <c r="I20" s="6">
        <v>1996</v>
      </c>
      <c r="J20" s="6">
        <v>1997</v>
      </c>
      <c r="K20" s="6">
        <v>1998</v>
      </c>
      <c r="L20" s="6">
        <v>1999</v>
      </c>
      <c r="M20" s="6">
        <v>2000</v>
      </c>
      <c r="N20" s="6">
        <v>2001</v>
      </c>
      <c r="O20" s="6">
        <v>2002</v>
      </c>
      <c r="P20" s="6">
        <v>2003</v>
      </c>
      <c r="Q20" s="6">
        <v>2004</v>
      </c>
      <c r="R20" s="6">
        <v>2005</v>
      </c>
      <c r="S20" s="6">
        <v>2006</v>
      </c>
      <c r="T20" s="6">
        <v>2007</v>
      </c>
      <c r="U20" s="6">
        <v>2008</v>
      </c>
      <c r="V20" s="6">
        <v>2009</v>
      </c>
      <c r="W20" s="6">
        <v>2010</v>
      </c>
      <c r="X20" s="6">
        <v>2011</v>
      </c>
      <c r="Y20" s="6">
        <v>2012</v>
      </c>
      <c r="Z20" s="6">
        <v>2013</v>
      </c>
      <c r="AA20" s="6">
        <v>2014</v>
      </c>
      <c r="AB20" s="6">
        <v>2015</v>
      </c>
      <c r="AC20" s="6">
        <v>2016</v>
      </c>
      <c r="AD20" s="6">
        <v>2017</v>
      </c>
      <c r="AE20" s="6">
        <v>2018</v>
      </c>
      <c r="AF20" s="6">
        <v>2019</v>
      </c>
      <c r="AG20" s="6">
        <v>2020</v>
      </c>
      <c r="AH20" s="6">
        <v>2021</v>
      </c>
      <c r="AI20" s="6">
        <v>2022</v>
      </c>
      <c r="AJ20" s="6">
        <v>2023</v>
      </c>
    </row>
    <row r="21" spans="2:36" x14ac:dyDescent="0.25">
      <c r="B21" t="s">
        <v>24</v>
      </c>
      <c r="C21" s="7">
        <f>'pivot tables'!D40</f>
        <v>2434.6330859527739</v>
      </c>
      <c r="D21" s="7">
        <f>'pivot tables'!E40</f>
        <v>2192.7339316249231</v>
      </c>
      <c r="E21" s="7">
        <f>'pivot tables'!F40</f>
        <v>2144.256775218199</v>
      </c>
      <c r="F21" s="7">
        <f>'pivot tables'!G40</f>
        <v>2115.4446505179999</v>
      </c>
      <c r="G21" s="7">
        <f>'pivot tables'!H40</f>
        <v>2401.4301606228878</v>
      </c>
      <c r="H21" s="7">
        <f>'pivot tables'!I40</f>
        <v>2431.899379220401</v>
      </c>
      <c r="I21" s="7">
        <f>'pivot tables'!J40</f>
        <v>2576.1842971060928</v>
      </c>
      <c r="J21" s="7">
        <f>'pivot tables'!K40</f>
        <v>2532.8888200968609</v>
      </c>
      <c r="K21" s="7">
        <f>'pivot tables'!L40</f>
        <v>2535.269938837127</v>
      </c>
      <c r="L21" s="7">
        <f>'pivot tables'!M40</f>
        <v>2367.8541480150211</v>
      </c>
      <c r="M21" s="7">
        <f>'pivot tables'!N40</f>
        <v>2350.8866081459742</v>
      </c>
      <c r="N21" s="7">
        <f>'pivot tables'!O40</f>
        <v>2583.1911960648108</v>
      </c>
      <c r="O21" s="7">
        <f>'pivot tables'!P40</f>
        <v>2870.710929082014</v>
      </c>
      <c r="P21" s="7">
        <f>'pivot tables'!Q40</f>
        <v>3087.970279646981</v>
      </c>
      <c r="Q21" s="7">
        <f>'pivot tables'!R40</f>
        <v>2928.8892560355148</v>
      </c>
      <c r="R21" s="7">
        <f>'pivot tables'!S40</f>
        <v>2971.7204240307028</v>
      </c>
      <c r="S21" s="7">
        <f>'pivot tables'!T40</f>
        <v>3113.1908171614318</v>
      </c>
      <c r="T21" s="7">
        <f>'pivot tables'!U40</f>
        <v>3518.0060369905368</v>
      </c>
      <c r="U21" s="7">
        <f>'pivot tables'!V40</f>
        <v>3513.170964860748</v>
      </c>
      <c r="V21" s="7">
        <f>'pivot tables'!W40</f>
        <v>2542.0163649290821</v>
      </c>
      <c r="W21" s="7">
        <f>'pivot tables'!X40</f>
        <v>2900.9499297366201</v>
      </c>
      <c r="X21" s="7">
        <f>'pivot tables'!Y40</f>
        <v>2987.8829726904769</v>
      </c>
      <c r="Y21" s="7">
        <f>'pivot tables'!Z40</f>
        <v>2832.5210735234359</v>
      </c>
      <c r="Z21" s="7">
        <f>'pivot tables'!AA40</f>
        <v>2577.8639653522409</v>
      </c>
      <c r="AA21" s="7">
        <f>'pivot tables'!AB40</f>
        <v>2629.0778104531241</v>
      </c>
      <c r="AB21" s="7">
        <f>'pivot tables'!AC40</f>
        <v>2588.2771659965078</v>
      </c>
      <c r="AC21" s="7">
        <f>'pivot tables'!AD40</f>
        <v>2544.3233187343408</v>
      </c>
      <c r="AD21" s="7">
        <f>'pivot tables'!AE40</f>
        <v>2697.8241010188049</v>
      </c>
      <c r="AE21" s="7">
        <f>'pivot tables'!AF40</f>
        <v>2777.192913177531</v>
      </c>
      <c r="AF21" s="7">
        <f>'pivot tables'!AG40</f>
        <v>2650.869571810942</v>
      </c>
      <c r="AG21" s="7">
        <f>'pivot tables'!AH40</f>
        <v>2266.1231554318051</v>
      </c>
      <c r="AH21" s="7">
        <f>'pivot tables'!AI40</f>
        <v>2743.876133261389</v>
      </c>
      <c r="AI21" s="7">
        <f>'pivot tables'!AJ40</f>
        <v>2799.2128974952338</v>
      </c>
      <c r="AJ21" s="7">
        <f>'pivot tables'!AK40</f>
        <v>2439.2183972326188</v>
      </c>
    </row>
    <row r="22" spans="2:36" x14ac:dyDescent="0.25">
      <c r="B22" t="s">
        <v>25</v>
      </c>
      <c r="C22" s="8">
        <f>'pivot tables'!D41/1000</f>
        <v>707.66052926398902</v>
      </c>
      <c r="D22" s="8">
        <f>'pivot tables'!E41/1000</f>
        <v>607.99958788157301</v>
      </c>
      <c r="E22" s="8">
        <f>'pivot tables'!F41/1000</f>
        <v>574.43589751120521</v>
      </c>
      <c r="F22" s="8">
        <f>'pivot tables'!G41/1000</f>
        <v>590.77557170853402</v>
      </c>
      <c r="G22" s="8">
        <f>'pivot tables'!H41/1000</f>
        <v>534.91040163293701</v>
      </c>
      <c r="H22" s="8">
        <f>'pivot tables'!I41/1000</f>
        <v>610.10187167503898</v>
      </c>
      <c r="I22" s="8">
        <f>'pivot tables'!J41/1000</f>
        <v>678.75524580885542</v>
      </c>
      <c r="J22" s="8">
        <f>'pivot tables'!K41/1000</f>
        <v>563.270970074709</v>
      </c>
      <c r="K22" s="8">
        <f>'pivot tables'!L41/1000</f>
        <v>726.04207701436212</v>
      </c>
      <c r="L22" s="8">
        <f>'pivot tables'!M41/1000</f>
        <v>593.64199074065698</v>
      </c>
      <c r="M22" s="8">
        <f>'pivot tables'!N41/1000</f>
        <v>465.194473903318</v>
      </c>
      <c r="N22" s="8">
        <f>'pivot tables'!O41/1000</f>
        <v>407.16331890790201</v>
      </c>
      <c r="O22" s="8">
        <f>'pivot tables'!P41/1000</f>
        <v>599.09242369220999</v>
      </c>
      <c r="P22" s="8">
        <f>'pivot tables'!Q41/1000</f>
        <v>573.14313003296104</v>
      </c>
      <c r="Q22" s="8">
        <f>'pivot tables'!R41/1000</f>
        <v>538.21617727028604</v>
      </c>
      <c r="R22" s="8">
        <f>'pivot tables'!S41/1000</f>
        <v>563.16840036549604</v>
      </c>
      <c r="S22" s="8">
        <f>'pivot tables'!T41/1000</f>
        <v>562.70000332362508</v>
      </c>
      <c r="T22" s="8">
        <f>'pivot tables'!U41/1000</f>
        <v>485.21198658621103</v>
      </c>
      <c r="U22" s="8">
        <f>'pivot tables'!V41/1000</f>
        <v>471.30975266726296</v>
      </c>
      <c r="V22" s="8">
        <f>'pivot tables'!W41/1000</f>
        <v>428.33396122738702</v>
      </c>
      <c r="W22" s="8">
        <f>'pivot tables'!X41/1000</f>
        <v>356.143053763034</v>
      </c>
      <c r="X22" s="8">
        <f>'pivot tables'!Y41/1000</f>
        <v>343.20484533544402</v>
      </c>
      <c r="Y22" s="8">
        <f>'pivot tables'!Z41/1000</f>
        <v>338.56345406341001</v>
      </c>
      <c r="Z22" s="8">
        <f>'pivot tables'!AA41/1000</f>
        <v>379.57596795155496</v>
      </c>
      <c r="AA22" s="8">
        <f>'pivot tables'!AB41/1000</f>
        <v>392.17133844818102</v>
      </c>
      <c r="AB22" s="8">
        <f>'pivot tables'!AC41/1000</f>
        <v>407.20685302121302</v>
      </c>
      <c r="AC22" s="8">
        <f>'pivot tables'!AD41/1000</f>
        <v>402.42859437397999</v>
      </c>
      <c r="AD22" s="8">
        <f>'pivot tables'!AE41/1000</f>
        <v>368.02713052504498</v>
      </c>
      <c r="AE22" s="8">
        <f>'pivot tables'!AF41/1000</f>
        <v>366.48180949463188</v>
      </c>
      <c r="AF22" s="8">
        <f>'pivot tables'!AG41/1000</f>
        <v>335.15126549383604</v>
      </c>
      <c r="AG22" s="8">
        <f>'pivot tables'!AH41/1000</f>
        <v>332.28229747231325</v>
      </c>
      <c r="AH22" s="8">
        <f>'pivot tables'!AI41/1000</f>
        <v>316.51053746958894</v>
      </c>
      <c r="AI22" s="8">
        <f>'pivot tables'!AJ41/1000</f>
        <v>367.34726861425514</v>
      </c>
      <c r="AJ22" s="8">
        <f>'pivot tables'!AK41/1000</f>
        <v>311.79670032291301</v>
      </c>
    </row>
    <row r="23" spans="2:36" x14ac:dyDescent="0.25">
      <c r="B23" t="s">
        <v>26</v>
      </c>
      <c r="C23" s="7">
        <f>'pivot tables'!D42</f>
        <v>451.8798615393307</v>
      </c>
      <c r="D23" s="7">
        <f>'pivot tables'!E42</f>
        <v>417.03693642205309</v>
      </c>
      <c r="E23" s="7">
        <f>'pivot tables'!F42</f>
        <v>209.5983641910436</v>
      </c>
      <c r="F23" s="7">
        <f>'pivot tables'!G42</f>
        <v>179.68790555845871</v>
      </c>
      <c r="G23" s="7">
        <f>'pivot tables'!H42</f>
        <v>184.53622380395669</v>
      </c>
      <c r="H23" s="7">
        <f>'pivot tables'!I42</f>
        <v>191.98069688354951</v>
      </c>
      <c r="I23" s="7">
        <f>'pivot tables'!J42</f>
        <v>220.47092426208869</v>
      </c>
      <c r="J23" s="7">
        <f>'pivot tables'!K42</f>
        <v>238.97271830640929</v>
      </c>
      <c r="K23" s="7">
        <f>'pivot tables'!L42</f>
        <v>216.20317228324831</v>
      </c>
      <c r="L23" s="7">
        <f>'pivot tables'!M42</f>
        <v>275.61230319257601</v>
      </c>
      <c r="M23" s="7">
        <f>'pivot tables'!N42</f>
        <v>348.65891448119231</v>
      </c>
      <c r="N23" s="7">
        <f>'pivot tables'!O42</f>
        <v>370.78756609510862</v>
      </c>
      <c r="O23" s="7">
        <f>'pivot tables'!P42</f>
        <v>411.45925540433478</v>
      </c>
      <c r="P23" s="7">
        <f>'pivot tables'!Q42</f>
        <v>407.97075527016739</v>
      </c>
      <c r="Q23" s="7">
        <f>'pivot tables'!R42</f>
        <v>541.78989918696959</v>
      </c>
      <c r="R23" s="7">
        <f>'pivot tables'!S42</f>
        <v>595.96874979595748</v>
      </c>
      <c r="S23" s="7">
        <f>'pivot tables'!T42</f>
        <v>597.90055351683191</v>
      </c>
      <c r="T23" s="7">
        <f>'pivot tables'!U42</f>
        <v>835.96569466809308</v>
      </c>
      <c r="U23" s="7">
        <f>'pivot tables'!V42</f>
        <v>631.68311324926856</v>
      </c>
      <c r="V23" s="7">
        <f>'pivot tables'!W42</f>
        <v>622.41151931194963</v>
      </c>
      <c r="W23" s="7">
        <f>'pivot tables'!X42</f>
        <v>652.90107006499829</v>
      </c>
      <c r="X23" s="7">
        <f>'pivot tables'!Y42</f>
        <v>748.75846689399316</v>
      </c>
      <c r="Y23" s="7">
        <f>'pivot tables'!Z42</f>
        <v>750.2338749673313</v>
      </c>
      <c r="Z23" s="7">
        <f>'pivot tables'!AA42</f>
        <v>733.7517494398536</v>
      </c>
      <c r="AA23" s="7">
        <f>'pivot tables'!AB42</f>
        <v>756.75754297675508</v>
      </c>
      <c r="AB23" s="7">
        <f>'pivot tables'!AC42</f>
        <v>845.82662505705616</v>
      </c>
      <c r="AC23" s="7">
        <f>'pivot tables'!AD42</f>
        <v>752.47079702667372</v>
      </c>
      <c r="AD23" s="7">
        <f>'pivot tables'!AE42</f>
        <v>831.20354857054406</v>
      </c>
      <c r="AE23" s="7">
        <f>'pivot tables'!AF42</f>
        <v>824.2012624056149</v>
      </c>
      <c r="AF23" s="7">
        <f>'pivot tables'!AG42</f>
        <v>788.03522114290877</v>
      </c>
      <c r="AG23" s="7">
        <f>'pivot tables'!AH42</f>
        <v>853.03894810900442</v>
      </c>
      <c r="AH23" s="7">
        <f>'pivot tables'!AI42</f>
        <v>865.71945658578238</v>
      </c>
      <c r="AI23" s="7">
        <f>'pivot tables'!AJ42</f>
        <v>827.33140900206729</v>
      </c>
      <c r="AJ23" s="7">
        <f>'pivot tables'!AK42</f>
        <v>911.84213725725613</v>
      </c>
    </row>
    <row r="24" spans="2:36" x14ac:dyDescent="0.25">
      <c r="B24" t="s">
        <v>27</v>
      </c>
      <c r="C24" s="7">
        <f>'pivot tables'!D43</f>
        <v>0</v>
      </c>
      <c r="D24" s="7">
        <f>'pivot tables'!E43</f>
        <v>0</v>
      </c>
      <c r="E24" s="7">
        <f>'pivot tables'!F43</f>
        <v>0</v>
      </c>
      <c r="F24" s="7">
        <f>'pivot tables'!G43</f>
        <v>0</v>
      </c>
      <c r="G24" s="7">
        <f>'pivot tables'!H43</f>
        <v>0</v>
      </c>
      <c r="H24" s="7">
        <f>'pivot tables'!I43</f>
        <v>0</v>
      </c>
      <c r="I24" s="7">
        <f>'pivot tables'!J43</f>
        <v>0</v>
      </c>
      <c r="J24" s="7">
        <f>'pivot tables'!K43</f>
        <v>0</v>
      </c>
      <c r="K24" s="7">
        <f>'pivot tables'!L43</f>
        <v>0</v>
      </c>
      <c r="L24" s="7">
        <f>'pivot tables'!M43</f>
        <v>0</v>
      </c>
      <c r="M24" s="7">
        <f>'pivot tables'!N43</f>
        <v>0</v>
      </c>
      <c r="N24" s="7">
        <f>'pivot tables'!O43</f>
        <v>0</v>
      </c>
      <c r="O24" s="7">
        <f>'pivot tables'!P43</f>
        <v>0</v>
      </c>
      <c r="P24" s="7">
        <f>'pivot tables'!Q43</f>
        <v>0</v>
      </c>
      <c r="Q24" s="7">
        <f>'pivot tables'!R43</f>
        <v>0</v>
      </c>
      <c r="R24" s="7">
        <f>'pivot tables'!S43</f>
        <v>0</v>
      </c>
      <c r="S24" s="7">
        <f>'pivot tables'!T43</f>
        <v>0</v>
      </c>
      <c r="T24" s="7">
        <f>'pivot tables'!U43</f>
        <v>0</v>
      </c>
      <c r="U24" s="7">
        <f>'pivot tables'!V43</f>
        <v>0</v>
      </c>
      <c r="V24" s="7">
        <f>'pivot tables'!W43</f>
        <v>0</v>
      </c>
      <c r="W24" s="7">
        <f>'pivot tables'!X43</f>
        <v>0</v>
      </c>
      <c r="X24" s="7">
        <f>'pivot tables'!Y43</f>
        <v>0</v>
      </c>
      <c r="Y24" s="7">
        <f>'pivot tables'!Z43</f>
        <v>0</v>
      </c>
      <c r="Z24" s="7">
        <f>'pivot tables'!AA43</f>
        <v>0</v>
      </c>
      <c r="AA24" s="7">
        <f>'pivot tables'!AB43</f>
        <v>0</v>
      </c>
      <c r="AB24" s="7">
        <f>'pivot tables'!AC43</f>
        <v>0</v>
      </c>
      <c r="AC24" s="7">
        <f>'pivot tables'!AD43</f>
        <v>0</v>
      </c>
      <c r="AD24" s="7">
        <f>'pivot tables'!AE43</f>
        <v>0</v>
      </c>
      <c r="AE24" s="7">
        <f>'pivot tables'!AF43</f>
        <v>0</v>
      </c>
      <c r="AF24" s="7">
        <f>'pivot tables'!AG43</f>
        <v>0</v>
      </c>
      <c r="AG24" s="7">
        <f>'pivot tables'!AH43</f>
        <v>0</v>
      </c>
      <c r="AH24" s="7">
        <f>'pivot tables'!AI43</f>
        <v>0</v>
      </c>
      <c r="AI24" s="7">
        <f>'pivot tables'!AJ43</f>
        <v>0</v>
      </c>
      <c r="AJ24" s="7">
        <f>'pivot tables'!AK43</f>
        <v>0</v>
      </c>
    </row>
    <row r="25" spans="2:36" x14ac:dyDescent="0.25">
      <c r="B25" t="s">
        <v>28</v>
      </c>
      <c r="C25" s="7">
        <f>'pivot tables'!D44</f>
        <v>1472.6176455806601</v>
      </c>
      <c r="D25" s="7">
        <f>'pivot tables'!E44</f>
        <v>1105.605920881608</v>
      </c>
      <c r="E25" s="7">
        <f>'pivot tables'!F44</f>
        <v>783.7800767965191</v>
      </c>
      <c r="F25" s="7">
        <f>'pivot tables'!G44</f>
        <v>1044.977261524999</v>
      </c>
      <c r="G25" s="7">
        <f>'pivot tables'!H44</f>
        <v>1073.1231715497199</v>
      </c>
      <c r="H25" s="7">
        <f>'pivot tables'!I44</f>
        <v>1179.9398841257771</v>
      </c>
      <c r="I25" s="7">
        <f>'pivot tables'!J44</f>
        <v>1161.0180080017769</v>
      </c>
      <c r="J25" s="7">
        <f>'pivot tables'!K44</f>
        <v>1179.1346332766971</v>
      </c>
      <c r="K25" s="7">
        <f>'pivot tables'!L44</f>
        <v>1132.3678869070809</v>
      </c>
      <c r="L25" s="7">
        <f>'pivot tables'!M44</f>
        <v>1170.544343781932</v>
      </c>
      <c r="M25" s="7">
        <f>'pivot tables'!N44</f>
        <v>1307.764238198376</v>
      </c>
      <c r="N25" s="7">
        <f>'pivot tables'!O44</f>
        <v>1302.0531890955399</v>
      </c>
      <c r="O25" s="7">
        <f>'pivot tables'!P44</f>
        <v>1285.845831828156</v>
      </c>
      <c r="P25" s="7">
        <f>'pivot tables'!Q44</f>
        <v>1404.116858966431</v>
      </c>
      <c r="Q25" s="7">
        <f>'pivot tables'!R44</f>
        <v>1438.016164245947</v>
      </c>
      <c r="R25" s="7">
        <f>'pivot tables'!S44</f>
        <v>1420.171208388557</v>
      </c>
      <c r="S25" s="7">
        <f>'pivot tables'!T44</f>
        <v>1705.706348584107</v>
      </c>
      <c r="T25" s="7">
        <f>'pivot tables'!U44</f>
        <v>1867.589032705444</v>
      </c>
      <c r="U25" s="7">
        <f>'pivot tables'!V44</f>
        <v>1643.899859922665</v>
      </c>
      <c r="V25" s="7">
        <f>'pivot tables'!W44</f>
        <v>1370.1662800818351</v>
      </c>
      <c r="W25" s="7">
        <f>'pivot tables'!X44</f>
        <v>1524.081026455475</v>
      </c>
      <c r="X25" s="7">
        <f>'pivot tables'!Y44</f>
        <v>1345.1081084879261</v>
      </c>
      <c r="Y25" s="7">
        <f>'pivot tables'!Z44</f>
        <v>1267.5208930063479</v>
      </c>
      <c r="Z25" s="7">
        <f>'pivot tables'!AA44</f>
        <v>1099.3590599525869</v>
      </c>
      <c r="AA25" s="7">
        <f>'pivot tables'!AB44</f>
        <v>1072.66822615454</v>
      </c>
      <c r="AB25" s="7">
        <f>'pivot tables'!AC44</f>
        <v>1174.0745144532141</v>
      </c>
      <c r="AC25" s="7">
        <f>'pivot tables'!AD44</f>
        <v>1267.667718190922</v>
      </c>
      <c r="AD25" s="7">
        <f>'pivot tables'!AE44</f>
        <v>1346.469159929371</v>
      </c>
      <c r="AE25" s="7">
        <f>'pivot tables'!AF44</f>
        <v>1461.3197612290051</v>
      </c>
      <c r="AF25" s="7">
        <f>'pivot tables'!AG44</f>
        <v>1584.4507809879681</v>
      </c>
      <c r="AG25" s="7">
        <f>'pivot tables'!AH44</f>
        <v>1874.3346886127561</v>
      </c>
      <c r="AH25" s="7">
        <f>'pivot tables'!AI44</f>
        <v>1788.3415570900499</v>
      </c>
      <c r="AI25" s="7">
        <f>'pivot tables'!AJ44</f>
        <v>1695.036356408951</v>
      </c>
      <c r="AJ25" s="7">
        <f>'pivot tables'!AK44</f>
        <v>1506.155946543799</v>
      </c>
    </row>
    <row r="26" spans="2:36" x14ac:dyDescent="0.25">
      <c r="B26" t="s">
        <v>29</v>
      </c>
      <c r="C26" s="7">
        <f>'pivot tables'!D45</f>
        <v>7114.3214574000003</v>
      </c>
      <c r="D26" s="7">
        <f>'pivot tables'!E45</f>
        <v>6659.1366575000011</v>
      </c>
      <c r="E26" s="7">
        <f>'pivot tables'!F45</f>
        <v>6857.3204680999997</v>
      </c>
      <c r="F26" s="7">
        <f>'pivot tables'!G45</f>
        <v>6672.0534614999997</v>
      </c>
      <c r="G26" s="7">
        <f>'pivot tables'!H45</f>
        <v>7673.2886800999986</v>
      </c>
      <c r="H26" s="7">
        <f>'pivot tables'!I45</f>
        <v>7799.0741863000003</v>
      </c>
      <c r="I26" s="7">
        <f>'pivot tables'!J45</f>
        <v>8090.623603</v>
      </c>
      <c r="J26" s="7">
        <f>'pivot tables'!K45</f>
        <v>8289.9201274999996</v>
      </c>
      <c r="K26" s="7">
        <f>'pivot tables'!L45</f>
        <v>8639.2282075000003</v>
      </c>
      <c r="L26" s="7">
        <f>'pivot tables'!M45</f>
        <v>8985.2096633000001</v>
      </c>
      <c r="M26" s="7">
        <f>'pivot tables'!N45</f>
        <v>10067.122196</v>
      </c>
      <c r="N26" s="7">
        <f>'pivot tables'!O45</f>
        <v>9971.7677559000003</v>
      </c>
      <c r="O26" s="7">
        <f>'pivot tables'!P45</f>
        <v>10958.74574</v>
      </c>
      <c r="P26" s="7">
        <f>'pivot tables'!Q45</f>
        <v>11410.561803000001</v>
      </c>
      <c r="Q26" s="7">
        <f>'pivot tables'!R45</f>
        <v>12682.802476999999</v>
      </c>
      <c r="R26" s="7">
        <f>'pivot tables'!S45</f>
        <v>13871.262111</v>
      </c>
      <c r="S26" s="7">
        <f>'pivot tables'!T45</f>
        <v>14054.668385000001</v>
      </c>
      <c r="T26" s="7">
        <f>'pivot tables'!U45</f>
        <v>15335.567902000001</v>
      </c>
      <c r="U26" s="7">
        <f>'pivot tables'!V45</f>
        <v>12937.725793</v>
      </c>
      <c r="V26" s="7">
        <f>'pivot tables'!W45</f>
        <v>12350.545722000001</v>
      </c>
      <c r="W26" s="7">
        <f>'pivot tables'!X45</f>
        <v>12395.26226</v>
      </c>
      <c r="X26" s="7">
        <f>'pivot tables'!Y45</f>
        <v>12251.625982</v>
      </c>
      <c r="Y26" s="7">
        <f>'pivot tables'!Z45</f>
        <v>11843.481179</v>
      </c>
      <c r="Z26" s="7">
        <f>'pivot tables'!AA45</f>
        <v>11594.286629</v>
      </c>
      <c r="AA26" s="7">
        <f>'pivot tables'!AB45</f>
        <v>11727.472626999999</v>
      </c>
      <c r="AB26" s="7">
        <f>'pivot tables'!AC45</f>
        <v>11761.845212</v>
      </c>
      <c r="AC26" s="7">
        <f>'pivot tables'!AD45</f>
        <v>11710.213506</v>
      </c>
      <c r="AD26" s="7">
        <f>'pivot tables'!AE45</f>
        <v>11886.832587999999</v>
      </c>
      <c r="AE26" s="7">
        <f>'pivot tables'!AF45</f>
        <v>12521.578689</v>
      </c>
      <c r="AF26" s="7">
        <f>'pivot tables'!AG45</f>
        <v>12701.756617999999</v>
      </c>
      <c r="AG26" s="7">
        <f>'pivot tables'!AH45</f>
        <v>13190.013462999999</v>
      </c>
      <c r="AH26" s="7">
        <f>'pivot tables'!AI45</f>
        <v>13407.154995000001</v>
      </c>
      <c r="AI26" s="7">
        <f>'pivot tables'!AJ45</f>
        <v>12373.719078</v>
      </c>
      <c r="AJ26" s="7">
        <f>'pivot tables'!AK45</f>
        <v>12371.87113</v>
      </c>
    </row>
    <row r="27" spans="2:36" x14ac:dyDescent="0.25">
      <c r="B27" t="s">
        <v>30</v>
      </c>
      <c r="C27" s="7">
        <f>'pivot tables'!D46</f>
        <v>145.0210447124</v>
      </c>
      <c r="D27" s="7">
        <f>'pivot tables'!E46</f>
        <v>109.50607135830001</v>
      </c>
      <c r="E27" s="7">
        <f>'pivot tables'!F46</f>
        <v>161.748432842</v>
      </c>
      <c r="F27" s="7">
        <f>'pivot tables'!G46</f>
        <v>234.667881795</v>
      </c>
      <c r="G27" s="7">
        <f>'pivot tables'!H46</f>
        <v>217.6027602451</v>
      </c>
      <c r="H27" s="7">
        <f>'pivot tables'!I46</f>
        <v>216.72923452890001</v>
      </c>
      <c r="I27" s="7">
        <f>'pivot tables'!J46</f>
        <v>229.29324055949999</v>
      </c>
      <c r="J27" s="7">
        <f>'pivot tables'!K46</f>
        <v>204.05638835400001</v>
      </c>
      <c r="K27" s="7">
        <f>'pivot tables'!L46</f>
        <v>166.448423402</v>
      </c>
      <c r="L27" s="7">
        <f>'pivot tables'!M46</f>
        <v>117.984112809</v>
      </c>
      <c r="M27" s="7">
        <f>'pivot tables'!N46</f>
        <v>164.945804227</v>
      </c>
      <c r="N27" s="7">
        <f>'pivot tables'!O46</f>
        <v>121.4885405087</v>
      </c>
      <c r="O27" s="7">
        <f>'pivot tables'!P46</f>
        <v>99.505869443699993</v>
      </c>
      <c r="P27" s="7">
        <f>'pivot tables'!Q46</f>
        <v>102.1212292085</v>
      </c>
      <c r="Q27" s="7">
        <f>'pivot tables'!R46</f>
        <v>95.518000432099996</v>
      </c>
      <c r="R27" s="7">
        <f>'pivot tables'!S46</f>
        <v>112.9662672935</v>
      </c>
      <c r="S27" s="7">
        <f>'pivot tables'!T46</f>
        <v>120.1243283643</v>
      </c>
      <c r="T27" s="7">
        <f>'pivot tables'!U46</f>
        <v>133.33673256439999</v>
      </c>
      <c r="U27" s="7">
        <f>'pivot tables'!V46</f>
        <v>158.1964042537</v>
      </c>
      <c r="V27" s="7">
        <f>'pivot tables'!W46</f>
        <v>146.27957381659999</v>
      </c>
      <c r="W27" s="7">
        <f>'pivot tables'!X46</f>
        <v>147.0421593977</v>
      </c>
      <c r="X27" s="7">
        <f>'pivot tables'!Y46</f>
        <v>168.71105500420001</v>
      </c>
      <c r="Y27" s="7">
        <f>'pivot tables'!Z46</f>
        <v>161.29376988050001</v>
      </c>
      <c r="Z27" s="7">
        <f>'pivot tables'!AA46</f>
        <v>167.12502834899999</v>
      </c>
      <c r="AA27" s="7">
        <f>'pivot tables'!AB46</f>
        <v>182.34196607999999</v>
      </c>
      <c r="AB27" s="7">
        <f>'pivot tables'!AC46</f>
        <v>190.23782531200001</v>
      </c>
      <c r="AC27" s="7">
        <f>'pivot tables'!AD46</f>
        <v>192.077829326</v>
      </c>
      <c r="AD27" s="7">
        <f>'pivot tables'!AE46</f>
        <v>190.06835555999999</v>
      </c>
      <c r="AE27" s="7">
        <f>'pivot tables'!AF46</f>
        <v>159.3274961393</v>
      </c>
      <c r="AF27" s="7">
        <f>'pivot tables'!AG46</f>
        <v>170.39938978800001</v>
      </c>
      <c r="AG27" s="7">
        <f>'pivot tables'!AH46</f>
        <v>180.116341777</v>
      </c>
      <c r="AH27" s="7">
        <f>'pivot tables'!AI46</f>
        <v>163.915290306</v>
      </c>
      <c r="AI27" s="7">
        <f>'pivot tables'!AJ46</f>
        <v>175.86925573510001</v>
      </c>
      <c r="AJ27" s="7">
        <f>'pivot tables'!AK46</f>
        <v>180.63831076950001</v>
      </c>
    </row>
    <row r="28" spans="2:36" x14ac:dyDescent="0.25">
      <c r="B28" t="s">
        <v>31</v>
      </c>
      <c r="C28" s="8">
        <f>'pivot tables'!D47/1000</f>
        <v>1975.5827120388551</v>
      </c>
      <c r="D28" s="8">
        <f>'pivot tables'!E47/1000</f>
        <v>2018.2265459692869</v>
      </c>
      <c r="E28" s="8">
        <f>'pivot tables'!F47/1000</f>
        <v>1708.1349375001171</v>
      </c>
      <c r="F28" s="8">
        <f>'pivot tables'!G47/1000</f>
        <v>1866.500641487316</v>
      </c>
      <c r="G28" s="8">
        <f>'pivot tables'!H47/1000</f>
        <v>1923.5688275384719</v>
      </c>
      <c r="H28" s="8">
        <f>'pivot tables'!I47/1000</f>
        <v>2031.837047196178</v>
      </c>
      <c r="I28" s="8">
        <f>'pivot tables'!J47/1000</f>
        <v>2016.0074957916429</v>
      </c>
      <c r="J28" s="8">
        <f>'pivot tables'!K47/1000</f>
        <v>1962.7625030785232</v>
      </c>
      <c r="K28" s="8">
        <f>'pivot tables'!L47/1000</f>
        <v>1809.5261308191871</v>
      </c>
      <c r="L28" s="8">
        <f>'pivot tables'!M47/1000</f>
        <v>2264.9353889703716</v>
      </c>
      <c r="M28" s="8">
        <f>'pivot tables'!N47/1000</f>
        <v>2434.3540649794923</v>
      </c>
      <c r="N28" s="8">
        <f>'pivot tables'!O47/1000</f>
        <v>2544.883727147685</v>
      </c>
      <c r="O28" s="8">
        <f>'pivot tables'!P47/1000</f>
        <v>2642.1996793598528</v>
      </c>
      <c r="P28" s="8">
        <f>'pivot tables'!Q47/1000</f>
        <v>2687.1401979572811</v>
      </c>
      <c r="Q28" s="8">
        <f>'pivot tables'!R47/1000</f>
        <v>2750.3125930390756</v>
      </c>
      <c r="R28" s="8">
        <f>'pivot tables'!S47/1000</f>
        <v>2661.5407985111269</v>
      </c>
      <c r="S28" s="8">
        <f>'pivot tables'!T47/1000</f>
        <v>2877.4697629538273</v>
      </c>
      <c r="T28" s="8">
        <f>'pivot tables'!U47/1000</f>
        <v>2632.602384318925</v>
      </c>
      <c r="U28" s="8">
        <f>'pivot tables'!V47/1000</f>
        <v>2514.9982746273922</v>
      </c>
      <c r="V28" s="8">
        <f>'pivot tables'!W47/1000</f>
        <v>2019.8948851077309</v>
      </c>
      <c r="W28" s="8">
        <f>'pivot tables'!X47/1000</f>
        <v>1993.5016165830739</v>
      </c>
      <c r="X28" s="8">
        <f>'pivot tables'!Y47/1000</f>
        <v>1944.9840747682131</v>
      </c>
      <c r="Y28" s="8">
        <f>'pivot tables'!Z47/1000</f>
        <v>1877.3147600110319</v>
      </c>
      <c r="Z28" s="8">
        <f>'pivot tables'!AA47/1000</f>
        <v>1864.058592701768</v>
      </c>
      <c r="AA28" s="8">
        <f>'pivot tables'!AB47/1000</f>
        <v>2080.8804825855582</v>
      </c>
      <c r="AB28" s="8">
        <f>'pivot tables'!AC47/1000</f>
        <v>2373.6234769669363</v>
      </c>
      <c r="AC28" s="8">
        <f>'pivot tables'!AD47/1000</f>
        <v>2367.6990356371912</v>
      </c>
      <c r="AD28" s="8">
        <f>'pivot tables'!AE47/1000</f>
        <v>2620.2201823716873</v>
      </c>
      <c r="AE28" s="8">
        <f>'pivot tables'!AF47/1000</f>
        <v>2696.6939412127172</v>
      </c>
      <c r="AF28" s="8">
        <f>'pivot tables'!AG47/1000</f>
        <v>2542.2025629363939</v>
      </c>
      <c r="AG28" s="8">
        <f>'pivot tables'!AH47/1000</f>
        <v>2489.0062266605169</v>
      </c>
      <c r="AH28" s="8">
        <f>'pivot tables'!AI47/1000</f>
        <v>2675.5286243234791</v>
      </c>
      <c r="AI28" s="8">
        <f>'pivot tables'!AJ47/1000</f>
        <v>2780.554235479151</v>
      </c>
      <c r="AJ28" s="8">
        <f>'pivot tables'!AK47/1000</f>
        <v>2780.554235479151</v>
      </c>
    </row>
    <row r="29" spans="2:36" x14ac:dyDescent="0.25">
      <c r="B29" t="s">
        <v>32</v>
      </c>
      <c r="C29" s="7">
        <f>'pivot tables'!D48</f>
        <v>184.15402277677239</v>
      </c>
      <c r="D29" s="7">
        <f>'pivot tables'!E48</f>
        <v>148.23174550404511</v>
      </c>
      <c r="E29" s="7">
        <f>'pivot tables'!F48</f>
        <v>112.30946823131779</v>
      </c>
      <c r="F29" s="7">
        <f>'pivot tables'!G48</f>
        <v>124.85033378844361</v>
      </c>
      <c r="G29" s="7">
        <f>'pivot tables'!H48</f>
        <v>135.75524933669439</v>
      </c>
      <c r="H29" s="7">
        <f>'pivot tables'!I48</f>
        <v>148.70834637209421</v>
      </c>
      <c r="I29" s="7">
        <f>'pivot tables'!J48</f>
        <v>182.17374264136231</v>
      </c>
      <c r="J29" s="7">
        <f>'pivot tables'!K48</f>
        <v>255.5608797704312</v>
      </c>
      <c r="K29" s="7">
        <f>'pivot tables'!L48</f>
        <v>263.4114428994543</v>
      </c>
      <c r="L29" s="7">
        <f>'pivot tables'!M48</f>
        <v>331.17695458925601</v>
      </c>
      <c r="M29" s="7">
        <f>'pivot tables'!N48</f>
        <v>412.16661313285209</v>
      </c>
      <c r="N29" s="7">
        <f>'pivot tables'!O48</f>
        <v>462.91006667615801</v>
      </c>
      <c r="O29" s="7">
        <f>'pivot tables'!P48</f>
        <v>485.39094428739082</v>
      </c>
      <c r="P29" s="7">
        <f>'pivot tables'!Q48</f>
        <v>477.47893108135241</v>
      </c>
      <c r="Q29" s="7">
        <f>'pivot tables'!R48</f>
        <v>406.12760593005828</v>
      </c>
      <c r="R29" s="7">
        <f>'pivot tables'!S48</f>
        <v>351.04992578117577</v>
      </c>
      <c r="S29" s="7">
        <f>'pivot tables'!T48</f>
        <v>360.74340706385777</v>
      </c>
      <c r="T29" s="7">
        <f>'pivot tables'!U48</f>
        <v>322.00569006969693</v>
      </c>
      <c r="U29" s="7">
        <f>'pivot tables'!V48</f>
        <v>355.37204590946089</v>
      </c>
      <c r="V29" s="7">
        <f>'pivot tables'!W48</f>
        <v>361.16605837036087</v>
      </c>
      <c r="W29" s="7">
        <f>'pivot tables'!X48</f>
        <v>466.28048693078341</v>
      </c>
      <c r="X29" s="7">
        <f>'pivot tables'!Y48</f>
        <v>470.19861263871798</v>
      </c>
      <c r="Y29" s="7">
        <f>'pivot tables'!Z48</f>
        <v>434.02907447975849</v>
      </c>
      <c r="Z29" s="7">
        <f>'pivot tables'!AA48</f>
        <v>450.24642828245612</v>
      </c>
      <c r="AA29" s="7">
        <f>'pivot tables'!AB48</f>
        <v>478.21849155996568</v>
      </c>
      <c r="AB29" s="7">
        <f>'pivot tables'!AC48</f>
        <v>527.21936555272532</v>
      </c>
      <c r="AC29" s="7">
        <f>'pivot tables'!AD48</f>
        <v>559.34729711222121</v>
      </c>
      <c r="AD29" s="7">
        <f>'pivot tables'!AE48</f>
        <v>579.62263201934161</v>
      </c>
      <c r="AE29" s="7">
        <f>'pivot tables'!AF48</f>
        <v>597.71471738308117</v>
      </c>
      <c r="AF29" s="7">
        <f>'pivot tables'!AG48</f>
        <v>569.70840952001151</v>
      </c>
      <c r="AG29" s="7">
        <f>'pivot tables'!AH48</f>
        <v>563.75290419214275</v>
      </c>
      <c r="AH29" s="7">
        <f>'pivot tables'!AI48</f>
        <v>569.94913466225262</v>
      </c>
      <c r="AI29" s="7">
        <f>'pivot tables'!AJ48</f>
        <v>499.49541712162869</v>
      </c>
      <c r="AJ29" s="7">
        <f>'pivot tables'!AK48</f>
        <v>465.22437186633351</v>
      </c>
    </row>
    <row r="30" spans="2:36" x14ac:dyDescent="0.25">
      <c r="B30" t="s">
        <v>33</v>
      </c>
      <c r="C30" s="7">
        <f>'pivot tables'!D49</f>
        <v>5353.9139999999998</v>
      </c>
      <c r="D30" s="7">
        <f>'pivot tables'!E49</f>
        <v>4884.26</v>
      </c>
      <c r="E30" s="7">
        <f>'pivot tables'!F49</f>
        <v>4995.4339999999993</v>
      </c>
      <c r="F30" s="7">
        <f>'pivot tables'!G49</f>
        <v>5686.7879999999996</v>
      </c>
      <c r="G30" s="7">
        <f>'pivot tables'!H49</f>
        <v>6236.1110000000008</v>
      </c>
      <c r="H30" s="7">
        <f>'pivot tables'!I49</f>
        <v>6216.3940000000002</v>
      </c>
      <c r="I30" s="7">
        <f>'pivot tables'!J49</f>
        <v>6086.4380000000001</v>
      </c>
      <c r="J30" s="7">
        <f>'pivot tables'!K49</f>
        <v>6950.0879999999997</v>
      </c>
      <c r="K30" s="7">
        <f>'pivot tables'!L49</f>
        <v>7118.7739999999994</v>
      </c>
      <c r="L30" s="7">
        <f>'pivot tables'!M49</f>
        <v>7204.1879999999992</v>
      </c>
      <c r="M30" s="7">
        <f>'pivot tables'!N49</f>
        <v>7365.48</v>
      </c>
      <c r="N30" s="7">
        <f>'pivot tables'!O49</f>
        <v>6756.3450000000012</v>
      </c>
      <c r="O30" s="7">
        <f>'pivot tables'!P49</f>
        <v>6845.1040000000003</v>
      </c>
      <c r="P30" s="7">
        <f>'pivot tables'!Q49</f>
        <v>7015.0020000000004</v>
      </c>
      <c r="Q30" s="7">
        <f>'pivot tables'!R49</f>
        <v>7158.2649999999994</v>
      </c>
      <c r="R30" s="7">
        <f>'pivot tables'!S49</f>
        <v>6187.2569999999996</v>
      </c>
      <c r="S30" s="7">
        <f>'pivot tables'!T49</f>
        <v>6939.3630000000012</v>
      </c>
      <c r="T30" s="7">
        <f>'pivot tables'!U49</f>
        <v>7288.1759999999986</v>
      </c>
      <c r="U30" s="7">
        <f>'pivot tables'!V49</f>
        <v>6281.3019999999997</v>
      </c>
      <c r="V30" s="7">
        <f>'pivot tables'!W49</f>
        <v>5213.5339999999997</v>
      </c>
      <c r="W30" s="7">
        <f>'pivot tables'!X49</f>
        <v>6174.2720000000008</v>
      </c>
      <c r="X30" s="7">
        <f>'pivot tables'!Y49</f>
        <v>6182.9850000000006</v>
      </c>
      <c r="Y30" s="7">
        <f>'pivot tables'!Z49</f>
        <v>6044.6010000000006</v>
      </c>
      <c r="Z30" s="7">
        <f>'pivot tables'!AA49</f>
        <v>6218.1729999999998</v>
      </c>
      <c r="AA30" s="7">
        <f>'pivot tables'!AB49</f>
        <v>6399.6409999999996</v>
      </c>
      <c r="AB30" s="7">
        <f>'pivot tables'!AC49</f>
        <v>6391.9290000000001</v>
      </c>
      <c r="AC30" s="7">
        <f>'pivot tables'!AD49</f>
        <v>6693.2749999999996</v>
      </c>
      <c r="AD30" s="7">
        <f>'pivot tables'!AE49</f>
        <v>6971.0459999999994</v>
      </c>
      <c r="AE30" s="7">
        <f>'pivot tables'!AF49</f>
        <v>7107.2259999999997</v>
      </c>
      <c r="AF30" s="7">
        <f>'pivot tables'!AG49</f>
        <v>6867.8220000000001</v>
      </c>
      <c r="AG30" s="7">
        <f>'pivot tables'!AH49</f>
        <v>6260.3789999999999</v>
      </c>
      <c r="AH30" s="7">
        <f>'pivot tables'!AI49</f>
        <v>6889.5469999999996</v>
      </c>
      <c r="AI30" s="7">
        <f>'pivot tables'!AJ49</f>
        <v>6815.7610000000004</v>
      </c>
      <c r="AJ30" s="7">
        <f>'pivot tables'!AK49</f>
        <v>6357.9430000000002</v>
      </c>
    </row>
    <row r="31" spans="2:36" x14ac:dyDescent="0.25">
      <c r="B31" t="s">
        <v>34</v>
      </c>
      <c r="C31" s="8">
        <f>'pivot tables'!D50/1000</f>
        <v>4507.2016516999993</v>
      </c>
      <c r="D31" s="8">
        <f>'pivot tables'!E50/1000</f>
        <v>4472.8380717</v>
      </c>
      <c r="E31" s="8">
        <f>'pivot tables'!F50/1000</f>
        <v>3962.7974271999997</v>
      </c>
      <c r="F31" s="8">
        <f>'pivot tables'!G50/1000</f>
        <v>3637.90920736</v>
      </c>
      <c r="G31" s="8">
        <f>'pivot tables'!H50/1000</f>
        <v>3913.7158135</v>
      </c>
      <c r="H31" s="8">
        <f>'pivot tables'!I50/1000</f>
        <v>4054.7088563000002</v>
      </c>
      <c r="I31" s="8">
        <f>'pivot tables'!J50/1000</f>
        <v>3919.7119237000002</v>
      </c>
      <c r="J31" s="8">
        <f>'pivot tables'!K50/1000</f>
        <v>4115.0259911000003</v>
      </c>
      <c r="K31" s="8">
        <f>'pivot tables'!L50/1000</f>
        <v>4308.8314851000005</v>
      </c>
      <c r="L31" s="8">
        <f>'pivot tables'!M50/1000</f>
        <v>4384.0069429000005</v>
      </c>
      <c r="M31" s="8">
        <f>'pivot tables'!N50/1000</f>
        <v>4601.6629521000004</v>
      </c>
      <c r="N31" s="8">
        <f>'pivot tables'!O50/1000</f>
        <v>4556.5811164999996</v>
      </c>
      <c r="O31" s="8">
        <f>'pivot tables'!P50/1000</f>
        <v>4251.7272911</v>
      </c>
      <c r="P31" s="8">
        <f>'pivot tables'!Q50/1000</f>
        <v>4225.2239002999995</v>
      </c>
      <c r="Q31" s="8">
        <f>'pivot tables'!R50/1000</f>
        <v>4422.6638839999996</v>
      </c>
      <c r="R31" s="8">
        <f>'pivot tables'!S50/1000</f>
        <v>4638.2803427999997</v>
      </c>
      <c r="S31" s="8">
        <f>'pivot tables'!T50/1000</f>
        <v>4720.3485058999995</v>
      </c>
      <c r="T31" s="8">
        <f>'pivot tables'!U50/1000</f>
        <v>4885.4439456999989</v>
      </c>
      <c r="U31" s="8">
        <f>'pivot tables'!V50/1000</f>
        <v>4552.7747008999995</v>
      </c>
      <c r="V31" s="8">
        <f>'pivot tables'!W50/1000</f>
        <v>3955.2475078099997</v>
      </c>
      <c r="W31" s="8">
        <f>'pivot tables'!X50/1000</f>
        <v>4464.6978487999995</v>
      </c>
      <c r="X31" s="8">
        <f>'pivot tables'!Y50/1000</f>
        <v>4578.2883174999997</v>
      </c>
      <c r="Y31" s="8">
        <f>'pivot tables'!Z50/1000</f>
        <v>4407.5699301000004</v>
      </c>
      <c r="Z31" s="8">
        <f>'pivot tables'!AA50/1000</f>
        <v>4266.4455078700003</v>
      </c>
      <c r="AA31" s="8">
        <f>'pivot tables'!AB50/1000</f>
        <v>4201.1849916000001</v>
      </c>
      <c r="AB31" s="8">
        <f>'pivot tables'!AC50/1000</f>
        <v>4040.6937771000003</v>
      </c>
      <c r="AC31" s="8">
        <f>'pivot tables'!AD50/1000</f>
        <v>3933.4587516200004</v>
      </c>
      <c r="AD31" s="8">
        <f>'pivot tables'!AE50/1000</f>
        <v>3934.3613301699997</v>
      </c>
      <c r="AE31" s="8">
        <f>'pivot tables'!AF50/1000</f>
        <v>3896.28432441</v>
      </c>
      <c r="AF31" s="8">
        <f>'pivot tables'!AG50/1000</f>
        <v>3788.0630375599999</v>
      </c>
      <c r="AG31" s="8">
        <f>'pivot tables'!AH50/1000</f>
        <v>3404.6091383600001</v>
      </c>
      <c r="AH31" s="8">
        <f>'pivot tables'!AI50/1000</f>
        <v>4067.05076134</v>
      </c>
      <c r="AI31" s="8">
        <f>'pivot tables'!AJ50/1000</f>
        <v>3929.2783924300002</v>
      </c>
      <c r="AJ31" s="8">
        <f>'pivot tables'!AK50/1000</f>
        <v>3721.8437163499998</v>
      </c>
    </row>
    <row r="32" spans="2:36" x14ac:dyDescent="0.25">
      <c r="B32" t="s">
        <v>35</v>
      </c>
      <c r="C32" s="7">
        <f>'pivot tables'!D51</f>
        <v>1191.3819602826741</v>
      </c>
      <c r="D32" s="7">
        <f>'pivot tables'!E51</f>
        <v>1171.407658686685</v>
      </c>
      <c r="E32" s="7">
        <f>'pivot tables'!F51</f>
        <v>1202.4284205637271</v>
      </c>
      <c r="F32" s="7">
        <f>'pivot tables'!G51</f>
        <v>1230.453844473373</v>
      </c>
      <c r="G32" s="7">
        <f>'pivot tables'!H51</f>
        <v>1319.295417738746</v>
      </c>
      <c r="H32" s="7">
        <f>'pivot tables'!I51</f>
        <v>1361.150564457909</v>
      </c>
      <c r="I32" s="7">
        <f>'pivot tables'!J51</f>
        <v>1364.1563470674951</v>
      </c>
      <c r="J32" s="7">
        <f>'pivot tables'!K51</f>
        <v>1429.5223128107791</v>
      </c>
      <c r="K32" s="7">
        <f>'pivot tables'!L51</f>
        <v>1420.632448718834</v>
      </c>
      <c r="L32" s="7">
        <f>'pivot tables'!M51</f>
        <v>1495.809299095338</v>
      </c>
      <c r="M32" s="7">
        <f>'pivot tables'!N51</f>
        <v>1583.752429849204</v>
      </c>
      <c r="N32" s="7">
        <f>'pivot tables'!O51</f>
        <v>1556.0883199843929</v>
      </c>
      <c r="O32" s="7">
        <f>'pivot tables'!P51</f>
        <v>1564.558220283222</v>
      </c>
      <c r="P32" s="7">
        <f>'pivot tables'!Q51</f>
        <v>1627.2593374450721</v>
      </c>
      <c r="Q32" s="7">
        <f>'pivot tables'!R51</f>
        <v>1591.793000102047</v>
      </c>
      <c r="R32" s="7">
        <f>'pivot tables'!S51</f>
        <v>1575.188771611638</v>
      </c>
      <c r="S32" s="7">
        <f>'pivot tables'!T51</f>
        <v>1504.998130575595</v>
      </c>
      <c r="T32" s="7">
        <f>'pivot tables'!U51</f>
        <v>1527.4556458977461</v>
      </c>
      <c r="U32" s="7">
        <f>'pivot tables'!V51</f>
        <v>1438.169877407337</v>
      </c>
      <c r="V32" s="7">
        <f>'pivot tables'!W51</f>
        <v>1415.8829049610649</v>
      </c>
      <c r="W32" s="7">
        <f>'pivot tables'!X51</f>
        <v>1468.931290631755</v>
      </c>
      <c r="X32" s="7">
        <f>'pivot tables'!Y51</f>
        <v>1533.9536833975169</v>
      </c>
      <c r="Y32" s="7">
        <f>'pivot tables'!Z51</f>
        <v>1666.940593418193</v>
      </c>
      <c r="Z32" s="7">
        <f>'pivot tables'!AA51</f>
        <v>1591.617586734606</v>
      </c>
      <c r="AA32" s="7">
        <f>'pivot tables'!AB51</f>
        <v>1577.6579718163321</v>
      </c>
      <c r="AB32" s="7">
        <f>'pivot tables'!AC51</f>
        <v>1624.112691339576</v>
      </c>
      <c r="AC32" s="7">
        <f>'pivot tables'!AD51</f>
        <v>1595.6208854130371</v>
      </c>
      <c r="AD32" s="7">
        <f>'pivot tables'!AE51</f>
        <v>1555.5469062752891</v>
      </c>
      <c r="AE32" s="7">
        <f>'pivot tables'!AF51</f>
        <v>1542.4515396127219</v>
      </c>
      <c r="AF32" s="7">
        <f>'pivot tables'!AG51</f>
        <v>1524.8492568298941</v>
      </c>
      <c r="AG32" s="7">
        <f>'pivot tables'!AH51</f>
        <v>1529.2994750808959</v>
      </c>
      <c r="AH32" s="7">
        <f>'pivot tables'!AI51</f>
        <v>1634.6575355732371</v>
      </c>
      <c r="AI32" s="7">
        <f>'pivot tables'!AJ51</f>
        <v>1622.50372069688</v>
      </c>
      <c r="AJ32" s="7">
        <f>'pivot tables'!AK51</f>
        <v>1644.9335802026201</v>
      </c>
    </row>
    <row r="33" spans="2:36" x14ac:dyDescent="0.25">
      <c r="B33" t="s">
        <v>36</v>
      </c>
      <c r="C33" s="8">
        <f>'pivot tables'!D52/1000</f>
        <v>175.69457108860919</v>
      </c>
      <c r="D33" s="8">
        <f>'pivot tables'!E52/1000</f>
        <v>177.65715739351938</v>
      </c>
      <c r="E33" s="8">
        <f>'pivot tables'!F52/1000</f>
        <v>152.10628374772429</v>
      </c>
      <c r="F33" s="8">
        <f>'pivot tables'!G52/1000</f>
        <v>220.61445442202941</v>
      </c>
      <c r="G33" s="8">
        <f>'pivot tables'!H52/1000</f>
        <v>227.25978845845481</v>
      </c>
      <c r="H33" s="8">
        <f>'pivot tables'!I52/1000</f>
        <v>217.88213209162538</v>
      </c>
      <c r="I33" s="8">
        <f>'pivot tables'!J52/1000</f>
        <v>229.17741239947199</v>
      </c>
      <c r="J33" s="8">
        <f>'pivot tables'!K52/1000</f>
        <v>70.018647741935496</v>
      </c>
      <c r="K33" s="8">
        <f>'pivot tables'!L52/1000</f>
        <v>85.659171568627457</v>
      </c>
      <c r="L33" s="8">
        <f>'pivot tables'!M52/1000</f>
        <v>107.3137201616162</v>
      </c>
      <c r="M33" s="8">
        <f>'pivot tables'!N52/1000</f>
        <v>164.96799453360961</v>
      </c>
      <c r="N33" s="8">
        <f>'pivot tables'!O52/1000</f>
        <v>120.6572599875539</v>
      </c>
      <c r="O33" s="8">
        <f>'pivot tables'!P52/1000</f>
        <v>159.21169695213538</v>
      </c>
      <c r="P33" s="8">
        <f>'pivot tables'!Q52/1000</f>
        <v>174.76280494911339</v>
      </c>
      <c r="Q33" s="8">
        <f>'pivot tables'!R52/1000</f>
        <v>169.02699178015109</v>
      </c>
      <c r="R33" s="8">
        <f>'pivot tables'!S52/1000</f>
        <v>174.98156696225141</v>
      </c>
      <c r="S33" s="8">
        <f>'pivot tables'!T52/1000</f>
        <v>182.36370819836668</v>
      </c>
      <c r="T33" s="8">
        <f>'pivot tables'!U52/1000</f>
        <v>229.21307341757259</v>
      </c>
      <c r="U33" s="8">
        <f>'pivot tables'!V52/1000</f>
        <v>124.0923172861217</v>
      </c>
      <c r="V33" s="8">
        <f>'pivot tables'!W52/1000</f>
        <v>184.00687620344831</v>
      </c>
      <c r="W33" s="8">
        <f>'pivot tables'!X52/1000</f>
        <v>206.27325322218661</v>
      </c>
      <c r="X33" s="8">
        <f>'pivot tables'!Y52/1000</f>
        <v>197.98342366025599</v>
      </c>
      <c r="Y33" s="8">
        <f>'pivot tables'!Z52/1000</f>
        <v>101.03399634399189</v>
      </c>
      <c r="Z33" s="8">
        <f>'pivot tables'!AA52/1000</f>
        <v>92.838518061924759</v>
      </c>
      <c r="AA33" s="8">
        <f>'pivot tables'!AB52/1000</f>
        <v>91.632523874274426</v>
      </c>
      <c r="AB33" s="8">
        <f>'pivot tables'!AC52/1000</f>
        <v>91.632523874274426</v>
      </c>
      <c r="AC33" s="8">
        <f>'pivot tables'!AD52/1000</f>
        <v>91.632523874274426</v>
      </c>
      <c r="AD33" s="8">
        <f>'pivot tables'!AE52/1000</f>
        <v>102.5478969017777</v>
      </c>
      <c r="AE33" s="8">
        <f>'pivot tables'!AF52/1000</f>
        <v>117.9332993260529</v>
      </c>
      <c r="AF33" s="8">
        <f>'pivot tables'!AG52/1000</f>
        <v>118.42006384912409</v>
      </c>
      <c r="AG33" s="8">
        <f>'pivot tables'!AH52/1000</f>
        <v>102.0673006854406</v>
      </c>
      <c r="AH33" s="8">
        <f>'pivot tables'!AI52/1000</f>
        <v>102.0673006854406</v>
      </c>
      <c r="AI33" s="8">
        <f>'pivot tables'!AJ52/1000</f>
        <v>102.0673006854406</v>
      </c>
      <c r="AJ33" s="8">
        <f>'pivot tables'!AK52/1000</f>
        <v>102.0673006854406</v>
      </c>
    </row>
    <row r="34" spans="2:36" x14ac:dyDescent="0.25">
      <c r="B34" t="s">
        <v>37</v>
      </c>
      <c r="C34" s="7">
        <f>'pivot tables'!D53</f>
        <v>423.81014157151583</v>
      </c>
      <c r="D34" s="7">
        <f>'pivot tables'!E53</f>
        <v>274.88283910185061</v>
      </c>
      <c r="E34" s="7">
        <f>'pivot tables'!F53</f>
        <v>225.66389029278321</v>
      </c>
      <c r="F34" s="7">
        <f>'pivot tables'!G53</f>
        <v>248.67219703570419</v>
      </c>
      <c r="G34" s="7">
        <f>'pivot tables'!H53</f>
        <v>267.96885517763599</v>
      </c>
      <c r="H34" s="7">
        <f>'pivot tables'!I53</f>
        <v>272.14443214581883</v>
      </c>
      <c r="I34" s="7">
        <f>'pivot tables'!J53</f>
        <v>262.9800056985294</v>
      </c>
      <c r="J34" s="7">
        <f>'pivot tables'!K53</f>
        <v>221.36977206628751</v>
      </c>
      <c r="K34" s="7">
        <f>'pivot tables'!L53</f>
        <v>243.79325521796869</v>
      </c>
      <c r="L34" s="7">
        <f>'pivot tables'!M53</f>
        <v>255.36804742769101</v>
      </c>
      <c r="M34" s="7">
        <f>'pivot tables'!N53</f>
        <v>255.72714110147041</v>
      </c>
      <c r="N34" s="7">
        <f>'pivot tables'!O53</f>
        <v>333.85948453026958</v>
      </c>
      <c r="O34" s="7">
        <f>'pivot tables'!P53</f>
        <v>357.3517219236154</v>
      </c>
      <c r="P34" s="7">
        <f>'pivot tables'!Q53</f>
        <v>345.01005952380962</v>
      </c>
      <c r="Q34" s="7">
        <f>'pivot tables'!R53</f>
        <v>355.49778370519749</v>
      </c>
      <c r="R34" s="7">
        <f>'pivot tables'!S53</f>
        <v>419.07452201548</v>
      </c>
      <c r="S34" s="7">
        <f>'pivot tables'!T53</f>
        <v>429.96873643885999</v>
      </c>
      <c r="T34" s="7">
        <f>'pivot tables'!U53</f>
        <v>437.18539240200101</v>
      </c>
      <c r="U34" s="7">
        <f>'pivot tables'!V53</f>
        <v>449.34892398022248</v>
      </c>
      <c r="V34" s="7">
        <f>'pivot tables'!W53</f>
        <v>414.57390069852909</v>
      </c>
      <c r="W34" s="7">
        <f>'pivot tables'!X53</f>
        <v>438.92645175409109</v>
      </c>
      <c r="X34" s="7">
        <f>'pivot tables'!Y53</f>
        <v>449.36123755405231</v>
      </c>
      <c r="Y34" s="7">
        <f>'pivot tables'!Z53</f>
        <v>464.44864242145331</v>
      </c>
      <c r="Z34" s="7">
        <f>'pivot tables'!AA53</f>
        <v>480.12908978506999</v>
      </c>
      <c r="AA34" s="7">
        <f>'pivot tables'!AB53</f>
        <v>484.76755095021701</v>
      </c>
      <c r="AB34" s="7">
        <f>'pivot tables'!AC53</f>
        <v>526.9803314209546</v>
      </c>
      <c r="AC34" s="7">
        <f>'pivot tables'!AD53</f>
        <v>526.60003097880349</v>
      </c>
      <c r="AD34" s="7">
        <f>'pivot tables'!AE53</f>
        <v>598.0974065322589</v>
      </c>
      <c r="AE34" s="7">
        <f>'pivot tables'!AF53</f>
        <v>529.29903099356022</v>
      </c>
      <c r="AF34" s="7">
        <f>'pivot tables'!AG53</f>
        <v>530.99917340580919</v>
      </c>
      <c r="AG34" s="7">
        <f>'pivot tables'!AH53</f>
        <v>500.47404721531052</v>
      </c>
      <c r="AH34" s="7">
        <f>'pivot tables'!AI53</f>
        <v>511.09340387090481</v>
      </c>
      <c r="AI34" s="7">
        <f>'pivot tables'!AJ53</f>
        <v>442.07325923799738</v>
      </c>
      <c r="AJ34" s="7">
        <f>'pivot tables'!AK53</f>
        <v>442.07325923799738</v>
      </c>
    </row>
    <row r="35" spans="2:36" x14ac:dyDescent="0.25">
      <c r="B35" t="s">
        <v>38</v>
      </c>
      <c r="C35" s="7">
        <f>'pivot tables'!D54</f>
        <v>150.00993451275031</v>
      </c>
      <c r="D35" s="7">
        <f>'pivot tables'!E54</f>
        <v>151.54258788002241</v>
      </c>
      <c r="E35" s="7">
        <f>'pivot tables'!F54</f>
        <v>195.604688626447</v>
      </c>
      <c r="F35" s="7">
        <f>'pivot tables'!G54</f>
        <v>206.0290363972853</v>
      </c>
      <c r="G35" s="7">
        <f>'pivot tables'!H54</f>
        <v>225.85367707781899</v>
      </c>
      <c r="H35" s="7">
        <f>'pivot tables'!I54</f>
        <v>239.0919445037355</v>
      </c>
      <c r="I35" s="7">
        <f>'pivot tables'!J54</f>
        <v>273.65057404580102</v>
      </c>
      <c r="J35" s="7">
        <f>'pivot tables'!K54</f>
        <v>279.834180685359</v>
      </c>
      <c r="K35" s="7">
        <f>'pivot tables'!L54</f>
        <v>315.19963847203201</v>
      </c>
      <c r="L35" s="7">
        <f>'pivot tables'!M54</f>
        <v>316.67122065727699</v>
      </c>
      <c r="M35" s="7">
        <f>'pivot tables'!N54</f>
        <v>387.61697110163698</v>
      </c>
      <c r="N35" s="7">
        <f>'pivot tables'!O54</f>
        <v>392.84262101076001</v>
      </c>
      <c r="O35" s="7">
        <f>'pivot tables'!P54</f>
        <v>355.18093160377401</v>
      </c>
      <c r="P35" s="7">
        <f>'pivot tables'!Q54</f>
        <v>424.38753874370201</v>
      </c>
      <c r="Q35" s="7">
        <f>'pivot tables'!R54</f>
        <v>406.79812203236298</v>
      </c>
      <c r="R35" s="7">
        <f>'pivot tables'!S54</f>
        <v>424.70530990658102</v>
      </c>
      <c r="S35" s="7">
        <f>'pivot tables'!T54</f>
        <v>471.83881397051101</v>
      </c>
      <c r="T35" s="7">
        <f>'pivot tables'!U54</f>
        <v>459.22574031890701</v>
      </c>
      <c r="U35" s="7">
        <f>'pivot tables'!V54</f>
        <v>326.29702186738501</v>
      </c>
      <c r="V35" s="7">
        <f>'pivot tables'!W54</f>
        <v>336.45735098885501</v>
      </c>
      <c r="W35" s="7">
        <f>'pivot tables'!X54</f>
        <v>371.52586738297799</v>
      </c>
      <c r="X35" s="7">
        <f>'pivot tables'!Y54</f>
        <v>355.64572159744398</v>
      </c>
      <c r="Y35" s="7">
        <f>'pivot tables'!Z54</f>
        <v>340.28300439103998</v>
      </c>
      <c r="Z35" s="7">
        <f>'pivot tables'!AA54</f>
        <v>342.86001903980298</v>
      </c>
      <c r="AA35" s="7">
        <f>'pivot tables'!AB54</f>
        <v>374.92963474896698</v>
      </c>
      <c r="AB35" s="7">
        <f>'pivot tables'!AC54</f>
        <v>370.30533549207303</v>
      </c>
      <c r="AC35" s="7">
        <f>'pivot tables'!AD54</f>
        <v>395.62372806170299</v>
      </c>
      <c r="AD35" s="7">
        <f>'pivot tables'!AE54</f>
        <v>418.67980498265501</v>
      </c>
      <c r="AE35" s="7">
        <f>'pivot tables'!AF54</f>
        <v>412.272149393917</v>
      </c>
      <c r="AF35" s="7">
        <f>'pivot tables'!AG54</f>
        <v>428.72432436973003</v>
      </c>
      <c r="AG35" s="7">
        <f>'pivot tables'!AH54</f>
        <v>418.401391051573</v>
      </c>
      <c r="AH35" s="7">
        <f>'pivot tables'!AI54</f>
        <v>465.92989653725601</v>
      </c>
      <c r="AI35" s="7">
        <f>'pivot tables'!AJ54</f>
        <v>450.12290489382798</v>
      </c>
      <c r="AJ35" s="7">
        <f>'pivot tables'!AK54</f>
        <v>456.78979932847102</v>
      </c>
    </row>
    <row r="36" spans="2:36" x14ac:dyDescent="0.25">
      <c r="B36" t="s">
        <v>39</v>
      </c>
      <c r="C36" s="7">
        <f>'pivot tables'!D55</f>
        <v>804.49517248560005</v>
      </c>
      <c r="D36" s="7">
        <f>'pivot tables'!E55</f>
        <v>712.28063488630005</v>
      </c>
      <c r="E36" s="7">
        <f>'pivot tables'!F55</f>
        <v>612.25704714999995</v>
      </c>
      <c r="F36" s="7">
        <f>'pivot tables'!G55</f>
        <v>694.34761757449996</v>
      </c>
      <c r="G36" s="7">
        <f>'pivot tables'!H55</f>
        <v>608.28508860110003</v>
      </c>
      <c r="H36" s="7">
        <f>'pivot tables'!I55</f>
        <v>838.89111152529995</v>
      </c>
      <c r="I36" s="7">
        <f>'pivot tables'!J55</f>
        <v>871.76861543259997</v>
      </c>
      <c r="J36" s="7">
        <f>'pivot tables'!K55</f>
        <v>851.24978665499998</v>
      </c>
      <c r="K36" s="7">
        <f>'pivot tables'!L55</f>
        <v>957.88206877050004</v>
      </c>
      <c r="L36" s="7">
        <f>'pivot tables'!M55</f>
        <v>933.05460643169999</v>
      </c>
      <c r="M36" s="7">
        <f>'pivot tables'!N55</f>
        <v>812.6679171024</v>
      </c>
      <c r="N36" s="7">
        <f>'pivot tables'!O55</f>
        <v>744.6258664897</v>
      </c>
      <c r="O36" s="7">
        <f>'pivot tables'!P55</f>
        <v>773.64437419489991</v>
      </c>
      <c r="P36" s="7">
        <f>'pivot tables'!Q55</f>
        <v>803.09856606280005</v>
      </c>
      <c r="Q36" s="7">
        <f>'pivot tables'!R55</f>
        <v>849.10921715179995</v>
      </c>
      <c r="R36" s="7">
        <f>'pivot tables'!S55</f>
        <v>838.45776520410004</v>
      </c>
      <c r="S36" s="7">
        <f>'pivot tables'!T55</f>
        <v>903.65166509979997</v>
      </c>
      <c r="T36" s="7">
        <f>'pivot tables'!U55</f>
        <v>919.61212407130006</v>
      </c>
      <c r="U36" s="7">
        <f>'pivot tables'!V55</f>
        <v>934.64984098269997</v>
      </c>
      <c r="V36" s="7">
        <f>'pivot tables'!W55</f>
        <v>824.18838155759988</v>
      </c>
      <c r="W36" s="7">
        <f>'pivot tables'!X55</f>
        <v>773.15679678610002</v>
      </c>
      <c r="X36" s="7">
        <f>'pivot tables'!Y55</f>
        <v>694.05026064840001</v>
      </c>
      <c r="Y36" s="7">
        <f>'pivot tables'!Z55</f>
        <v>662.1361232022</v>
      </c>
      <c r="Z36" s="7">
        <f>'pivot tables'!AA55</f>
        <v>636.81793493869998</v>
      </c>
      <c r="AA36" s="7">
        <f>'pivot tables'!AB55</f>
        <v>653.97033331579996</v>
      </c>
      <c r="AB36" s="7">
        <f>'pivot tables'!AC55</f>
        <v>678.45165137130004</v>
      </c>
      <c r="AC36" s="7">
        <f>'pivot tables'!AD55</f>
        <v>700.63523298379994</v>
      </c>
      <c r="AD36" s="7">
        <f>'pivot tables'!AE55</f>
        <v>677.44859971100004</v>
      </c>
      <c r="AE36" s="7">
        <f>'pivot tables'!AF55</f>
        <v>608.34109064660004</v>
      </c>
      <c r="AF36" s="7">
        <f>'pivot tables'!AG55</f>
        <v>1071.6401211498001</v>
      </c>
      <c r="AG36" s="7">
        <f>'pivot tables'!AH55</f>
        <v>861.59353979579998</v>
      </c>
      <c r="AH36" s="7">
        <f>'pivot tables'!AI55</f>
        <v>777.43927702319991</v>
      </c>
      <c r="AI36" s="7">
        <f>'pivot tables'!AJ55</f>
        <v>788.69956163209997</v>
      </c>
      <c r="AJ36" s="7">
        <f>'pivot tables'!AK55</f>
        <v>805.8245808726</v>
      </c>
    </row>
    <row r="37" spans="2:36" x14ac:dyDescent="0.25">
      <c r="B37" t="s">
        <v>40</v>
      </c>
      <c r="C37" s="7">
        <f>'pivot tables'!D56</f>
        <v>290.06299416460308</v>
      </c>
      <c r="D37" s="7">
        <f>'pivot tables'!E56</f>
        <v>295.69638702700217</v>
      </c>
      <c r="E37" s="7">
        <f>'pivot tables'!F56</f>
        <v>127.4624269290403</v>
      </c>
      <c r="F37" s="7">
        <f>'pivot tables'!G56</f>
        <v>239.77166678058941</v>
      </c>
      <c r="G37" s="7">
        <f>'pivot tables'!H56</f>
        <v>368.96595950155768</v>
      </c>
      <c r="H37" s="7">
        <f>'pivot tables'!I56</f>
        <v>419.51113880235368</v>
      </c>
      <c r="I37" s="7">
        <f>'pivot tables'!J56</f>
        <v>510.26267834797642</v>
      </c>
      <c r="J37" s="7">
        <f>'pivot tables'!K56</f>
        <v>449.53497991967879</v>
      </c>
      <c r="K37" s="7">
        <f>'pivot tables'!L56</f>
        <v>438.17781367532859</v>
      </c>
      <c r="L37" s="7">
        <f>'pivot tables'!M56</f>
        <v>425.27254135542381</v>
      </c>
      <c r="M37" s="7">
        <f>'pivot tables'!N56</f>
        <v>557.26955991932323</v>
      </c>
      <c r="N37" s="7">
        <f>'pivot tables'!O56</f>
        <v>558.95681297696103</v>
      </c>
      <c r="O37" s="7">
        <f>'pivot tables'!P56</f>
        <v>600.03437876043927</v>
      </c>
      <c r="P37" s="7">
        <f>'pivot tables'!Q56</f>
        <v>663.73152749457893</v>
      </c>
      <c r="Q37" s="7">
        <f>'pivot tables'!R56</f>
        <v>626.05774884547372</v>
      </c>
      <c r="R37" s="7">
        <f>'pivot tables'!S56</f>
        <v>603.58715947562882</v>
      </c>
      <c r="S37" s="7">
        <f>'pivot tables'!T56</f>
        <v>604.75808261898351</v>
      </c>
      <c r="T37" s="7">
        <f>'pivot tables'!U56</f>
        <v>677.53404844251668</v>
      </c>
      <c r="U37" s="7">
        <f>'pivot tables'!V56</f>
        <v>574.91365043556164</v>
      </c>
      <c r="V37" s="7">
        <f>'pivot tables'!W56</f>
        <v>500.64485339743408</v>
      </c>
      <c r="W37" s="7">
        <f>'pivot tables'!X56</f>
        <v>654.77133506747646</v>
      </c>
      <c r="X37" s="7">
        <f>'pivot tables'!Y56</f>
        <v>704.29659751476265</v>
      </c>
      <c r="Y37" s="7">
        <f>'pivot tables'!Z56</f>
        <v>655.62833083571547</v>
      </c>
      <c r="Z37" s="7">
        <f>'pivot tables'!AA56</f>
        <v>710.18057155844394</v>
      </c>
      <c r="AA37" s="7">
        <f>'pivot tables'!AB56</f>
        <v>731.22791140770755</v>
      </c>
      <c r="AB37" s="7">
        <f>'pivot tables'!AC56</f>
        <v>704.863992913022</v>
      </c>
      <c r="AC37" s="7">
        <f>'pivot tables'!AD56</f>
        <v>647.00219327776767</v>
      </c>
      <c r="AD37" s="7">
        <f>'pivot tables'!AE56</f>
        <v>641.19931412520145</v>
      </c>
      <c r="AE37" s="7">
        <f>'pivot tables'!AF56</f>
        <v>673.80423876499026</v>
      </c>
      <c r="AF37" s="7">
        <f>'pivot tables'!AG56</f>
        <v>615.55137030004266</v>
      </c>
      <c r="AG37" s="7">
        <f>'pivot tables'!AH56</f>
        <v>674.23679299554612</v>
      </c>
      <c r="AH37" s="7">
        <f>'pivot tables'!AI56</f>
        <v>737.0933488816529</v>
      </c>
      <c r="AI37" s="7">
        <f>'pivot tables'!AJ56</f>
        <v>930.97343190078868</v>
      </c>
      <c r="AJ37" s="7">
        <f>'pivot tables'!AK56</f>
        <v>884.48822154451955</v>
      </c>
    </row>
    <row r="38" spans="2:36" x14ac:dyDescent="0.25">
      <c r="B38" t="s">
        <v>41</v>
      </c>
      <c r="C38" s="7">
        <f>'pivot tables'!D57</f>
        <v>315.69554226399998</v>
      </c>
      <c r="D38" s="7">
        <f>'pivot tables'!E57</f>
        <v>315.69554226399998</v>
      </c>
      <c r="E38" s="7">
        <f>'pivot tables'!F57</f>
        <v>258.04734897200001</v>
      </c>
      <c r="F38" s="7">
        <f>'pivot tables'!G57</f>
        <v>164.027500304</v>
      </c>
      <c r="G38" s="7">
        <f>'pivot tables'!H57</f>
        <v>296.40003267100002</v>
      </c>
      <c r="H38" s="7">
        <f>'pivot tables'!I57</f>
        <v>399.97042469399997</v>
      </c>
      <c r="I38" s="7">
        <f>'pivot tables'!J57</f>
        <v>460.032404676</v>
      </c>
      <c r="J38" s="7">
        <f>'pivot tables'!K57</f>
        <v>706.47612705999995</v>
      </c>
      <c r="K38" s="7">
        <f>'pivot tables'!L57</f>
        <v>825.62864701600006</v>
      </c>
      <c r="L38" s="7">
        <f>'pivot tables'!M57</f>
        <v>928.98610379700006</v>
      </c>
      <c r="M38" s="7">
        <f>'pivot tables'!N57</f>
        <v>975.16615518600008</v>
      </c>
      <c r="N38" s="7">
        <f>'pivot tables'!O57</f>
        <v>943.20493947499995</v>
      </c>
      <c r="O38" s="7">
        <f>'pivot tables'!P57</f>
        <v>966.68664321999995</v>
      </c>
      <c r="P38" s="7">
        <f>'pivot tables'!Q57</f>
        <v>973.21016118400007</v>
      </c>
      <c r="Q38" s="7">
        <f>'pivot tables'!R57</f>
        <v>952.85504485299998</v>
      </c>
      <c r="R38" s="7">
        <f>'pivot tables'!S57</f>
        <v>977.77240891400004</v>
      </c>
      <c r="S38" s="7">
        <f>'pivot tables'!T57</f>
        <v>1001.79060363</v>
      </c>
      <c r="T38" s="7">
        <f>'pivot tables'!U57</f>
        <v>765.05237126700001</v>
      </c>
      <c r="U38" s="7">
        <f>'pivot tables'!V57</f>
        <v>683.71793889900005</v>
      </c>
      <c r="V38" s="7">
        <f>'pivot tables'!W57</f>
        <v>741.20112256099992</v>
      </c>
      <c r="W38" s="7">
        <f>'pivot tables'!X57</f>
        <v>909.48654440399991</v>
      </c>
      <c r="X38" s="7">
        <f>'pivot tables'!Y57</f>
        <v>978.96638917999996</v>
      </c>
      <c r="Y38" s="7">
        <f>'pivot tables'!Z57</f>
        <v>952.79796576399997</v>
      </c>
      <c r="Z38" s="7">
        <f>'pivot tables'!AA57</f>
        <v>966.2879829719999</v>
      </c>
      <c r="AA38" s="7">
        <f>'pivot tables'!AB57</f>
        <v>970.95184660900009</v>
      </c>
      <c r="AB38" s="7">
        <f>'pivot tables'!AC57</f>
        <v>980.24271627999997</v>
      </c>
      <c r="AC38" s="7">
        <f>'pivot tables'!AD57</f>
        <v>1067.531747152</v>
      </c>
      <c r="AD38" s="7">
        <f>'pivot tables'!AE57</f>
        <v>1187.076332162</v>
      </c>
      <c r="AE38" s="7">
        <f>'pivot tables'!AF57</f>
        <v>1146.494761294</v>
      </c>
      <c r="AF38" s="7">
        <f>'pivot tables'!AG57</f>
        <v>1163.225576693</v>
      </c>
      <c r="AG38" s="7">
        <f>'pivot tables'!AH57</f>
        <v>1123.6757789999999</v>
      </c>
      <c r="AH38" s="7">
        <f>'pivot tables'!AI57</f>
        <v>1266.226089</v>
      </c>
      <c r="AI38" s="7">
        <f>'pivot tables'!AJ57</f>
        <v>1115.877639</v>
      </c>
      <c r="AJ38" s="7">
        <f>'pivot tables'!AK57</f>
        <v>1217.1913159999999</v>
      </c>
    </row>
    <row r="39" spans="2:36" x14ac:dyDescent="0.25">
      <c r="B39" t="s">
        <v>42</v>
      </c>
      <c r="C39" s="7">
        <f>'pivot tables'!D58</f>
        <v>1431.66</v>
      </c>
      <c r="D39" s="7">
        <f>'pivot tables'!E58</f>
        <v>1360.73</v>
      </c>
      <c r="E39" s="7">
        <f>'pivot tables'!F58</f>
        <v>1340.89</v>
      </c>
      <c r="F39" s="7">
        <f>'pivot tables'!G58</f>
        <v>1420.7</v>
      </c>
      <c r="G39" s="7">
        <f>'pivot tables'!H58</f>
        <v>1535.5</v>
      </c>
      <c r="H39" s="7">
        <f>'pivot tables'!I58</f>
        <v>1529.48</v>
      </c>
      <c r="I39" s="7">
        <f>'pivot tables'!J58</f>
        <v>1509.57</v>
      </c>
      <c r="J39" s="7">
        <f>'pivot tables'!K58</f>
        <v>1541.72</v>
      </c>
      <c r="K39" s="7">
        <f>'pivot tables'!L58</f>
        <v>1605.71</v>
      </c>
      <c r="L39" s="7">
        <f>'pivot tables'!M58</f>
        <v>1537.44</v>
      </c>
      <c r="M39" s="7">
        <f>'pivot tables'!N58</f>
        <v>1553.84</v>
      </c>
      <c r="N39" s="7">
        <f>'pivot tables'!O58</f>
        <v>1514.9</v>
      </c>
      <c r="O39" s="7">
        <f>'pivot tables'!P58</f>
        <v>1453.6</v>
      </c>
      <c r="P39" s="7">
        <f>'pivot tables'!Q58</f>
        <v>1468.4</v>
      </c>
      <c r="Q39" s="7">
        <f>'pivot tables'!R58</f>
        <v>1554.59</v>
      </c>
      <c r="R39" s="7">
        <f>'pivot tables'!S58</f>
        <v>1547.56</v>
      </c>
      <c r="S39" s="7">
        <f>'pivot tables'!T58</f>
        <v>1527.93</v>
      </c>
      <c r="T39" s="7">
        <f>'pivot tables'!U58</f>
        <v>1483.27</v>
      </c>
      <c r="U39" s="7">
        <f>'pivot tables'!V58</f>
        <v>1377.64</v>
      </c>
      <c r="V39" s="7">
        <f>'pivot tables'!W58</f>
        <v>1163.23</v>
      </c>
      <c r="W39" s="7">
        <f>'pivot tables'!X58</f>
        <v>1291.69</v>
      </c>
      <c r="X39" s="7">
        <f>'pivot tables'!Y58</f>
        <v>1237.4100000000001</v>
      </c>
      <c r="Y39" s="7">
        <f>'pivot tables'!Z58</f>
        <v>1121.26</v>
      </c>
      <c r="Z39" s="7">
        <f>'pivot tables'!AA58</f>
        <v>1024.1199999999999</v>
      </c>
      <c r="AA39" s="7">
        <f>'pivot tables'!AB58</f>
        <v>1063.9000000000001</v>
      </c>
      <c r="AB39" s="7">
        <f>'pivot tables'!AC58</f>
        <v>1057.82</v>
      </c>
      <c r="AC39" s="7">
        <f>'pivot tables'!AD58</f>
        <v>1121.56</v>
      </c>
      <c r="AD39" s="7">
        <f>'pivot tables'!AE58</f>
        <v>1151.96</v>
      </c>
      <c r="AE39" s="7">
        <f>'pivot tables'!AF58</f>
        <v>1173.54</v>
      </c>
      <c r="AF39" s="7">
        <f>'pivot tables'!AG58</f>
        <v>1168.57</v>
      </c>
      <c r="AG39" s="7">
        <f>'pivot tables'!AH58</f>
        <v>1119.0999999999999</v>
      </c>
      <c r="AH39" s="7">
        <f>'pivot tables'!AI58</f>
        <v>1167.29</v>
      </c>
      <c r="AI39" s="7">
        <f>'pivot tables'!AJ58</f>
        <v>1141.31</v>
      </c>
      <c r="AJ39" s="7">
        <f>'pivot tables'!AK58</f>
        <v>1066.51</v>
      </c>
    </row>
    <row r="40" spans="2:36" x14ac:dyDescent="0.25">
      <c r="B40" t="s">
        <v>43</v>
      </c>
      <c r="C40" s="7">
        <f>'pivot tables'!D59</f>
        <v>518.6184545454546</v>
      </c>
      <c r="D40" s="7">
        <f>'pivot tables'!E59</f>
        <v>477.93485454545458</v>
      </c>
      <c r="E40" s="7">
        <f>'pivot tables'!F59</f>
        <v>572.37339436363641</v>
      </c>
      <c r="F40" s="7">
        <f>'pivot tables'!G59</f>
        <v>652.68964145454538</v>
      </c>
      <c r="G40" s="7">
        <f>'pivot tables'!H59</f>
        <v>760.94607272727274</v>
      </c>
      <c r="H40" s="7">
        <f>'pivot tables'!I59</f>
        <v>687.50173636363638</v>
      </c>
      <c r="I40" s="7">
        <f>'pivot tables'!J59</f>
        <v>675.89991818181829</v>
      </c>
      <c r="J40" s="7">
        <f>'pivot tables'!K59</f>
        <v>775.90317272727293</v>
      </c>
      <c r="K40" s="7">
        <f>'pivot tables'!L59</f>
        <v>895.05908181818188</v>
      </c>
      <c r="L40" s="7">
        <f>'pivot tables'!M59</f>
        <v>1103.207072727273</v>
      </c>
      <c r="M40" s="7">
        <f>'pivot tables'!N59</f>
        <v>1223.3830090909089</v>
      </c>
      <c r="N40" s="7">
        <f>'pivot tables'!O59</f>
        <v>1168.706413636364</v>
      </c>
      <c r="O40" s="7">
        <f>'pivot tables'!P59</f>
        <v>1258.399472727273</v>
      </c>
      <c r="P40" s="7">
        <f>'pivot tables'!Q59</f>
        <v>1409.7114818181819</v>
      </c>
      <c r="Q40" s="7">
        <f>'pivot tables'!R59</f>
        <v>1618.403563636364</v>
      </c>
      <c r="R40" s="7">
        <f>'pivot tables'!S59</f>
        <v>1553.700354545455</v>
      </c>
      <c r="S40" s="7">
        <f>'pivot tables'!T59</f>
        <v>1627.739181818182</v>
      </c>
      <c r="T40" s="7">
        <f>'pivot tables'!U59</f>
        <v>1828.9836049090909</v>
      </c>
      <c r="U40" s="7">
        <f>'pivot tables'!V59</f>
        <v>1724.2803564545461</v>
      </c>
      <c r="V40" s="7">
        <f>'pivot tables'!W59</f>
        <v>1699.764273</v>
      </c>
      <c r="W40" s="7">
        <f>'pivot tables'!X59</f>
        <v>1847.0403703636371</v>
      </c>
      <c r="X40" s="7">
        <f>'pivot tables'!Y59</f>
        <v>1867.0712882727271</v>
      </c>
      <c r="Y40" s="7">
        <f>'pivot tables'!Z59</f>
        <v>1898.466926727272</v>
      </c>
      <c r="Z40" s="7">
        <f>'pivot tables'!AA59</f>
        <v>1952.7654362727269</v>
      </c>
      <c r="AA40" s="7">
        <f>'pivot tables'!AB59</f>
        <v>1987.281901636364</v>
      </c>
      <c r="AB40" s="7">
        <f>'pivot tables'!AC59</f>
        <v>2042.7552171818179</v>
      </c>
      <c r="AC40" s="7">
        <f>'pivot tables'!AD59</f>
        <v>2155.7022823636371</v>
      </c>
      <c r="AD40" s="7">
        <f>'pivot tables'!AE59</f>
        <v>2254.0921797272731</v>
      </c>
      <c r="AE40" s="7">
        <f>'pivot tables'!AF59</f>
        <v>2340.4700029090909</v>
      </c>
      <c r="AF40" s="7">
        <f>'pivot tables'!AG59</f>
        <v>2353.2667821818181</v>
      </c>
      <c r="AG40" s="7">
        <f>'pivot tables'!AH59</f>
        <v>2407.8447499090912</v>
      </c>
      <c r="AH40" s="7">
        <f>'pivot tables'!AI59</f>
        <v>2590.4934319090912</v>
      </c>
      <c r="AI40" s="7">
        <f>'pivot tables'!AJ59</f>
        <v>2420.1751524545448</v>
      </c>
      <c r="AJ40" s="7">
        <f>'pivot tables'!AK59</f>
        <v>2426.9251524545448</v>
      </c>
    </row>
    <row r="41" spans="2:36" x14ac:dyDescent="0.25">
      <c r="B41" t="s">
        <v>44</v>
      </c>
      <c r="C41" s="8">
        <f>'pivot tables'!D60/1000</f>
        <v>1231.7468607802471</v>
      </c>
      <c r="D41" s="8">
        <f>'pivot tables'!E60/1000</f>
        <v>1225.9836979645011</v>
      </c>
      <c r="E41" s="8">
        <f>'pivot tables'!F60/1000</f>
        <v>1145.2431385244372</v>
      </c>
      <c r="F41" s="8">
        <f>'pivot tables'!G60/1000</f>
        <v>1115.237169168696</v>
      </c>
      <c r="G41" s="8">
        <f>'pivot tables'!H60/1000</f>
        <v>1110.983397727405</v>
      </c>
      <c r="H41" s="8">
        <f>'pivot tables'!I60/1000</f>
        <v>1076.5982177029471</v>
      </c>
      <c r="I41" s="8">
        <f>'pivot tables'!J60/1000</f>
        <v>1129.5924099502602</v>
      </c>
      <c r="J41" s="8">
        <f>'pivot tables'!K60/1000</f>
        <v>1068.962301726634</v>
      </c>
      <c r="K41" s="8">
        <f>'pivot tables'!L60/1000</f>
        <v>987.13887733633612</v>
      </c>
      <c r="L41" s="8">
        <f>'pivot tables'!M60/1000</f>
        <v>1052.794388801399</v>
      </c>
      <c r="M41" s="8">
        <f>'pivot tables'!N60/1000</f>
        <v>1130.90485760761</v>
      </c>
      <c r="N41" s="8">
        <f>'pivot tables'!O60/1000</f>
        <v>1096.8638648130832</v>
      </c>
      <c r="O41" s="8">
        <f>'pivot tables'!P60/1000</f>
        <v>1140.8940681157799</v>
      </c>
      <c r="P41" s="8">
        <f>'pivot tables'!Q60/1000</f>
        <v>1229.292277452975</v>
      </c>
      <c r="Q41" s="8">
        <f>'pivot tables'!R60/1000</f>
        <v>1227.9729452226411</v>
      </c>
      <c r="R41" s="8">
        <f>'pivot tables'!S60/1000</f>
        <v>1254.7889683666781</v>
      </c>
      <c r="S41" s="8">
        <f>'pivot tables'!T60/1000</f>
        <v>1281.318598877617</v>
      </c>
      <c r="T41" s="8">
        <f>'pivot tables'!U60/1000</f>
        <v>1234.1899739297548</v>
      </c>
      <c r="U41" s="8">
        <f>'pivot tables'!V60/1000</f>
        <v>1239.9042414487089</v>
      </c>
      <c r="V41" s="8">
        <f>'pivot tables'!W60/1000</f>
        <v>1275.5817121282639</v>
      </c>
      <c r="W41" s="8">
        <f>'pivot tables'!X60/1000</f>
        <v>1167.5407079398531</v>
      </c>
      <c r="X41" s="8">
        <f>'pivot tables'!Y60/1000</f>
        <v>1200.2661683374449</v>
      </c>
      <c r="Y41" s="8">
        <f>'pivot tables'!Z60/1000</f>
        <v>1268.6817640405991</v>
      </c>
      <c r="Z41" s="8">
        <f>'pivot tables'!AA60/1000</f>
        <v>1113.9013323003401</v>
      </c>
      <c r="AA41" s="8">
        <f>'pivot tables'!AB60/1000</f>
        <v>1197.5833667420061</v>
      </c>
      <c r="AB41" s="8">
        <f>'pivot tables'!AC60/1000</f>
        <v>1308.0973203290841</v>
      </c>
      <c r="AC41" s="8">
        <f>'pivot tables'!AD60/1000</f>
        <v>1288.48318275015</v>
      </c>
      <c r="AD41" s="8">
        <f>'pivot tables'!AE60/1000</f>
        <v>1265.5332543675659</v>
      </c>
      <c r="AE41" s="8">
        <f>'pivot tables'!AF60/1000</f>
        <v>1307.1312504083039</v>
      </c>
      <c r="AF41" s="8">
        <f>'pivot tables'!AG60/1000</f>
        <v>1309.638842772855</v>
      </c>
      <c r="AG41" s="8">
        <f>'pivot tables'!AH60/1000</f>
        <v>1211.9386427090828</v>
      </c>
      <c r="AH41" s="8">
        <f>'pivot tables'!AI60/1000</f>
        <v>1314.8903871404</v>
      </c>
      <c r="AI41" s="8">
        <f>'pivot tables'!AJ60/1000</f>
        <v>1284.3009655020001</v>
      </c>
      <c r="AJ41" s="8">
        <f>'pivot tables'!AK60/1000</f>
        <v>1261.35517376899</v>
      </c>
    </row>
    <row r="42" spans="2:36" x14ac:dyDescent="0.25">
      <c r="B42" t="s">
        <v>45</v>
      </c>
      <c r="C42" s="7">
        <f>'pivot tables'!D61</f>
        <v>1187.4060583357559</v>
      </c>
      <c r="D42" s="7">
        <f>'pivot tables'!E61</f>
        <v>904.00347990041871</v>
      </c>
      <c r="E42" s="7">
        <f>'pivot tables'!F61</f>
        <v>979.16189257639712</v>
      </c>
      <c r="F42" s="7">
        <f>'pivot tables'!G61</f>
        <v>989.93313371946965</v>
      </c>
      <c r="G42" s="7">
        <f>'pivot tables'!H61</f>
        <v>654.09947060111494</v>
      </c>
      <c r="H42" s="7">
        <f>'pivot tables'!I61</f>
        <v>702.67975185241926</v>
      </c>
      <c r="I42" s="7">
        <f>'pivot tables'!J61</f>
        <v>668.35991405545394</v>
      </c>
      <c r="J42" s="7">
        <f>'pivot tables'!K61</f>
        <v>696.08883596039857</v>
      </c>
      <c r="K42" s="7">
        <f>'pivot tables'!L61</f>
        <v>738.55766156449886</v>
      </c>
      <c r="L42" s="7">
        <f>'pivot tables'!M61</f>
        <v>895.7335025577986</v>
      </c>
      <c r="M42" s="7">
        <f>'pivot tables'!N61</f>
        <v>1069.1663803618339</v>
      </c>
      <c r="N42" s="7">
        <f>'pivot tables'!O61</f>
        <v>1045.749462759326</v>
      </c>
      <c r="O42" s="7">
        <f>'pivot tables'!P61</f>
        <v>1217.8110322758521</v>
      </c>
      <c r="P42" s="7">
        <f>'pivot tables'!Q61</f>
        <v>1439.3974703282331</v>
      </c>
      <c r="Q42" s="7">
        <f>'pivot tables'!R61</f>
        <v>1563.1504191657809</v>
      </c>
      <c r="R42" s="7">
        <f>'pivot tables'!S61</f>
        <v>1441.8536357546111</v>
      </c>
      <c r="S42" s="7">
        <f>'pivot tables'!T61</f>
        <v>1342.421269811606</v>
      </c>
      <c r="T42" s="7">
        <f>'pivot tables'!U61</f>
        <v>1558.864619990256</v>
      </c>
      <c r="U42" s="7">
        <f>'pivot tables'!V61</f>
        <v>1586.116696004427</v>
      </c>
      <c r="V42" s="7">
        <f>'pivot tables'!W61</f>
        <v>1501.2681682199</v>
      </c>
      <c r="W42" s="7">
        <f>'pivot tables'!X61</f>
        <v>1822.76550515751</v>
      </c>
      <c r="X42" s="7">
        <f>'pivot tables'!Y61</f>
        <v>1896.0699343491581</v>
      </c>
      <c r="Y42" s="7">
        <f>'pivot tables'!Z61</f>
        <v>2390.9004498945269</v>
      </c>
      <c r="Z42" s="7">
        <f>'pivot tables'!AA61</f>
        <v>2541.277894957635</v>
      </c>
      <c r="AA42" s="7">
        <f>'pivot tables'!AB61</f>
        <v>2482.448526126173</v>
      </c>
      <c r="AB42" s="7">
        <f>'pivot tables'!AC61</f>
        <v>2493.736366194385</v>
      </c>
      <c r="AC42" s="7">
        <f>'pivot tables'!AD61</f>
        <v>2529.388628462711</v>
      </c>
      <c r="AD42" s="7">
        <f>'pivot tables'!AE61</f>
        <v>2500.937895560854</v>
      </c>
      <c r="AE42" s="7">
        <f>'pivot tables'!AF61</f>
        <v>2296.02307937249</v>
      </c>
      <c r="AF42" s="7">
        <f>'pivot tables'!AG61</f>
        <v>2372.3692906358751</v>
      </c>
      <c r="AG42" s="7">
        <f>'pivot tables'!AH61</f>
        <v>2323.4651556786439</v>
      </c>
      <c r="AH42" s="7">
        <f>'pivot tables'!AI61</f>
        <v>2262.3445397027108</v>
      </c>
      <c r="AI42" s="7">
        <f>'pivot tables'!AJ61</f>
        <v>1914.406792623005</v>
      </c>
      <c r="AJ42" s="7">
        <f>'pivot tables'!AK61</f>
        <v>1798.131382664651</v>
      </c>
    </row>
    <row r="43" spans="2:36" x14ac:dyDescent="0.25">
      <c r="B43" t="s">
        <v>46</v>
      </c>
      <c r="C43" s="8">
        <f>'pivot tables'!D62/1000</f>
        <v>445.37387934896333</v>
      </c>
      <c r="D43" s="8">
        <f>'pivot tables'!E62/1000</f>
        <v>335.83903797771649</v>
      </c>
      <c r="E43" s="8">
        <f>'pivot tables'!F62/1000</f>
        <v>239.53125680604941</v>
      </c>
      <c r="F43" s="8">
        <f>'pivot tables'!G62/1000</f>
        <v>304.95126375814351</v>
      </c>
      <c r="G43" s="8">
        <f>'pivot tables'!H62/1000</f>
        <v>345.84497797459602</v>
      </c>
      <c r="H43" s="8">
        <f>'pivot tables'!I62/1000</f>
        <v>338.02633098217331</v>
      </c>
      <c r="I43" s="8">
        <f>'pivot tables'!J62/1000</f>
        <v>371.11551759160028</v>
      </c>
      <c r="J43" s="8">
        <f>'pivot tables'!K62/1000</f>
        <v>429.55252432778138</v>
      </c>
      <c r="K43" s="8">
        <f>'pivot tables'!L62/1000</f>
        <v>542.97366448350954</v>
      </c>
      <c r="L43" s="8">
        <f>'pivot tables'!M62/1000</f>
        <v>618.950623356346</v>
      </c>
      <c r="M43" s="8">
        <f>'pivot tables'!N62/1000</f>
        <v>672.21942187066725</v>
      </c>
      <c r="N43" s="8">
        <f>'pivot tables'!O62/1000</f>
        <v>517.54745875456138</v>
      </c>
      <c r="O43" s="8">
        <f>'pivot tables'!P62/1000</f>
        <v>609.24441642177965</v>
      </c>
      <c r="P43" s="8">
        <f>'pivot tables'!Q62/1000</f>
        <v>667.37214097734443</v>
      </c>
      <c r="Q43" s="8">
        <f>'pivot tables'!R62/1000</f>
        <v>766.28896952467392</v>
      </c>
      <c r="R43" s="8">
        <f>'pivot tables'!S62/1000</f>
        <v>1014.655801762752</v>
      </c>
      <c r="S43" s="8">
        <f>'pivot tables'!T62/1000</f>
        <v>1005.846661802806</v>
      </c>
      <c r="T43" s="8">
        <f>'pivot tables'!U62/1000</f>
        <v>1061.5451016315499</v>
      </c>
      <c r="U43" s="8">
        <f>'pivot tables'!V62/1000</f>
        <v>1054.4896419219801</v>
      </c>
      <c r="V43" s="8">
        <f>'pivot tables'!W62/1000</f>
        <v>934.50023104162426</v>
      </c>
      <c r="W43" s="8">
        <f>'pivot tables'!X62/1000</f>
        <v>900.75465139546793</v>
      </c>
      <c r="X43" s="8">
        <f>'pivot tables'!Y62/1000</f>
        <v>821.76369612567851</v>
      </c>
      <c r="Y43" s="8">
        <f>'pivot tables'!Z62/1000</f>
        <v>662.87546995883815</v>
      </c>
      <c r="Z43" s="8">
        <f>'pivot tables'!AA62/1000</f>
        <v>640.27552033334916</v>
      </c>
      <c r="AA43" s="8">
        <f>'pivot tables'!AB62/1000</f>
        <v>719.7295315165245</v>
      </c>
      <c r="AB43" s="8">
        <f>'pivot tables'!AC62/1000</f>
        <v>783.21973633598725</v>
      </c>
      <c r="AC43" s="8">
        <f>'pivot tables'!AD62/1000</f>
        <v>827.76047139867376</v>
      </c>
      <c r="AD43" s="8">
        <f>'pivot tables'!AE62/1000</f>
        <v>842.2092109046323</v>
      </c>
      <c r="AE43" s="8">
        <f>'pivot tables'!AF62/1000</f>
        <v>797.20354450166383</v>
      </c>
      <c r="AF43" s="8">
        <f>'pivot tables'!AG62/1000</f>
        <v>730.7191252229369</v>
      </c>
      <c r="AG43" s="8">
        <f>'pivot tables'!AH62/1000</f>
        <v>617.59172061518484</v>
      </c>
      <c r="AH43" s="8">
        <f>'pivot tables'!AI62/1000</f>
        <v>654.70075260444912</v>
      </c>
      <c r="AI43" s="8">
        <f>'pivot tables'!AJ62/1000</f>
        <v>589.82404671562722</v>
      </c>
      <c r="AJ43" s="8">
        <f>'pivot tables'!AK62/1000</f>
        <v>630.4154155194226</v>
      </c>
    </row>
    <row r="44" spans="2:36" x14ac:dyDescent="0.25">
      <c r="B44" t="s">
        <v>47</v>
      </c>
      <c r="C44" s="7">
        <f>'pivot tables'!D63</f>
        <v>215.3552963578403</v>
      </c>
      <c r="D44" s="7">
        <f>'pivot tables'!E63</f>
        <v>182.6141657012854</v>
      </c>
      <c r="E44" s="7">
        <f>'pivot tables'!F63</f>
        <v>167.6416865108651</v>
      </c>
      <c r="F44" s="7">
        <f>'pivot tables'!G63</f>
        <v>154.698718248419</v>
      </c>
      <c r="G44" s="7">
        <f>'pivot tables'!H63</f>
        <v>167.45346460447149</v>
      </c>
      <c r="H44" s="7">
        <f>'pivot tables'!I63</f>
        <v>170.60401240325581</v>
      </c>
      <c r="I44" s="7">
        <f>'pivot tables'!J63</f>
        <v>189.6607027766874</v>
      </c>
      <c r="J44" s="7">
        <f>'pivot tables'!K63</f>
        <v>171.97850346501619</v>
      </c>
      <c r="K44" s="7">
        <f>'pivot tables'!L63</f>
        <v>199.4381659993696</v>
      </c>
      <c r="L44" s="7">
        <f>'pivot tables'!M63</f>
        <v>192.572689133159</v>
      </c>
      <c r="M44" s="7">
        <f>'pivot tables'!N63</f>
        <v>206.80469928348191</v>
      </c>
      <c r="N44" s="7">
        <f>'pivot tables'!O63</f>
        <v>206.36524964734519</v>
      </c>
      <c r="O44" s="7">
        <f>'pivot tables'!P63</f>
        <v>213.303895010313</v>
      </c>
      <c r="P44" s="7">
        <f>'pivot tables'!Q63</f>
        <v>223.15439348709609</v>
      </c>
      <c r="Q44" s="7">
        <f>'pivot tables'!R63</f>
        <v>234.15687036876091</v>
      </c>
      <c r="R44" s="7">
        <f>'pivot tables'!S63</f>
        <v>241.64137730266029</v>
      </c>
      <c r="S44" s="7">
        <f>'pivot tables'!T63</f>
        <v>251.1633563203556</v>
      </c>
      <c r="T44" s="7">
        <f>'pivot tables'!U63</f>
        <v>274.65043789100571</v>
      </c>
      <c r="U44" s="7">
        <f>'pivot tables'!V63</f>
        <v>250.71673503484249</v>
      </c>
      <c r="V44" s="7">
        <f>'pivot tables'!W63</f>
        <v>237.2234039508154</v>
      </c>
      <c r="W44" s="7">
        <f>'pivot tables'!X63</f>
        <v>222.26945731503361</v>
      </c>
      <c r="X44" s="7">
        <f>'pivot tables'!Y63</f>
        <v>206.71421222938471</v>
      </c>
      <c r="Y44" s="7">
        <f>'pivot tables'!Z63</f>
        <v>202.71889176638319</v>
      </c>
      <c r="Z44" s="7">
        <f>'pivot tables'!AA63</f>
        <v>191.0265561864197</v>
      </c>
      <c r="AA44" s="7">
        <f>'pivot tables'!AB63</f>
        <v>215.49583628178641</v>
      </c>
      <c r="AB44" s="7">
        <f>'pivot tables'!AC63</f>
        <v>222.2394220791619</v>
      </c>
      <c r="AC44" s="7">
        <f>'pivot tables'!AD63</f>
        <v>216.92280794481681</v>
      </c>
      <c r="AD44" s="7">
        <f>'pivot tables'!AE63</f>
        <v>213.54620825709259</v>
      </c>
      <c r="AE44" s="7">
        <f>'pivot tables'!AF63</f>
        <v>224.6873816349046</v>
      </c>
      <c r="AF44" s="7">
        <f>'pivot tables'!AG63</f>
        <v>260.39321285495117</v>
      </c>
      <c r="AG44" s="7">
        <f>'pivot tables'!AH63</f>
        <v>231.8466302768251</v>
      </c>
      <c r="AH44" s="7">
        <f>'pivot tables'!AI63</f>
        <v>246.89342125923051</v>
      </c>
      <c r="AI44" s="7">
        <f>'pivot tables'!AJ63</f>
        <v>276.92708003781217</v>
      </c>
      <c r="AJ44" s="7">
        <f>'pivot tables'!AK63</f>
        <v>267.96022527407251</v>
      </c>
    </row>
    <row r="45" spans="2:36" x14ac:dyDescent="0.25">
      <c r="B45" t="s">
        <v>48</v>
      </c>
      <c r="C45" s="8">
        <f>'pivot tables'!D64/1000</f>
        <v>9144.9590000000007</v>
      </c>
      <c r="D45" s="8">
        <f>'pivot tables'!E64/1000</f>
        <v>9097.5949999999993</v>
      </c>
      <c r="E45" s="8">
        <f>'pivot tables'!F64/1000</f>
        <v>9022.94</v>
      </c>
      <c r="F45" s="8">
        <f>'pivot tables'!G64/1000</f>
        <v>9589.7620000000006</v>
      </c>
      <c r="G45" s="8">
        <f>'pivot tables'!H64/1000</f>
        <v>9857.7289999999994</v>
      </c>
      <c r="H45" s="8">
        <f>'pivot tables'!I64/1000</f>
        <v>10137.078</v>
      </c>
      <c r="I45" s="8">
        <f>'pivot tables'!J64/1000</f>
        <v>10103.450999999999</v>
      </c>
      <c r="J45" s="8">
        <f>'pivot tables'!K64/1000</f>
        <v>10774.960999999999</v>
      </c>
      <c r="K45" s="8">
        <f>'pivot tables'!L64/1000</f>
        <v>10870.14</v>
      </c>
      <c r="L45" s="8">
        <f>'pivot tables'!M64/1000</f>
        <v>11032.981</v>
      </c>
      <c r="M45" s="8">
        <f>'pivot tables'!N64/1000</f>
        <v>11544.411</v>
      </c>
      <c r="N45" s="8">
        <f>'pivot tables'!O64/1000</f>
        <v>11419.040999999999</v>
      </c>
      <c r="O45" s="8">
        <f>'pivot tables'!P64/1000</f>
        <v>11830.611000000001</v>
      </c>
      <c r="P45" s="8">
        <f>'pivot tables'!Q64/1000</f>
        <v>12299.1</v>
      </c>
      <c r="Q45" s="8">
        <f>'pivot tables'!R64/1000</f>
        <v>12804.957</v>
      </c>
      <c r="R45" s="8">
        <f>'pivot tables'!S64/1000</f>
        <v>13704.353999999999</v>
      </c>
      <c r="S45" s="8">
        <f>'pivot tables'!T64/1000</f>
        <v>14448.302</v>
      </c>
      <c r="T45" s="8">
        <f>'pivot tables'!U64/1000</f>
        <v>14996.177</v>
      </c>
      <c r="U45" s="8">
        <f>'pivot tables'!V64/1000</f>
        <v>14894.579</v>
      </c>
      <c r="V45" s="8">
        <f>'pivot tables'!W64/1000</f>
        <v>14619.233</v>
      </c>
      <c r="W45" s="8">
        <f>'pivot tables'!X64/1000</f>
        <v>14974.029</v>
      </c>
      <c r="X45" s="8">
        <f>'pivot tables'!Y64/1000</f>
        <v>15150.557000000001</v>
      </c>
      <c r="Y45" s="8">
        <f>'pivot tables'!Z64/1000</f>
        <v>15412.701999999999</v>
      </c>
      <c r="Z45" s="8">
        <f>'pivot tables'!AA64/1000</f>
        <v>15553.82</v>
      </c>
      <c r="AA45" s="8">
        <f>'pivot tables'!AB64/1000</f>
        <v>16207.977000000001</v>
      </c>
      <c r="AB45" s="8">
        <f>'pivot tables'!AC64/1000</f>
        <v>16483.495999999999</v>
      </c>
      <c r="AC45" s="8">
        <f>'pivot tables'!AD64/1000</f>
        <v>17028.613000000001</v>
      </c>
      <c r="AD45" s="8">
        <f>'pivot tables'!AE64/1000</f>
        <v>16898.616999999998</v>
      </c>
      <c r="AE45" s="8">
        <f>'pivot tables'!AF64/1000</f>
        <v>16893.141</v>
      </c>
      <c r="AF45" s="8">
        <f>'pivot tables'!AG64/1000</f>
        <v>17311.705000000002</v>
      </c>
      <c r="AG45" s="8">
        <f>'pivot tables'!AH64/1000</f>
        <v>17989.361000000001</v>
      </c>
      <c r="AH45" s="8">
        <f>'pivot tables'!AI64/1000</f>
        <v>18275.404999999999</v>
      </c>
      <c r="AI45" s="8">
        <f>'pivot tables'!AJ64/1000</f>
        <v>18356.107</v>
      </c>
      <c r="AJ45" s="8">
        <f>'pivot tables'!AK64/1000</f>
        <v>17806.518</v>
      </c>
    </row>
    <row r="46" spans="2:36" x14ac:dyDescent="0.2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52" spans="2:36" x14ac:dyDescent="0.25">
      <c r="B52" t="s">
        <v>67</v>
      </c>
    </row>
    <row r="53" spans="2:36" s="6" customFormat="1" x14ac:dyDescent="0.25">
      <c r="B53" s="6" t="s">
        <v>23</v>
      </c>
      <c r="C53" s="6">
        <v>1990</v>
      </c>
      <c r="D53" s="6">
        <v>1991</v>
      </c>
      <c r="E53" s="6">
        <v>1992</v>
      </c>
      <c r="F53" s="6">
        <v>1993</v>
      </c>
      <c r="G53" s="6">
        <v>1994</v>
      </c>
      <c r="H53" s="6">
        <v>1995</v>
      </c>
      <c r="I53" s="6">
        <v>1996</v>
      </c>
      <c r="J53" s="6">
        <v>1997</v>
      </c>
      <c r="K53" s="6">
        <v>1998</v>
      </c>
      <c r="L53" s="6">
        <v>1999</v>
      </c>
      <c r="M53" s="6">
        <v>2000</v>
      </c>
      <c r="N53" s="6">
        <v>2001</v>
      </c>
      <c r="O53" s="6">
        <v>2002</v>
      </c>
      <c r="P53" s="6">
        <v>2003</v>
      </c>
      <c r="Q53" s="6">
        <v>2004</v>
      </c>
      <c r="R53" s="6">
        <v>2005</v>
      </c>
      <c r="S53" s="6">
        <v>2006</v>
      </c>
      <c r="T53" s="6">
        <v>2007</v>
      </c>
      <c r="U53" s="6">
        <v>2008</v>
      </c>
      <c r="V53" s="6">
        <v>2009</v>
      </c>
      <c r="W53" s="6">
        <v>2010</v>
      </c>
      <c r="X53" s="6">
        <v>2011</v>
      </c>
      <c r="Y53" s="6">
        <v>2012</v>
      </c>
      <c r="Z53" s="6">
        <v>2013</v>
      </c>
      <c r="AA53" s="6">
        <v>2014</v>
      </c>
      <c r="AB53" s="6">
        <v>2015</v>
      </c>
      <c r="AC53" s="6">
        <v>2016</v>
      </c>
      <c r="AD53" s="6">
        <v>2017</v>
      </c>
      <c r="AE53" s="6">
        <v>2018</v>
      </c>
      <c r="AF53" s="6">
        <v>2019</v>
      </c>
      <c r="AG53" s="6">
        <v>2020</v>
      </c>
      <c r="AH53" s="6">
        <v>2021</v>
      </c>
      <c r="AI53" s="6">
        <v>2022</v>
      </c>
      <c r="AJ53" s="6">
        <v>2023</v>
      </c>
    </row>
    <row r="54" spans="2:36" x14ac:dyDescent="0.25">
      <c r="B54" t="s">
        <v>24</v>
      </c>
      <c r="C54" s="7">
        <f>'pivot tables'!D106</f>
        <v>-6976.4548600137568</v>
      </c>
      <c r="D54" s="7">
        <f>'pivot tables'!E106</f>
        <v>-5109.0566092431063</v>
      </c>
      <c r="E54" s="7">
        <f>'pivot tables'!F106</f>
        <v>-5458.7910400022429</v>
      </c>
      <c r="F54" s="7">
        <f>'pivot tables'!G106</f>
        <v>-5440.9023034183128</v>
      </c>
      <c r="G54" s="7">
        <f>'pivot tables'!H106</f>
        <v>-6351.2919413820646</v>
      </c>
      <c r="H54" s="7">
        <f>'pivot tables'!I106</f>
        <v>-5727.7127938185322</v>
      </c>
      <c r="I54" s="7">
        <f>'pivot tables'!J106</f>
        <v>-6197.4496797667543</v>
      </c>
      <c r="J54" s="7">
        <f>'pivot tables'!K106</f>
        <v>-6089.2939171628586</v>
      </c>
      <c r="K54" s="7">
        <f>'pivot tables'!L106</f>
        <v>-5804.8253685919099</v>
      </c>
      <c r="L54" s="7">
        <f>'pivot tables'!M106</f>
        <v>-5822.7692360040464</v>
      </c>
      <c r="M54" s="7">
        <f>'pivot tables'!N106</f>
        <v>-5486.4917198277817</v>
      </c>
      <c r="N54" s="7">
        <f>'pivot tables'!O106</f>
        <v>-5569.0312672572491</v>
      </c>
      <c r="O54" s="7">
        <f>'pivot tables'!P106</f>
        <v>-6734.1939127144888</v>
      </c>
      <c r="P54" s="7">
        <f>'pivot tables'!Q106</f>
        <v>-7685.4408881082036</v>
      </c>
      <c r="Q54" s="7">
        <f>'pivot tables'!R106</f>
        <v>-7452.7406574924762</v>
      </c>
      <c r="R54" s="7">
        <f>'pivot tables'!S106</f>
        <v>-7447.6500135752458</v>
      </c>
      <c r="S54" s="7">
        <f>'pivot tables'!T106</f>
        <v>-8632.370933480719</v>
      </c>
      <c r="T54" s="7">
        <f>'pivot tables'!U106</f>
        <v>-9550.9640401217639</v>
      </c>
      <c r="U54" s="7">
        <f>'pivot tables'!V106</f>
        <v>-9789.2273934519599</v>
      </c>
      <c r="V54" s="7">
        <f>'pivot tables'!W106</f>
        <v>-7661.3277295719863</v>
      </c>
      <c r="W54" s="7">
        <f>'pivot tables'!X106</f>
        <v>-8125.4908498282048</v>
      </c>
      <c r="X54" s="7">
        <f>'pivot tables'!Y106</f>
        <v>-8579.4052377980897</v>
      </c>
      <c r="Y54" s="7">
        <f>'pivot tables'!Z106</f>
        <v>-8305.0480243989623</v>
      </c>
      <c r="Z54" s="7">
        <f>'pivot tables'!AA106</f>
        <v>-8011.1028853243688</v>
      </c>
      <c r="AA54" s="7">
        <f>'pivot tables'!AB106</f>
        <v>-7916.3610662926021</v>
      </c>
      <c r="AB54" s="7">
        <f>'pivot tables'!AC106</f>
        <v>-8220.2211404366044</v>
      </c>
      <c r="AC54" s="7">
        <f>'pivot tables'!AD106</f>
        <v>-7860.2299365700655</v>
      </c>
      <c r="AD54" s="7">
        <f>'pivot tables'!AE106</f>
        <v>-8278.3118462861785</v>
      </c>
      <c r="AE54" s="7">
        <f>'pivot tables'!AF106</f>
        <v>-8985.2107494548418</v>
      </c>
      <c r="AF54" s="7">
        <f>'pivot tables'!AG106</f>
        <v>-9893.4005584403967</v>
      </c>
      <c r="AG54" s="7">
        <f>'pivot tables'!AH106</f>
        <v>-8826.6390608557904</v>
      </c>
      <c r="AH54" s="7">
        <f>'pivot tables'!AI106</f>
        <v>-9620.072009815427</v>
      </c>
      <c r="AI54" s="7">
        <f>'pivot tables'!AJ106</f>
        <v>-10165.476415536359</v>
      </c>
      <c r="AJ54" s="7">
        <f>'pivot tables'!AK106</f>
        <v>-10000.194349430611</v>
      </c>
    </row>
    <row r="55" spans="2:36" x14ac:dyDescent="0.25">
      <c r="B55" t="s">
        <v>25</v>
      </c>
      <c r="C55" s="7">
        <f>'pivot tables'!D107</f>
        <v>-1.411794761834551</v>
      </c>
      <c r="D55" s="7">
        <f>'pivot tables'!E107</f>
        <v>-1.413047572738467</v>
      </c>
      <c r="E55" s="7">
        <f>'pivot tables'!F107</f>
        <v>-1.414696821524617</v>
      </c>
      <c r="F55" s="7">
        <f>'pivot tables'!G107</f>
        <v>-1.415742144566174</v>
      </c>
      <c r="G55" s="7">
        <f>'pivot tables'!H107</f>
        <v>-1.416571713472238</v>
      </c>
      <c r="H55" s="7">
        <f>'pivot tables'!I107</f>
        <v>-1.4172198376084419</v>
      </c>
      <c r="I55" s="7">
        <f>'pivot tables'!J107</f>
        <v>-1.4178762209660081</v>
      </c>
      <c r="J55" s="7">
        <f>'pivot tables'!K107</f>
        <v>-1.4189397274950151</v>
      </c>
      <c r="K55" s="7">
        <f>'pivot tables'!L107</f>
        <v>-1.4206939043655751</v>
      </c>
      <c r="L55" s="7">
        <f>'pivot tables'!M107</f>
        <v>-1.4211225278998521</v>
      </c>
      <c r="M55" s="7">
        <f>'pivot tables'!N107</f>
        <v>-1.42114470033638</v>
      </c>
      <c r="N55" s="7">
        <f>'pivot tables'!O107</f>
        <v>-1.421369118349372</v>
      </c>
      <c r="O55" s="7">
        <f>'pivot tables'!P107</f>
        <v>-1.422070818851257</v>
      </c>
      <c r="P55" s="7">
        <f>'pivot tables'!Q107</f>
        <v>-1.422585398771878</v>
      </c>
      <c r="Q55" s="7">
        <f>'pivot tables'!R107</f>
        <v>-1.4229516174112109</v>
      </c>
      <c r="R55" s="7">
        <f>'pivot tables'!S107</f>
        <v>-1.422207358063162</v>
      </c>
      <c r="S55" s="7">
        <f>'pivot tables'!T107</f>
        <v>-1.421831703483478</v>
      </c>
      <c r="T55" s="7">
        <f>'pivot tables'!U107</f>
        <v>-1.4221593011785949</v>
      </c>
      <c r="U55" s="7">
        <f>'pivot tables'!V107</f>
        <v>-1.4231108348253869</v>
      </c>
      <c r="V55" s="7">
        <f>'pivot tables'!W107</f>
        <v>-1.4236535119406091</v>
      </c>
      <c r="W55" s="7">
        <f>'pivot tables'!X107</f>
        <v>-5.7338855571386542</v>
      </c>
      <c r="X55" s="7">
        <f>'pivot tables'!Y107</f>
        <v>-5.733927816282951</v>
      </c>
      <c r="Y55" s="7">
        <f>'pivot tables'!Z107</f>
        <v>-5.7338117469511749</v>
      </c>
      <c r="Z55" s="7">
        <f>'pivot tables'!AA107</f>
        <v>-5.7336978711619322</v>
      </c>
      <c r="AA55" s="7">
        <f>'pivot tables'!AB107</f>
        <v>-5.7338694572399866</v>
      </c>
      <c r="AB55" s="7">
        <f>'pivot tables'!AC107</f>
        <v>-5.7336092863695782</v>
      </c>
      <c r="AC55" s="7">
        <f>'pivot tables'!AD107</f>
        <v>-5.7340591420177676</v>
      </c>
      <c r="AD55" s="7">
        <f>'pivot tables'!AE107</f>
        <v>-5.734041977847335</v>
      </c>
      <c r="AE55" s="7">
        <f>'pivot tables'!AF107</f>
        <v>-5.734041977847335</v>
      </c>
      <c r="AF55" s="7">
        <f>'pivot tables'!AG107</f>
        <v>-5.7340419778473253</v>
      </c>
      <c r="AG55" s="7">
        <f>'pivot tables'!AH107</f>
        <v>-5.7340419778473253</v>
      </c>
      <c r="AH55" s="7">
        <f>'pivot tables'!AI107</f>
        <v>-5.7340419778473146</v>
      </c>
      <c r="AI55" s="7">
        <f>'pivot tables'!AJ107</f>
        <v>-5.7340419778473253</v>
      </c>
      <c r="AJ55" s="7">
        <f>'pivot tables'!AK107</f>
        <v>-5.7340419778473164</v>
      </c>
    </row>
    <row r="56" spans="2:36" x14ac:dyDescent="0.25">
      <c r="B56" t="s">
        <v>26</v>
      </c>
      <c r="C56" s="7">
        <f>'pivot tables'!D108</f>
        <v>-25.634675868865141</v>
      </c>
      <c r="D56" s="7">
        <f>'pivot tables'!E108</f>
        <v>-26.295097432956709</v>
      </c>
      <c r="E56" s="7">
        <f>'pivot tables'!F108</f>
        <v>-26.937082951669879</v>
      </c>
      <c r="F56" s="7">
        <f>'pivot tables'!G108</f>
        <v>-25.278120782908239</v>
      </c>
      <c r="G56" s="7">
        <f>'pivot tables'!H108</f>
        <v>-25.3561234899048</v>
      </c>
      <c r="H56" s="7">
        <f>'pivot tables'!I108</f>
        <v>-24.598756666360899</v>
      </c>
      <c r="I56" s="7">
        <f>'pivot tables'!J108</f>
        <v>-24.53440973289965</v>
      </c>
      <c r="J56" s="7">
        <f>'pivot tables'!K108</f>
        <v>-24.39200845549669</v>
      </c>
      <c r="K56" s="7">
        <f>'pivot tables'!L108</f>
        <v>-24.698070398452838</v>
      </c>
      <c r="L56" s="7">
        <f>'pivot tables'!M108</f>
        <v>-25.442361531584289</v>
      </c>
      <c r="M56" s="7">
        <f>'pivot tables'!N108</f>
        <v>-25.131870019676761</v>
      </c>
      <c r="N56" s="7">
        <f>'pivot tables'!O108</f>
        <v>-24.477136495689908</v>
      </c>
      <c r="O56" s="7">
        <f>'pivot tables'!P108</f>
        <v>-25.04755071896987</v>
      </c>
      <c r="P56" s="7">
        <f>'pivot tables'!Q108</f>
        <v>-24.749294403745441</v>
      </c>
      <c r="Q56" s="7">
        <f>'pivot tables'!R108</f>
        <v>-24.74831583115472</v>
      </c>
      <c r="R56" s="7">
        <f>'pivot tables'!S108</f>
        <v>-25.511626213572079</v>
      </c>
      <c r="S56" s="7">
        <f>'pivot tables'!T108</f>
        <v>-25.166753897179699</v>
      </c>
      <c r="T56" s="7">
        <f>'pivot tables'!U108</f>
        <v>-26.06984100076486</v>
      </c>
      <c r="U56" s="7">
        <f>'pivot tables'!V108</f>
        <v>-29.852202310091251</v>
      </c>
      <c r="V56" s="7">
        <f>'pivot tables'!W108</f>
        <v>-24.482054099330512</v>
      </c>
      <c r="W56" s="7">
        <f>'pivot tables'!X108</f>
        <v>-25.94851770808652</v>
      </c>
      <c r="X56" s="7">
        <f>'pivot tables'!Y108</f>
        <v>-24.622241141956561</v>
      </c>
      <c r="Y56" s="7">
        <f>'pivot tables'!Z108</f>
        <v>-25.475623377781648</v>
      </c>
      <c r="Z56" s="7">
        <f>'pivot tables'!AA108</f>
        <v>-27.114711824894069</v>
      </c>
      <c r="AA56" s="7">
        <f>'pivot tables'!AB108</f>
        <v>-24.79395234693072</v>
      </c>
      <c r="AB56" s="7">
        <f>'pivot tables'!AC108</f>
        <v>-28.048543177677011</v>
      </c>
      <c r="AC56" s="7">
        <f>'pivot tables'!AD108</f>
        <v>-27.157420962152511</v>
      </c>
      <c r="AD56" s="7">
        <f>'pivot tables'!AE108</f>
        <v>-27.370987388613528</v>
      </c>
      <c r="AE56" s="7">
        <f>'pivot tables'!AF108</f>
        <v>-24.785298950318118</v>
      </c>
      <c r="AF56" s="7">
        <f>'pivot tables'!AG108</f>
        <v>-28.605294310150281</v>
      </c>
      <c r="AG56" s="7">
        <f>'pivot tables'!AH108</f>
        <v>-25.4778544847094</v>
      </c>
      <c r="AH56" s="7">
        <f>'pivot tables'!AI108</f>
        <v>-14.304394222594469</v>
      </c>
      <c r="AI56" s="7">
        <f>'pivot tables'!AJ108</f>
        <v>-42.500601463385998</v>
      </c>
      <c r="AJ56" s="7">
        <f>'pivot tables'!AK108</f>
        <v>-76.453976869873614</v>
      </c>
    </row>
    <row r="57" spans="2:36" x14ac:dyDescent="0.25">
      <c r="B57" t="s">
        <v>27</v>
      </c>
      <c r="C57" s="7">
        <f>'pivot tables'!D109</f>
        <v>-3063.86154562</v>
      </c>
      <c r="D57" s="7">
        <f>'pivot tables'!E109</f>
        <v>-2384.36338897</v>
      </c>
      <c r="E57" s="7">
        <f>'pivot tables'!F109</f>
        <v>-2371.5054526150002</v>
      </c>
      <c r="F57" s="7">
        <f>'pivot tables'!G109</f>
        <v>-2331.3513449850002</v>
      </c>
      <c r="G57" s="7">
        <f>'pivot tables'!H109</f>
        <v>-2437.17078528</v>
      </c>
      <c r="H57" s="7">
        <f>'pivot tables'!I109</f>
        <v>-2477.4694118150001</v>
      </c>
      <c r="I57" s="7">
        <f>'pivot tables'!J109</f>
        <v>-2496.480981445</v>
      </c>
      <c r="J57" s="7">
        <f>'pivot tables'!K109</f>
        <v>-2661.9352142849998</v>
      </c>
      <c r="K57" s="7">
        <f>'pivot tables'!L109</f>
        <v>-2876.1587681699998</v>
      </c>
      <c r="L57" s="7">
        <f>'pivot tables'!M109</f>
        <v>-2821.6772785849998</v>
      </c>
      <c r="M57" s="7">
        <f>'pivot tables'!N109</f>
        <v>-4724.0282698599995</v>
      </c>
      <c r="N57" s="7">
        <f>'pivot tables'!O109</f>
        <v>-3183.2988719949999</v>
      </c>
      <c r="O57" s="7">
        <f>'pivot tables'!P109</f>
        <v>-2709.26899843</v>
      </c>
      <c r="P57" s="7">
        <f>'pivot tables'!Q109</f>
        <v>-2945.1848944499998</v>
      </c>
      <c r="Q57" s="7">
        <f>'pivot tables'!R109</f>
        <v>-2966.1726912150002</v>
      </c>
      <c r="R57" s="7">
        <f>'pivot tables'!S109</f>
        <v>-3048.10267217</v>
      </c>
      <c r="S57" s="7">
        <f>'pivot tables'!T109</f>
        <v>-3326.1056581600001</v>
      </c>
      <c r="T57" s="7">
        <f>'pivot tables'!U109</f>
        <v>-3324.1303518549998</v>
      </c>
      <c r="U57" s="7">
        <f>'pivot tables'!V109</f>
        <v>-3126.8624362649998</v>
      </c>
      <c r="V57" s="7">
        <f>'pivot tables'!W109</f>
        <v>-2948.2093175499999</v>
      </c>
      <c r="W57" s="7">
        <f>'pivot tables'!X109</f>
        <v>-3072.580172240001</v>
      </c>
      <c r="X57" s="7">
        <f>'pivot tables'!Y109</f>
        <v>-3051.7771101650001</v>
      </c>
      <c r="Y57" s="7">
        <f>'pivot tables'!Z109</f>
        <v>-2854.076542155</v>
      </c>
      <c r="Z57" s="7">
        <f>'pivot tables'!AA109</f>
        <v>-2917.5522974199998</v>
      </c>
      <c r="AA57" s="7">
        <f>'pivot tables'!AB109</f>
        <v>-2986.3791825099988</v>
      </c>
      <c r="AB57" s="7">
        <f>'pivot tables'!AC109</f>
        <v>-2815.3449165500001</v>
      </c>
      <c r="AC57" s="7">
        <f>'pivot tables'!AD109</f>
        <v>-2774.1695938950002</v>
      </c>
      <c r="AD57" s="7">
        <f>'pivot tables'!AE109</f>
        <v>-2886.37245149</v>
      </c>
      <c r="AE57" s="7">
        <f>'pivot tables'!AF109</f>
        <v>-3342.3243481899999</v>
      </c>
      <c r="AF57" s="7">
        <f>'pivot tables'!AG109</f>
        <v>-3080.1291197700002</v>
      </c>
      <c r="AG57" s="7">
        <f>'pivot tables'!AH109</f>
        <v>-3155.5930671350002</v>
      </c>
      <c r="AH57" s="7">
        <f>'pivot tables'!AI109</f>
        <v>-3257.9511344099992</v>
      </c>
      <c r="AI57" s="7">
        <f>'pivot tables'!AJ109</f>
        <v>-3362.11677199</v>
      </c>
      <c r="AJ57" s="7">
        <f>'pivot tables'!AK109</f>
        <v>-3237.7261531899999</v>
      </c>
    </row>
    <row r="58" spans="2:36" x14ac:dyDescent="0.25">
      <c r="B58" t="s">
        <v>28</v>
      </c>
      <c r="C58" s="7">
        <f>'pivot tables'!D110</f>
        <v>-4724.3547836570024</v>
      </c>
      <c r="D58" s="7">
        <f>'pivot tables'!E110</f>
        <v>-3844.9856398398229</v>
      </c>
      <c r="E58" s="7">
        <f>'pivot tables'!F110</f>
        <v>-3577.8405922046591</v>
      </c>
      <c r="F58" s="7">
        <f>'pivot tables'!G110</f>
        <v>-3584.5240578915168</v>
      </c>
      <c r="G58" s="7">
        <f>'pivot tables'!H110</f>
        <v>-4167.7518289420714</v>
      </c>
      <c r="H58" s="7">
        <f>'pivot tables'!I110</f>
        <v>-4390.3166097194726</v>
      </c>
      <c r="I58" s="7">
        <f>'pivot tables'!J110</f>
        <v>-4457.4796743253992</v>
      </c>
      <c r="J58" s="7">
        <f>'pivot tables'!K110</f>
        <v>-4850.7673820161936</v>
      </c>
      <c r="K58" s="7">
        <f>'pivot tables'!L110</f>
        <v>-4920.5491211209619</v>
      </c>
      <c r="L58" s="7">
        <f>'pivot tables'!M110</f>
        <v>-5012.9453159711866</v>
      </c>
      <c r="M58" s="7">
        <f>'pivot tables'!N110</f>
        <v>-5111.582328892785</v>
      </c>
      <c r="N58" s="7">
        <f>'pivot tables'!O110</f>
        <v>-5066.3884870945776</v>
      </c>
      <c r="O58" s="7">
        <f>'pivot tables'!P110</f>
        <v>-5086.1845205139407</v>
      </c>
      <c r="P58" s="7">
        <f>'pivot tables'!Q110</f>
        <v>-5253.5452545666694</v>
      </c>
      <c r="Q58" s="7">
        <f>'pivot tables'!R110</f>
        <v>-5409.5567479299834</v>
      </c>
      <c r="R58" s="7">
        <f>'pivot tables'!S110</f>
        <v>-5364.2177291173293</v>
      </c>
      <c r="S58" s="7">
        <f>'pivot tables'!T110</f>
        <v>-6106.741695496059</v>
      </c>
      <c r="T58" s="7">
        <f>'pivot tables'!U110</f>
        <v>-6345.3641136319638</v>
      </c>
      <c r="U58" s="7">
        <f>'pivot tables'!V110</f>
        <v>-5564.8186953791464</v>
      </c>
      <c r="V58" s="7">
        <f>'pivot tables'!W110</f>
        <v>-5328.496587323918</v>
      </c>
      <c r="W58" s="7">
        <f>'pivot tables'!X110</f>
        <v>-5752.2401152698831</v>
      </c>
      <c r="X58" s="7">
        <f>'pivot tables'!Y110</f>
        <v>-5215.8012740004506</v>
      </c>
      <c r="Y58" s="7">
        <f>'pivot tables'!Z110</f>
        <v>-5164.2700055143696</v>
      </c>
      <c r="Z58" s="7">
        <f>'pivot tables'!AA110</f>
        <v>-5243.9099685692127</v>
      </c>
      <c r="AA58" s="7">
        <f>'pivot tables'!AB110</f>
        <v>-5276.9639692470801</v>
      </c>
      <c r="AB58" s="7">
        <f>'pivot tables'!AC110</f>
        <v>-5487.8975288513038</v>
      </c>
      <c r="AC58" s="7">
        <f>'pivot tables'!AD110</f>
        <v>-5928.3751360850792</v>
      </c>
      <c r="AD58" s="7">
        <f>'pivot tables'!AE110</f>
        <v>-6493.0150615574366</v>
      </c>
      <c r="AE58" s="7">
        <f>'pivot tables'!AF110</f>
        <v>-8550.6534970517296</v>
      </c>
      <c r="AF58" s="7">
        <f>'pivot tables'!AG110</f>
        <v>-10742.255227866521</v>
      </c>
      <c r="AG58" s="7">
        <f>'pivot tables'!AH110</f>
        <v>-11684.01965798675</v>
      </c>
      <c r="AH58" s="7">
        <f>'pivot tables'!AI110</f>
        <v>-9932.9095914150403</v>
      </c>
      <c r="AI58" s="7">
        <f>'pivot tables'!AJ110</f>
        <v>-8370.8170025374748</v>
      </c>
      <c r="AJ58" s="7">
        <f>'pivot tables'!AK110</f>
        <v>-6256.899484158037</v>
      </c>
    </row>
    <row r="59" spans="2:36" x14ac:dyDescent="0.25">
      <c r="B59" t="s">
        <v>29</v>
      </c>
      <c r="C59" s="7">
        <f>'pivot tables'!D111</f>
        <v>-294.8715388</v>
      </c>
      <c r="D59" s="7">
        <f>'pivot tables'!E111</f>
        <v>-290.94526148</v>
      </c>
      <c r="E59" s="7">
        <f>'pivot tables'!F111</f>
        <v>-292.51961167000002</v>
      </c>
      <c r="F59" s="7">
        <f>'pivot tables'!G111</f>
        <v>-296.28431511999997</v>
      </c>
      <c r="G59" s="7">
        <f>'pivot tables'!H111</f>
        <v>-294.35745718999999</v>
      </c>
      <c r="H59" s="7">
        <f>'pivot tables'!I111</f>
        <v>-297.28738055999997</v>
      </c>
      <c r="I59" s="7">
        <f>'pivot tables'!J111</f>
        <v>-296.70434673</v>
      </c>
      <c r="J59" s="7">
        <f>'pivot tables'!K111</f>
        <v>-296.89926000000003</v>
      </c>
      <c r="K59" s="7">
        <f>'pivot tables'!L111</f>
        <v>-296.64174035999997</v>
      </c>
      <c r="L59" s="7">
        <f>'pivot tables'!M111</f>
        <v>-295.16098763999997</v>
      </c>
      <c r="M59" s="7">
        <f>'pivot tables'!N111</f>
        <v>-297.08535060999998</v>
      </c>
      <c r="N59" s="7">
        <f>'pivot tables'!O111</f>
        <v>-310.45120682999999</v>
      </c>
      <c r="O59" s="7">
        <f>'pivot tables'!P111</f>
        <v>-312.12671415</v>
      </c>
      <c r="P59" s="7">
        <f>'pivot tables'!Q111</f>
        <v>-307.77881694000001</v>
      </c>
      <c r="Q59" s="7">
        <f>'pivot tables'!R111</f>
        <v>-312.28116491999998</v>
      </c>
      <c r="R59" s="7">
        <f>'pivot tables'!S111</f>
        <v>-313.31624241999992</v>
      </c>
      <c r="S59" s="7">
        <f>'pivot tables'!T111</f>
        <v>-259.12916439999998</v>
      </c>
      <c r="T59" s="7">
        <f>'pivot tables'!U111</f>
        <v>-265.89251509000002</v>
      </c>
      <c r="U59" s="7">
        <f>'pivot tables'!V111</f>
        <v>-275.34540057999999</v>
      </c>
      <c r="V59" s="7">
        <f>'pivot tables'!W111</f>
        <v>-291.86754474999998</v>
      </c>
      <c r="W59" s="7">
        <f>'pivot tables'!X111</f>
        <v>-305.85415446000002</v>
      </c>
      <c r="X59" s="7">
        <f>'pivot tables'!Y111</f>
        <v>-214.70527250999999</v>
      </c>
      <c r="Y59" s="7">
        <f>'pivot tables'!Z111</f>
        <v>-232.75347556</v>
      </c>
      <c r="Z59" s="7">
        <f>'pivot tables'!AA111</f>
        <v>-246.87461052</v>
      </c>
      <c r="AA59" s="7">
        <f>'pivot tables'!AB111</f>
        <v>-254.01623332</v>
      </c>
      <c r="AB59" s="7">
        <f>'pivot tables'!AC111</f>
        <v>-265.71935021000002</v>
      </c>
      <c r="AC59" s="7">
        <f>'pivot tables'!AD111</f>
        <v>-479.87628609000001</v>
      </c>
      <c r="AD59" s="7">
        <f>'pivot tables'!AE111</f>
        <v>-496.26615978000001</v>
      </c>
      <c r="AE59" s="7">
        <f>'pivot tables'!AF111</f>
        <v>-9157.0421376400009</v>
      </c>
      <c r="AF59" s="7">
        <f>'pivot tables'!AG111</f>
        <v>-8909.3781646799998</v>
      </c>
      <c r="AG59" s="7">
        <f>'pivot tables'!AH111</f>
        <v>-9910.8937346799994</v>
      </c>
      <c r="AH59" s="7">
        <f>'pivot tables'!AI111</f>
        <v>-9051.0438842999993</v>
      </c>
      <c r="AI59" s="7">
        <f>'pivot tables'!AJ111</f>
        <v>-8717.5974801499997</v>
      </c>
      <c r="AJ59" s="7">
        <f>'pivot tables'!AK111</f>
        <v>-7233.33318805</v>
      </c>
    </row>
    <row r="60" spans="2:36" x14ac:dyDescent="0.25">
      <c r="B60" t="s">
        <v>30</v>
      </c>
      <c r="C60" s="7">
        <f>'pivot tables'!D112</f>
        <v>-30.095466856200002</v>
      </c>
      <c r="D60" s="7">
        <f>'pivot tables'!E112</f>
        <v>-17.843677129585</v>
      </c>
      <c r="E60" s="7">
        <f>'pivot tables'!F112</f>
        <v>-17.836723129585</v>
      </c>
      <c r="F60" s="7">
        <f>'pivot tables'!G112</f>
        <v>-17.829769129584999</v>
      </c>
      <c r="G60" s="7">
        <f>'pivot tables'!H112</f>
        <v>-17.343616129585001</v>
      </c>
      <c r="H60" s="7">
        <f>'pivot tables'!I112</f>
        <v>-16.284584624585001</v>
      </c>
      <c r="I60" s="7">
        <f>'pivot tables'!J112</f>
        <v>-16.284584624585001</v>
      </c>
      <c r="J60" s="7">
        <f>'pivot tables'!K112</f>
        <v>-16.284584624585001</v>
      </c>
      <c r="K60" s="7">
        <f>'pivot tables'!L112</f>
        <v>-16.284584624585001</v>
      </c>
      <c r="L60" s="7">
        <f>'pivot tables'!M112</f>
        <v>-16.284584624585001</v>
      </c>
      <c r="M60" s="7">
        <f>'pivot tables'!N112</f>
        <v>-16.383758178284999</v>
      </c>
      <c r="N60" s="7">
        <f>'pivot tables'!O112</f>
        <v>-16.383758178284999</v>
      </c>
      <c r="O60" s="7">
        <f>'pivot tables'!P112</f>
        <v>-16.383758178284999</v>
      </c>
      <c r="P60" s="7">
        <f>'pivot tables'!Q112</f>
        <v>-16.383758178284999</v>
      </c>
      <c r="Q60" s="7">
        <f>'pivot tables'!R112</f>
        <v>-16.383758178284999</v>
      </c>
      <c r="R60" s="7">
        <f>'pivot tables'!S112</f>
        <v>-17.049705321585002</v>
      </c>
      <c r="S60" s="7">
        <f>'pivot tables'!T112</f>
        <v>-23.22414459935333</v>
      </c>
      <c r="T60" s="7">
        <f>'pivot tables'!U112</f>
        <v>-28.713532128353329</v>
      </c>
      <c r="U60" s="7">
        <f>'pivot tables'!V112</f>
        <v>-34.202919657353327</v>
      </c>
      <c r="V60" s="7">
        <f>'pivot tables'!W112</f>
        <v>-39.692307186353332</v>
      </c>
      <c r="W60" s="7">
        <f>'pivot tables'!X112</f>
        <v>-44.515747572353327</v>
      </c>
      <c r="X60" s="7">
        <f>'pivot tables'!Y112</f>
        <v>-44.515747572353327</v>
      </c>
      <c r="Y60" s="7">
        <f>'pivot tables'!Z112</f>
        <v>-49.54788888142</v>
      </c>
      <c r="Z60" s="7">
        <f>'pivot tables'!AA112</f>
        <v>-41.958319346499998</v>
      </c>
      <c r="AA60" s="7">
        <f>'pivot tables'!AB112</f>
        <v>-39.173276961029998</v>
      </c>
      <c r="AB60" s="7">
        <f>'pivot tables'!AC112</f>
        <v>-47.220122893150013</v>
      </c>
      <c r="AC60" s="7">
        <f>'pivot tables'!AD112</f>
        <v>-44.136253433379999</v>
      </c>
      <c r="AD60" s="7">
        <f>'pivot tables'!AE112</f>
        <v>-42.029576038024999</v>
      </c>
      <c r="AE60" s="7">
        <f>'pivot tables'!AF112</f>
        <v>-43.563264420229999</v>
      </c>
      <c r="AF60" s="7">
        <f>'pivot tables'!AG112</f>
        <v>-40.491534935479997</v>
      </c>
      <c r="AG60" s="7">
        <f>'pivot tables'!AH112</f>
        <v>-46.631226175480002</v>
      </c>
      <c r="AH60" s="7">
        <f>'pivot tables'!AI112</f>
        <v>-53.388978712579998</v>
      </c>
      <c r="AI60" s="7">
        <f>'pivot tables'!AJ112</f>
        <v>-44.300126330579999</v>
      </c>
      <c r="AJ60" s="7">
        <f>'pivot tables'!AK112</f>
        <v>-48.365678146999997</v>
      </c>
    </row>
    <row r="61" spans="2:36" x14ac:dyDescent="0.25">
      <c r="B61" t="s">
        <v>31</v>
      </c>
      <c r="C61" s="7">
        <f>'pivot tables'!D113</f>
        <v>0</v>
      </c>
      <c r="D61" s="7">
        <f>'pivot tables'!E113</f>
        <v>0</v>
      </c>
      <c r="E61" s="7">
        <f>'pivot tables'!F113</f>
        <v>0</v>
      </c>
      <c r="F61" s="7">
        <f>'pivot tables'!G113</f>
        <v>0</v>
      </c>
      <c r="G61" s="7">
        <f>'pivot tables'!H113</f>
        <v>0</v>
      </c>
      <c r="H61" s="7">
        <f>'pivot tables'!I113</f>
        <v>0</v>
      </c>
      <c r="I61" s="7">
        <f>'pivot tables'!J113</f>
        <v>0</v>
      </c>
      <c r="J61" s="7">
        <f>'pivot tables'!K113</f>
        <v>0</v>
      </c>
      <c r="K61" s="7">
        <f>'pivot tables'!L113</f>
        <v>0</v>
      </c>
      <c r="L61" s="7">
        <f>'pivot tables'!M113</f>
        <v>0</v>
      </c>
      <c r="M61" s="7">
        <f>'pivot tables'!N113</f>
        <v>0</v>
      </c>
      <c r="N61" s="7">
        <f>'pivot tables'!O113</f>
        <v>0</v>
      </c>
      <c r="O61" s="7">
        <f>'pivot tables'!P113</f>
        <v>0</v>
      </c>
      <c r="P61" s="7">
        <f>'pivot tables'!Q113</f>
        <v>0</v>
      </c>
      <c r="Q61" s="7">
        <f>'pivot tables'!R113</f>
        <v>0</v>
      </c>
      <c r="R61" s="7">
        <f>'pivot tables'!S113</f>
        <v>0</v>
      </c>
      <c r="S61" s="7">
        <f>'pivot tables'!T113</f>
        <v>0</v>
      </c>
      <c r="T61" s="7">
        <f>'pivot tables'!U113</f>
        <v>0</v>
      </c>
      <c r="U61" s="7">
        <f>'pivot tables'!V113</f>
        <v>0</v>
      </c>
      <c r="V61" s="7">
        <f>'pivot tables'!W113</f>
        <v>0</v>
      </c>
      <c r="W61" s="7">
        <f>'pivot tables'!X113</f>
        <v>0</v>
      </c>
      <c r="X61" s="7">
        <f>'pivot tables'!Y113</f>
        <v>0</v>
      </c>
      <c r="Y61" s="7">
        <f>'pivot tables'!Z113</f>
        <v>0</v>
      </c>
      <c r="Z61" s="7">
        <f>'pivot tables'!AA113</f>
        <v>0</v>
      </c>
      <c r="AA61" s="7">
        <f>'pivot tables'!AB113</f>
        <v>0</v>
      </c>
      <c r="AB61" s="7">
        <f>'pivot tables'!AC113</f>
        <v>0</v>
      </c>
      <c r="AC61" s="7">
        <f>'pivot tables'!AD113</f>
        <v>0</v>
      </c>
      <c r="AD61" s="7">
        <f>'pivot tables'!AE113</f>
        <v>0</v>
      </c>
      <c r="AE61" s="7">
        <f>'pivot tables'!AF113</f>
        <v>0</v>
      </c>
      <c r="AF61" s="7">
        <f>'pivot tables'!AG113</f>
        <v>0</v>
      </c>
      <c r="AG61" s="7">
        <f>'pivot tables'!AH113</f>
        <v>0</v>
      </c>
      <c r="AH61" s="7">
        <f>'pivot tables'!AI113</f>
        <v>0</v>
      </c>
      <c r="AI61" s="7">
        <f>'pivot tables'!AJ113</f>
        <v>0</v>
      </c>
      <c r="AJ61" s="7">
        <f>'pivot tables'!AK113</f>
        <v>0</v>
      </c>
    </row>
    <row r="62" spans="2:36" x14ac:dyDescent="0.25">
      <c r="B62" t="s">
        <v>32</v>
      </c>
      <c r="C62" s="7">
        <f>'pivot tables'!D114</f>
        <v>-192.72315134179371</v>
      </c>
      <c r="D62" s="7">
        <f>'pivot tables'!E114</f>
        <v>-243.0195178106664</v>
      </c>
      <c r="E62" s="7">
        <f>'pivot tables'!F114</f>
        <v>-306.44209388309991</v>
      </c>
      <c r="F62" s="7">
        <f>'pivot tables'!G114</f>
        <v>-386.41652221785853</v>
      </c>
      <c r="G62" s="7">
        <f>'pivot tables'!H114</f>
        <v>-487.26246042394467</v>
      </c>
      <c r="H62" s="7">
        <f>'pivot tables'!I114</f>
        <v>-614.42689866283229</v>
      </c>
      <c r="I62" s="7">
        <f>'pivot tables'!J114</f>
        <v>-774.77836784710109</v>
      </c>
      <c r="J62" s="7">
        <f>'pivot tables'!K114</f>
        <v>-976.9779294985309</v>
      </c>
      <c r="K62" s="7">
        <f>'pivot tables'!L114</f>
        <v>-1231.946985535352</v>
      </c>
      <c r="L62" s="7">
        <f>'pivot tables'!M114</f>
        <v>-1553.457175791732</v>
      </c>
      <c r="M62" s="7">
        <f>'pivot tables'!N114</f>
        <v>-1958.874225395452</v>
      </c>
      <c r="N62" s="7">
        <f>'pivot tables'!O114</f>
        <v>-2470.09591942113</v>
      </c>
      <c r="O62" s="7">
        <f>'pivot tables'!P114</f>
        <v>-3114.7348676299971</v>
      </c>
      <c r="P62" s="7">
        <f>'pivot tables'!Q114</f>
        <v>-2567.2550002726548</v>
      </c>
      <c r="Q62" s="7">
        <f>'pivot tables'!R114</f>
        <v>-2376.527231894986</v>
      </c>
      <c r="R62" s="7">
        <f>'pivot tables'!S114</f>
        <v>-1870.7274290486389</v>
      </c>
      <c r="S62" s="7">
        <f>'pivot tables'!T114</f>
        <v>-1540.749717366228</v>
      </c>
      <c r="T62" s="7">
        <f>'pivot tables'!U114</f>
        <v>-1280.654835311735</v>
      </c>
      <c r="U62" s="7">
        <f>'pivot tables'!V114</f>
        <v>-1282.2183732463429</v>
      </c>
      <c r="V62" s="7">
        <f>'pivot tables'!W114</f>
        <v>-1278.8175715231009</v>
      </c>
      <c r="W62" s="7">
        <f>'pivot tables'!X114</f>
        <v>-1754.9008115424169</v>
      </c>
      <c r="X62" s="7">
        <f>'pivot tables'!Y114</f>
        <v>-2495.8332180327652</v>
      </c>
      <c r="Y62" s="7">
        <f>'pivot tables'!Z114</f>
        <v>-2719.496924962099</v>
      </c>
      <c r="Z62" s="7">
        <f>'pivot tables'!AA114</f>
        <v>-2939.247569539983</v>
      </c>
      <c r="AA62" s="7">
        <f>'pivot tables'!AB114</f>
        <v>-2904.269113542216</v>
      </c>
      <c r="AB62" s="7">
        <f>'pivot tables'!AC114</f>
        <v>-2960.050711863274</v>
      </c>
      <c r="AC62" s="7">
        <f>'pivot tables'!AD114</f>
        <v>-3060.7933109248502</v>
      </c>
      <c r="AD62" s="7">
        <f>'pivot tables'!AE114</f>
        <v>-3180.7886990675288</v>
      </c>
      <c r="AE62" s="7">
        <f>'pivot tables'!AF114</f>
        <v>-3573.864771967334</v>
      </c>
      <c r="AF62" s="7">
        <f>'pivot tables'!AG114</f>
        <v>-3499.4485907936669</v>
      </c>
      <c r="AG62" s="7">
        <f>'pivot tables'!AH114</f>
        <v>-2946.139434102447</v>
      </c>
      <c r="AH62" s="7">
        <f>'pivot tables'!AI114</f>
        <v>-2866.164377878265</v>
      </c>
      <c r="AI62" s="7">
        <f>'pivot tables'!AJ114</f>
        <v>-2657.7288983723602</v>
      </c>
      <c r="AJ62" s="7">
        <f>'pivot tables'!AK114</f>
        <v>-3124.0438777993909</v>
      </c>
    </row>
    <row r="63" spans="2:36" x14ac:dyDescent="0.25">
      <c r="B63" t="s">
        <v>33</v>
      </c>
      <c r="C63" s="7">
        <f>'pivot tables'!D115</f>
        <v>-20331.181</v>
      </c>
      <c r="D63" s="7">
        <f>'pivot tables'!E115</f>
        <v>-16569.37</v>
      </c>
      <c r="E63" s="7">
        <f>'pivot tables'!F115</f>
        <v>-18750.891</v>
      </c>
      <c r="F63" s="7">
        <f>'pivot tables'!G115</f>
        <v>-19735.591</v>
      </c>
      <c r="G63" s="7">
        <f>'pivot tables'!H115</f>
        <v>-22493.893</v>
      </c>
      <c r="H63" s="7">
        <f>'pivot tables'!I115</f>
        <v>-23185.588</v>
      </c>
      <c r="I63" s="7">
        <f>'pivot tables'!J115</f>
        <v>-21441.603999999999</v>
      </c>
      <c r="J63" s="7">
        <f>'pivot tables'!K115</f>
        <v>-23989.691999999999</v>
      </c>
      <c r="K63" s="7">
        <f>'pivot tables'!L115</f>
        <v>-25139.687000000002</v>
      </c>
      <c r="L63" s="7">
        <f>'pivot tables'!M115</f>
        <v>-25501.02</v>
      </c>
      <c r="M63" s="7">
        <f>'pivot tables'!N115</f>
        <v>-26105.974999999999</v>
      </c>
      <c r="N63" s="7">
        <f>'pivot tables'!O115</f>
        <v>-25397.377</v>
      </c>
      <c r="O63" s="7">
        <f>'pivot tables'!P115</f>
        <v>-25706.742999999999</v>
      </c>
      <c r="P63" s="7">
        <f>'pivot tables'!Q115</f>
        <v>-25997.241000000002</v>
      </c>
      <c r="Q63" s="7">
        <f>'pivot tables'!R115</f>
        <v>-25986.260999999999</v>
      </c>
      <c r="R63" s="7">
        <f>'pivot tables'!S115</f>
        <v>-25145.595000000001</v>
      </c>
      <c r="S63" s="7">
        <f>'pivot tables'!T115</f>
        <v>-24466.9</v>
      </c>
      <c r="T63" s="7">
        <f>'pivot tables'!U115</f>
        <v>-27203.93</v>
      </c>
      <c r="U63" s="7">
        <f>'pivot tables'!V115</f>
        <v>-25452.438999999998</v>
      </c>
      <c r="V63" s="7">
        <f>'pivot tables'!W115</f>
        <v>-21465.821</v>
      </c>
      <c r="W63" s="7">
        <f>'pivot tables'!X115</f>
        <v>-25791.516</v>
      </c>
      <c r="X63" s="7">
        <f>'pivot tables'!Y115</f>
        <v>-26013.351999999999</v>
      </c>
      <c r="Y63" s="7">
        <f>'pivot tables'!Z115</f>
        <v>-25681.023000000001</v>
      </c>
      <c r="Z63" s="7">
        <f>'pivot tables'!AA115</f>
        <v>-27886.781999999999</v>
      </c>
      <c r="AA63" s="7">
        <f>'pivot tables'!AB115</f>
        <v>-27805.458999999999</v>
      </c>
      <c r="AB63" s="7">
        <f>'pivot tables'!AC115</f>
        <v>-28829.708999999999</v>
      </c>
      <c r="AC63" s="7">
        <f>'pivot tables'!AD115</f>
        <v>-29628.847000000002</v>
      </c>
      <c r="AD63" s="7">
        <f>'pivot tables'!AE115</f>
        <v>-30243.723999999998</v>
      </c>
      <c r="AE63" s="7">
        <f>'pivot tables'!AF115</f>
        <v>-32256.871999999999</v>
      </c>
      <c r="AF63" s="7">
        <f>'pivot tables'!AG115</f>
        <v>-30211.734</v>
      </c>
      <c r="AG63" s="7">
        <f>'pivot tables'!AH115</f>
        <v>-28667.498</v>
      </c>
      <c r="AH63" s="7">
        <f>'pivot tables'!AI115</f>
        <v>-31554.488000000001</v>
      </c>
      <c r="AI63" s="7">
        <f>'pivot tables'!AJ115</f>
        <v>-31099.381000000001</v>
      </c>
      <c r="AJ63" s="7">
        <f>'pivot tables'!AK115</f>
        <v>-30172.134999999998</v>
      </c>
    </row>
    <row r="64" spans="2:36" x14ac:dyDescent="0.25">
      <c r="B64" t="s">
        <v>34</v>
      </c>
      <c r="C64" s="7">
        <f>'pivot tables'!D116</f>
        <v>-24735.10918792204</v>
      </c>
      <c r="D64" s="7">
        <f>'pivot tables'!E116</f>
        <v>-26318.260103669301</v>
      </c>
      <c r="E64" s="7">
        <f>'pivot tables'!F116</f>
        <v>-26619.54828252878</v>
      </c>
      <c r="F64" s="7">
        <f>'pivot tables'!G116</f>
        <v>-25744.014722543761</v>
      </c>
      <c r="G64" s="7">
        <f>'pivot tables'!H116</f>
        <v>-26033.150273893731</v>
      </c>
      <c r="H64" s="7">
        <f>'pivot tables'!I116</f>
        <v>-25895.697167546481</v>
      </c>
      <c r="I64" s="7">
        <f>'pivot tables'!J116</f>
        <v>-24437.38316640606</v>
      </c>
      <c r="J64" s="7">
        <f>'pivot tables'!K116</f>
        <v>-24938.157074083141</v>
      </c>
      <c r="K64" s="7">
        <f>'pivot tables'!L116</f>
        <v>-25010.97640104228</v>
      </c>
      <c r="L64" s="7">
        <f>'pivot tables'!M116</f>
        <v>-42592.330752478359</v>
      </c>
      <c r="M64" s="7">
        <f>'pivot tables'!N116</f>
        <v>-28328.597006983629</v>
      </c>
      <c r="N64" s="7">
        <f>'pivot tables'!O116</f>
        <v>-25577.522265873569</v>
      </c>
      <c r="O64" s="7">
        <f>'pivot tables'!P116</f>
        <v>-23261.10512267872</v>
      </c>
      <c r="P64" s="7">
        <f>'pivot tables'!Q116</f>
        <v>-22406.136823148041</v>
      </c>
      <c r="Q64" s="7">
        <f>'pivot tables'!R116</f>
        <v>-22711.187619113429</v>
      </c>
      <c r="R64" s="7">
        <f>'pivot tables'!S116</f>
        <v>-22895.956442884559</v>
      </c>
      <c r="S64" s="7">
        <f>'pivot tables'!T116</f>
        <v>-22924.187434543179</v>
      </c>
      <c r="T64" s="7">
        <f>'pivot tables'!U116</f>
        <v>-23121.112739165801</v>
      </c>
      <c r="U64" s="7">
        <f>'pivot tables'!V116</f>
        <v>-22506.825225329139</v>
      </c>
      <c r="V64" s="7">
        <f>'pivot tables'!W116</f>
        <v>-29483.017765292159</v>
      </c>
      <c r="W64" s="7">
        <f>'pivot tables'!X116</f>
        <v>-24684.295247147271</v>
      </c>
      <c r="X64" s="7">
        <f>'pivot tables'!Y116</f>
        <v>-24119.074777164511</v>
      </c>
      <c r="Y64" s="7">
        <f>'pivot tables'!Z116</f>
        <v>-23152.844087670961</v>
      </c>
      <c r="Z64" s="7">
        <f>'pivot tables'!AA116</f>
        <v>-22949.888915343709</v>
      </c>
      <c r="AA64" s="7">
        <f>'pivot tables'!AB116</f>
        <v>-24241.559482196539</v>
      </c>
      <c r="AB64" s="7">
        <f>'pivot tables'!AC116</f>
        <v>-24917.274367547328</v>
      </c>
      <c r="AC64" s="7">
        <f>'pivot tables'!AD116</f>
        <v>-26558.8740142844</v>
      </c>
      <c r="AD64" s="7">
        <f>'pivot tables'!AE116</f>
        <v>-28709.15891039183</v>
      </c>
      <c r="AE64" s="7">
        <f>'pivot tables'!AF116</f>
        <v>-30478.022518611891</v>
      </c>
      <c r="AF64" s="7">
        <f>'pivot tables'!AG116</f>
        <v>-31832.485989665402</v>
      </c>
      <c r="AG64" s="7">
        <f>'pivot tables'!AH116</f>
        <v>-31995.1730034012</v>
      </c>
      <c r="AH64" s="7">
        <f>'pivot tables'!AI116</f>
        <v>-33391.020320665142</v>
      </c>
      <c r="AI64" s="7">
        <f>'pivot tables'!AJ116</f>
        <v>-32803.535926270997</v>
      </c>
      <c r="AJ64" s="7">
        <f>'pivot tables'!AK116</f>
        <v>-32286.270287967989</v>
      </c>
    </row>
    <row r="65" spans="2:36" x14ac:dyDescent="0.25">
      <c r="B65" t="s">
        <v>50</v>
      </c>
      <c r="C65" s="7">
        <f>'pivot tables'!D117</f>
        <v>-8257.5457332084225</v>
      </c>
      <c r="D65" s="7">
        <f>'pivot tables'!E117</f>
        <v>-8383.5547215568931</v>
      </c>
      <c r="E65" s="7">
        <f>'pivot tables'!F117</f>
        <v>-8578.040740583132</v>
      </c>
      <c r="F65" s="7">
        <f>'pivot tables'!G117</f>
        <v>-8785.919170917914</v>
      </c>
      <c r="G65" s="7">
        <f>'pivot tables'!H117</f>
        <v>-9153.5309285138537</v>
      </c>
      <c r="H65" s="7">
        <f>'pivot tables'!I117</f>
        <v>-9362.2294887300231</v>
      </c>
      <c r="I65" s="7">
        <f>'pivot tables'!J117</f>
        <v>-9510.4106763106174</v>
      </c>
      <c r="J65" s="7">
        <f>'pivot tables'!K117</f>
        <v>-9760.9819993417186</v>
      </c>
      <c r="K65" s="7">
        <f>'pivot tables'!L117</f>
        <v>-9898.4441266156173</v>
      </c>
      <c r="L65" s="7">
        <f>'pivot tables'!M117</f>
        <v>-10190.168258997021</v>
      </c>
      <c r="M65" s="7">
        <f>'pivot tables'!N117</f>
        <v>-10379.099664912361</v>
      </c>
      <c r="N65" s="7">
        <f>'pivot tables'!O117</f>
        <v>-10427.340958535669</v>
      </c>
      <c r="O65" s="7">
        <f>'pivot tables'!P117</f>
        <v>-10583.867819722351</v>
      </c>
      <c r="P65" s="7">
        <f>'pivot tables'!Q117</f>
        <v>-10809.092583070091</v>
      </c>
      <c r="Q65" s="7">
        <f>'pivot tables'!R117</f>
        <v>-10905.725992289161</v>
      </c>
      <c r="R65" s="7">
        <f>'pivot tables'!S117</f>
        <v>-11047.400382689881</v>
      </c>
      <c r="S65" s="7">
        <f>'pivot tables'!T117</f>
        <v>-11208.060538077511</v>
      </c>
      <c r="T65" s="7">
        <f>'pivot tables'!U117</f>
        <v>-11461.998214987911</v>
      </c>
      <c r="U65" s="7">
        <f>'pivot tables'!V117</f>
        <v>-11454.179661551299</v>
      </c>
      <c r="V65" s="7">
        <f>'pivot tables'!W117</f>
        <v>-11706.190823254619</v>
      </c>
      <c r="W65" s="7">
        <f>'pivot tables'!X117</f>
        <v>-12005.758934246091</v>
      </c>
      <c r="X65" s="7">
        <f>'pivot tables'!Y117</f>
        <v>-12321.297571439971</v>
      </c>
      <c r="Y65" s="7">
        <f>'pivot tables'!Z117</f>
        <v>-12802.625259489259</v>
      </c>
      <c r="Z65" s="7">
        <f>'pivot tables'!AA117</f>
        <v>-12827.09197091555</v>
      </c>
      <c r="AA65" s="7">
        <f>'pivot tables'!AB117</f>
        <v>-12985.790530425749</v>
      </c>
      <c r="AB65" s="7">
        <f>'pivot tables'!AC117</f>
        <v>-13222.27248885524</v>
      </c>
      <c r="AC65" s="7">
        <f>'pivot tables'!AD117</f>
        <v>-13201.98782990753</v>
      </c>
      <c r="AD65" s="7">
        <f>'pivot tables'!AE117</f>
        <v>-13285.02391747386</v>
      </c>
      <c r="AE65" s="7">
        <f>'pivot tables'!AF117</f>
        <v>-13378.44388397389</v>
      </c>
      <c r="AF65" s="7">
        <f>'pivot tables'!AG117</f>
        <v>-13519.08026160613</v>
      </c>
      <c r="AG65" s="7">
        <f>'pivot tables'!AH117</f>
        <v>-13656.44144069162</v>
      </c>
      <c r="AH65" s="7">
        <f>'pivot tables'!AI117</f>
        <v>-13824.166394886561</v>
      </c>
      <c r="AI65" s="7">
        <f>'pivot tables'!AJ117</f>
        <v>-13995.602306416689</v>
      </c>
      <c r="AJ65" s="7">
        <f>'pivot tables'!AK117</f>
        <v>-14180.268294658321</v>
      </c>
    </row>
    <row r="66" spans="2:36" x14ac:dyDescent="0.25">
      <c r="B66" t="s">
        <v>36</v>
      </c>
      <c r="C66" s="7">
        <f>'pivot tables'!D118</f>
        <v>0</v>
      </c>
      <c r="D66" s="7">
        <f>'pivot tables'!E118</f>
        <v>0</v>
      </c>
      <c r="E66" s="7">
        <f>'pivot tables'!F118</f>
        <v>0</v>
      </c>
      <c r="F66" s="7">
        <f>'pivot tables'!G118</f>
        <v>0</v>
      </c>
      <c r="G66" s="7">
        <f>'pivot tables'!H118</f>
        <v>-3.1527433092598498</v>
      </c>
      <c r="H66" s="7">
        <f>'pivot tables'!I118</f>
        <v>-6.76965297150495</v>
      </c>
      <c r="I66" s="7">
        <f>'pivot tables'!J118</f>
        <v>-12.030674342977999</v>
      </c>
      <c r="J66" s="7">
        <f>'pivot tables'!K118</f>
        <v>-20.895790271813901</v>
      </c>
      <c r="K66" s="7">
        <f>'pivot tables'!L118</f>
        <v>-22.662465935749029</v>
      </c>
      <c r="L66" s="7">
        <f>'pivot tables'!M118</f>
        <v>-23.892209928496388</v>
      </c>
      <c r="M66" s="7">
        <f>'pivot tables'!N118</f>
        <v>-37.479032086186884</v>
      </c>
      <c r="N66" s="7">
        <f>'pivot tables'!O118</f>
        <v>-36.104621891014268</v>
      </c>
      <c r="O66" s="7">
        <f>'pivot tables'!P118</f>
        <v>-29.91287292353211</v>
      </c>
      <c r="P66" s="7">
        <f>'pivot tables'!Q118</f>
        <v>-41.106560616118408</v>
      </c>
      <c r="Q66" s="7">
        <f>'pivot tables'!R118</f>
        <v>-46.336040243836727</v>
      </c>
      <c r="R66" s="7">
        <f>'pivot tables'!S118</f>
        <v>-43.011039515906042</v>
      </c>
      <c r="S66" s="7">
        <f>'pivot tables'!T118</f>
        <v>-45.984241249650623</v>
      </c>
      <c r="T66" s="7">
        <f>'pivot tables'!U118</f>
        <v>-75.446961523971225</v>
      </c>
      <c r="U66" s="7">
        <f>'pivot tables'!V118</f>
        <v>-54.044227762793717</v>
      </c>
      <c r="V66" s="7">
        <f>'pivot tables'!W118</f>
        <v>-50.5964108399628</v>
      </c>
      <c r="W66" s="7">
        <f>'pivot tables'!X118</f>
        <v>-41.732732948559658</v>
      </c>
      <c r="X66" s="7">
        <f>'pivot tables'!Y118</f>
        <v>-46.265713524013108</v>
      </c>
      <c r="Y66" s="7">
        <f>'pivot tables'!Z118</f>
        <v>-47.402328667999441</v>
      </c>
      <c r="Z66" s="7">
        <f>'pivot tables'!AA118</f>
        <v>-42.145498564701633</v>
      </c>
      <c r="AA66" s="7">
        <f>'pivot tables'!AB118</f>
        <v>-36.259772061233249</v>
      </c>
      <c r="AB66" s="7">
        <f>'pivot tables'!AC118</f>
        <v>-37.5962831216887</v>
      </c>
      <c r="AC66" s="7">
        <f>'pivot tables'!AD118</f>
        <v>-30.537315593604468</v>
      </c>
      <c r="AD66" s="7">
        <f>'pivot tables'!AE118</f>
        <v>-32.570024837312332</v>
      </c>
      <c r="AE66" s="7">
        <f>'pivot tables'!AF118</f>
        <v>-29.892177326994769</v>
      </c>
      <c r="AF66" s="7">
        <f>'pivot tables'!AG118</f>
        <v>-16.202706145511549</v>
      </c>
      <c r="AG66" s="7">
        <f>'pivot tables'!AH118</f>
        <v>-14.0073631942868</v>
      </c>
      <c r="AH66" s="7">
        <f>'pivot tables'!AI118</f>
        <v>-12.754241223223371</v>
      </c>
      <c r="AI66" s="7">
        <f>'pivot tables'!AJ118</f>
        <v>-11.649236620294939</v>
      </c>
      <c r="AJ66" s="7">
        <f>'pivot tables'!AK118</f>
        <v>-8.4508246697609462</v>
      </c>
    </row>
    <row r="67" spans="2:36" x14ac:dyDescent="0.25">
      <c r="B67" t="s">
        <v>37</v>
      </c>
      <c r="C67" s="7">
        <f>'pivot tables'!D119</f>
        <v>-1821.8306468300491</v>
      </c>
      <c r="D67" s="7">
        <f>'pivot tables'!E119</f>
        <v>-1393.3692189830299</v>
      </c>
      <c r="E67" s="7">
        <f>'pivot tables'!F119</f>
        <v>-1337.640432630209</v>
      </c>
      <c r="F67" s="7">
        <f>'pivot tables'!G119</f>
        <v>-1301.0889882548699</v>
      </c>
      <c r="G67" s="7">
        <f>'pivot tables'!H119</f>
        <v>-1387.1663546710499</v>
      </c>
      <c r="H67" s="7">
        <f>'pivot tables'!I119</f>
        <v>-1308.8080385234621</v>
      </c>
      <c r="I67" s="7">
        <f>'pivot tables'!J119</f>
        <v>-1397.59583999397</v>
      </c>
      <c r="J67" s="7">
        <f>'pivot tables'!K119</f>
        <v>-1564.12608157508</v>
      </c>
      <c r="K67" s="7">
        <f>'pivot tables'!L119</f>
        <v>-1588.7655340555721</v>
      </c>
      <c r="L67" s="7">
        <f>'pivot tables'!M119</f>
        <v>-1576.9508120491059</v>
      </c>
      <c r="M67" s="7">
        <f>'pivot tables'!N119</f>
        <v>-1669.533528281898</v>
      </c>
      <c r="N67" s="7">
        <f>'pivot tables'!O119</f>
        <v>-1685.875590404683</v>
      </c>
      <c r="O67" s="7">
        <f>'pivot tables'!P119</f>
        <v>-1678.434199054107</v>
      </c>
      <c r="P67" s="7">
        <f>'pivot tables'!Q119</f>
        <v>-1774.5980607186821</v>
      </c>
      <c r="Q67" s="7">
        <f>'pivot tables'!R119</f>
        <v>-1849.8434766139981</v>
      </c>
      <c r="R67" s="7">
        <f>'pivot tables'!S119</f>
        <v>-1856.869189729447</v>
      </c>
      <c r="S67" s="7">
        <f>'pivot tables'!T119</f>
        <v>-1919.50190159627</v>
      </c>
      <c r="T67" s="7">
        <f>'pivot tables'!U119</f>
        <v>-2047.8128850546329</v>
      </c>
      <c r="U67" s="7">
        <f>'pivot tables'!V119</f>
        <v>-2062.4653440610759</v>
      </c>
      <c r="V67" s="7">
        <f>'pivot tables'!W119</f>
        <v>-1962.3097195767859</v>
      </c>
      <c r="W67" s="7">
        <f>'pivot tables'!X119</f>
        <v>-2005.023824000584</v>
      </c>
      <c r="X67" s="7">
        <f>'pivot tables'!Y119</f>
        <v>-2272.308833224105</v>
      </c>
      <c r="Y67" s="7">
        <f>'pivot tables'!Z119</f>
        <v>-2305.6053076811809</v>
      </c>
      <c r="Z67" s="7">
        <f>'pivot tables'!AA119</f>
        <v>-2294.4128185480399</v>
      </c>
      <c r="AA67" s="7">
        <f>'pivot tables'!AB119</f>
        <v>-2369.1457257958659</v>
      </c>
      <c r="AB67" s="7">
        <f>'pivot tables'!AC119</f>
        <v>-2454.5268736832181</v>
      </c>
      <c r="AC67" s="7">
        <f>'pivot tables'!AD119</f>
        <v>-2484.7228359584578</v>
      </c>
      <c r="AD67" s="7">
        <f>'pivot tables'!AE119</f>
        <v>-2572.2426890108982</v>
      </c>
      <c r="AE67" s="7">
        <f>'pivot tables'!AF119</f>
        <v>-2619.1882027929878</v>
      </c>
      <c r="AF67" s="7">
        <f>'pivot tables'!AG119</f>
        <v>-2574.377875001926</v>
      </c>
      <c r="AG67" s="7">
        <f>'pivot tables'!AH119</f>
        <v>-2485.2720800604252</v>
      </c>
      <c r="AH67" s="7">
        <f>'pivot tables'!AI119</f>
        <v>-2536.7175495551119</v>
      </c>
      <c r="AI67" s="7">
        <f>'pivot tables'!AJ119</f>
        <v>-2595.0601393120419</v>
      </c>
      <c r="AJ67" s="7">
        <f>'pivot tables'!AK119</f>
        <v>-2548.9495231901328</v>
      </c>
    </row>
    <row r="68" spans="2:36" x14ac:dyDescent="0.25">
      <c r="B68" t="s">
        <v>38</v>
      </c>
      <c r="C68" s="7">
        <f>'pivot tables'!D120</f>
        <v>-1962.1270465113651</v>
      </c>
      <c r="D68" s="7">
        <f>'pivot tables'!E120</f>
        <v>-1986.901421552692</v>
      </c>
      <c r="E68" s="7">
        <f>'pivot tables'!F120</f>
        <v>-2228.841648676661</v>
      </c>
      <c r="F68" s="7">
        <f>'pivot tables'!G120</f>
        <v>-2137.6184295351059</v>
      </c>
      <c r="G68" s="7">
        <f>'pivot tables'!H120</f>
        <v>-2310.9304439096099</v>
      </c>
      <c r="H68" s="7">
        <f>'pivot tables'!I120</f>
        <v>-2459.7295821304178</v>
      </c>
      <c r="I68" s="7">
        <f>'pivot tables'!J120</f>
        <v>-2564.2171063809742</v>
      </c>
      <c r="J68" s="7">
        <f>'pivot tables'!K120</f>
        <v>-2383.6184356392368</v>
      </c>
      <c r="K68" s="7">
        <f>'pivot tables'!L120</f>
        <v>-2658.822245178771</v>
      </c>
      <c r="L68" s="7">
        <f>'pivot tables'!M120</f>
        <v>-2777.4149234272022</v>
      </c>
      <c r="M68" s="7">
        <f>'pivot tables'!N120</f>
        <v>-3079.0877080876298</v>
      </c>
      <c r="N68" s="7">
        <f>'pivot tables'!O120</f>
        <v>-3206.205362684987</v>
      </c>
      <c r="O68" s="7">
        <f>'pivot tables'!P120</f>
        <v>-3339.0858540378172</v>
      </c>
      <c r="P68" s="7">
        <f>'pivot tables'!Q120</f>
        <v>-3292.566260141502</v>
      </c>
      <c r="Q68" s="7">
        <f>'pivot tables'!R120</f>
        <v>-3149.400782074526</v>
      </c>
      <c r="R68" s="7">
        <f>'pivot tables'!S120</f>
        <v>-3405.5892274621078</v>
      </c>
      <c r="S68" s="7">
        <f>'pivot tables'!T120</f>
        <v>-3221.3725116246578</v>
      </c>
      <c r="T68" s="7">
        <f>'pivot tables'!U120</f>
        <v>-3469.9519099058921</v>
      </c>
      <c r="U68" s="7">
        <f>'pivot tables'!V120</f>
        <v>-3285.440705850307</v>
      </c>
      <c r="V68" s="7">
        <f>'pivot tables'!W120</f>
        <v>-3497.6617133734799</v>
      </c>
      <c r="W68" s="7">
        <f>'pivot tables'!X120</f>
        <v>-3736.671520132842</v>
      </c>
      <c r="X68" s="7">
        <f>'pivot tables'!Y120</f>
        <v>-3783.4109357776169</v>
      </c>
      <c r="Y68" s="7">
        <f>'pivot tables'!Z120</f>
        <v>-3800.2755136368442</v>
      </c>
      <c r="Z68" s="7">
        <f>'pivot tables'!AA120</f>
        <v>-3835.7508989023509</v>
      </c>
      <c r="AA68" s="7">
        <f>'pivot tables'!AB120</f>
        <v>-4123.7036329577577</v>
      </c>
      <c r="AB68" s="7">
        <f>'pivot tables'!AC120</f>
        <v>-4023.6595783157218</v>
      </c>
      <c r="AC68" s="7">
        <f>'pivot tables'!AD120</f>
        <v>-4172.8851582802135</v>
      </c>
      <c r="AD68" s="7">
        <f>'pivot tables'!AE120</f>
        <v>-4750.9180111185124</v>
      </c>
      <c r="AE68" s="7">
        <f>'pivot tables'!AF120</f>
        <v>-4785.8622230266228</v>
      </c>
      <c r="AF68" s="7">
        <f>'pivot tables'!AG120</f>
        <v>-4985.1391566324992</v>
      </c>
      <c r="AG68" s="7">
        <f>'pivot tables'!AH120</f>
        <v>-4848.3587821340934</v>
      </c>
      <c r="AH68" s="7">
        <f>'pivot tables'!AI120</f>
        <v>-5132.9417228486927</v>
      </c>
      <c r="AI68" s="7">
        <f>'pivot tables'!AJ120</f>
        <v>-4987.5144831588532</v>
      </c>
      <c r="AJ68" s="7">
        <f>'pivot tables'!AK120</f>
        <v>-5064.8598497494004</v>
      </c>
    </row>
    <row r="69" spans="2:36" x14ac:dyDescent="0.25">
      <c r="B69" t="s">
        <v>39</v>
      </c>
      <c r="C69" s="7">
        <f>'pivot tables'!D121</f>
        <v>-14587.115537893569</v>
      </c>
      <c r="D69" s="7">
        <f>'pivot tables'!E121</f>
        <v>-11634.881175052231</v>
      </c>
      <c r="E69" s="7">
        <f>'pivot tables'!F121</f>
        <v>-12225.637397050299</v>
      </c>
      <c r="F69" s="7">
        <f>'pivot tables'!G121</f>
        <v>-15184.80057564551</v>
      </c>
      <c r="G69" s="7">
        <f>'pivot tables'!H121</f>
        <v>-12651.65449186934</v>
      </c>
      <c r="H69" s="7">
        <f>'pivot tables'!I121</f>
        <v>-12066.17799221819</v>
      </c>
      <c r="I69" s="7">
        <f>'pivot tables'!J121</f>
        <v>-12348.25498204171</v>
      </c>
      <c r="J69" s="7">
        <f>'pivot tables'!K121</f>
        <v>-14551.079113968441</v>
      </c>
      <c r="K69" s="7">
        <f>'pivot tables'!L121</f>
        <v>-15129.083329224421</v>
      </c>
      <c r="L69" s="7">
        <f>'pivot tables'!M121</f>
        <v>-13880.34726859094</v>
      </c>
      <c r="M69" s="7">
        <f>'pivot tables'!N121</f>
        <v>-14314.069306822919</v>
      </c>
      <c r="N69" s="7">
        <f>'pivot tables'!O121</f>
        <v>-12954.423703856961</v>
      </c>
      <c r="O69" s="7">
        <f>'pivot tables'!P121</f>
        <v>-12212.456542937911</v>
      </c>
      <c r="P69" s="7">
        <f>'pivot tables'!Q121</f>
        <v>-14025.474847716659</v>
      </c>
      <c r="Q69" s="7">
        <f>'pivot tables'!R121</f>
        <v>-13048.090812638809</v>
      </c>
      <c r="R69" s="7">
        <f>'pivot tables'!S121</f>
        <v>-12976.648900493359</v>
      </c>
      <c r="S69" s="7">
        <f>'pivot tables'!T121</f>
        <v>-13111.634632459831</v>
      </c>
      <c r="T69" s="7">
        <f>'pivot tables'!U121</f>
        <v>-17371.768009242489</v>
      </c>
      <c r="U69" s="7">
        <f>'pivot tables'!V121</f>
        <v>-14107.0907660007</v>
      </c>
      <c r="V69" s="7">
        <f>'pivot tables'!W121</f>
        <v>-13656.006862375491</v>
      </c>
      <c r="W69" s="7">
        <f>'pivot tables'!X121</f>
        <v>-12945.045514943489</v>
      </c>
      <c r="X69" s="7">
        <f>'pivot tables'!Y121</f>
        <v>-13920.722044968281</v>
      </c>
      <c r="Y69" s="7">
        <f>'pivot tables'!Z121</f>
        <v>-15238.3776864997</v>
      </c>
      <c r="Z69" s="7">
        <f>'pivot tables'!AA121</f>
        <v>-12592.449722994001</v>
      </c>
      <c r="AA69" s="7">
        <f>'pivot tables'!AB121</f>
        <v>-12408.40805915196</v>
      </c>
      <c r="AB69" s="7">
        <f>'pivot tables'!AC121</f>
        <v>-12297.886082450321</v>
      </c>
      <c r="AC69" s="7">
        <f>'pivot tables'!AD121</f>
        <v>-12638.515231325469</v>
      </c>
      <c r="AD69" s="7">
        <f>'pivot tables'!AE121</f>
        <v>-16747.88518961049</v>
      </c>
      <c r="AE69" s="7">
        <f>'pivot tables'!AF121</f>
        <v>-12440.54965236013</v>
      </c>
      <c r="AF69" s="7">
        <f>'pivot tables'!AG121</f>
        <v>-13937.489610294961</v>
      </c>
      <c r="AG69" s="7">
        <f>'pivot tables'!AH121</f>
        <v>-15505.781045125539</v>
      </c>
      <c r="AH69" s="7">
        <f>'pivot tables'!AI121</f>
        <v>-15798.413980892579</v>
      </c>
      <c r="AI69" s="7">
        <f>'pivot tables'!AJ121</f>
        <v>-15809.51880823469</v>
      </c>
      <c r="AJ69" s="7">
        <f>'pivot tables'!AK121</f>
        <v>-13390.816506583609</v>
      </c>
    </row>
    <row r="70" spans="2:36" x14ac:dyDescent="0.25">
      <c r="B70" t="s">
        <v>40</v>
      </c>
      <c r="C70" s="7">
        <f>'pivot tables'!D122</f>
        <v>0</v>
      </c>
      <c r="D70" s="7">
        <f>'pivot tables'!E122</f>
        <v>0</v>
      </c>
      <c r="E70" s="7">
        <f>'pivot tables'!F122</f>
        <v>0</v>
      </c>
      <c r="F70" s="7">
        <f>'pivot tables'!G122</f>
        <v>0</v>
      </c>
      <c r="G70" s="7">
        <f>'pivot tables'!H122</f>
        <v>0</v>
      </c>
      <c r="H70" s="7">
        <f>'pivot tables'!I122</f>
        <v>0</v>
      </c>
      <c r="I70" s="7">
        <f>'pivot tables'!J122</f>
        <v>-425.47645866124981</v>
      </c>
      <c r="J70" s="7">
        <f>'pivot tables'!K122</f>
        <v>0</v>
      </c>
      <c r="K70" s="7">
        <f>'pivot tables'!L122</f>
        <v>0</v>
      </c>
      <c r="L70" s="7">
        <f>'pivot tables'!M122</f>
        <v>0</v>
      </c>
      <c r="M70" s="7">
        <f>'pivot tables'!N122</f>
        <v>0</v>
      </c>
      <c r="N70" s="7">
        <f>'pivot tables'!O122</f>
        <v>0</v>
      </c>
      <c r="O70" s="7">
        <f>'pivot tables'!P122</f>
        <v>0</v>
      </c>
      <c r="P70" s="7">
        <f>'pivot tables'!Q122</f>
        <v>0</v>
      </c>
      <c r="Q70" s="7">
        <f>'pivot tables'!R122</f>
        <v>0</v>
      </c>
      <c r="R70" s="7">
        <f>'pivot tables'!S122</f>
        <v>0</v>
      </c>
      <c r="S70" s="7">
        <f>'pivot tables'!T122</f>
        <v>0</v>
      </c>
      <c r="T70" s="7">
        <f>'pivot tables'!U122</f>
        <v>0</v>
      </c>
      <c r="U70" s="7">
        <f>'pivot tables'!V122</f>
        <v>0</v>
      </c>
      <c r="V70" s="7">
        <f>'pivot tables'!W122</f>
        <v>0</v>
      </c>
      <c r="W70" s="7">
        <f>'pivot tables'!X122</f>
        <v>0</v>
      </c>
      <c r="X70" s="7">
        <f>'pivot tables'!Y122</f>
        <v>0</v>
      </c>
      <c r="Y70" s="7">
        <f>'pivot tables'!Z122</f>
        <v>0</v>
      </c>
      <c r="Z70" s="7">
        <f>'pivot tables'!AA122</f>
        <v>0</v>
      </c>
      <c r="AA70" s="7">
        <f>'pivot tables'!AB122</f>
        <v>0</v>
      </c>
      <c r="AB70" s="7">
        <f>'pivot tables'!AC122</f>
        <v>0</v>
      </c>
      <c r="AC70" s="7">
        <f>'pivot tables'!AD122</f>
        <v>0</v>
      </c>
      <c r="AD70" s="7">
        <f>'pivot tables'!AE122</f>
        <v>0</v>
      </c>
      <c r="AE70" s="7">
        <f>'pivot tables'!AF122</f>
        <v>0</v>
      </c>
      <c r="AF70" s="7">
        <f>'pivot tables'!AG122</f>
        <v>0</v>
      </c>
      <c r="AG70" s="7">
        <f>'pivot tables'!AH122</f>
        <v>0</v>
      </c>
      <c r="AH70" s="7">
        <f>'pivot tables'!AI122</f>
        <v>0</v>
      </c>
      <c r="AI70" s="7">
        <f>'pivot tables'!AJ122</f>
        <v>0</v>
      </c>
      <c r="AJ70" s="7">
        <f>'pivot tables'!AK122</f>
        <v>0</v>
      </c>
    </row>
    <row r="71" spans="2:36" x14ac:dyDescent="0.25">
      <c r="B71" t="s">
        <v>41</v>
      </c>
      <c r="C71" s="7">
        <f>'pivot tables'!D123</f>
        <v>-3793.1034789999999</v>
      </c>
      <c r="D71" s="7">
        <f>'pivot tables'!E123</f>
        <v>-3511.8429000000001</v>
      </c>
      <c r="E71" s="7">
        <f>'pivot tables'!F123</f>
        <v>-3337.107798</v>
      </c>
      <c r="F71" s="7">
        <f>'pivot tables'!G123</f>
        <v>-3680.7473279999999</v>
      </c>
      <c r="G71" s="7">
        <f>'pivot tables'!H123</f>
        <v>-4245.0889040000002</v>
      </c>
      <c r="H71" s="7">
        <f>'pivot tables'!I123</f>
        <v>-4779.8912270000001</v>
      </c>
      <c r="I71" s="7">
        <f>'pivot tables'!J123</f>
        <v>-4721.2936769999997</v>
      </c>
      <c r="J71" s="7">
        <f>'pivot tables'!K123</f>
        <v>-5720.0518140000004</v>
      </c>
      <c r="K71" s="7">
        <f>'pivot tables'!L123</f>
        <v>-6231.254594</v>
      </c>
      <c r="L71" s="7">
        <f>'pivot tables'!M123</f>
        <v>-7865.0063490000002</v>
      </c>
      <c r="M71" s="7">
        <f>'pivot tables'!N123</f>
        <v>-6634.497327</v>
      </c>
      <c r="N71" s="7">
        <f>'pivot tables'!O123</f>
        <v>-6316.6987129999998</v>
      </c>
      <c r="O71" s="7">
        <f>'pivot tables'!P123</f>
        <v>-6673.2833959999998</v>
      </c>
      <c r="P71" s="7">
        <f>'pivot tables'!Q123</f>
        <v>-6853.7783090000003</v>
      </c>
      <c r="Q71" s="7">
        <f>'pivot tables'!R123</f>
        <v>-6538.3096150000001</v>
      </c>
      <c r="R71" s="7">
        <f>'pivot tables'!S123</f>
        <v>-6742.9209410000003</v>
      </c>
      <c r="S71" s="7">
        <f>'pivot tables'!T123</f>
        <v>-6072.2796870000002</v>
      </c>
      <c r="T71" s="7">
        <f>'pivot tables'!U123</f>
        <v>-6216.8108009999996</v>
      </c>
      <c r="U71" s="7">
        <f>'pivot tables'!V123</f>
        <v>-5694.6574350000001</v>
      </c>
      <c r="V71" s="7">
        <f>'pivot tables'!W123</f>
        <v>-7336.9088259999999</v>
      </c>
      <c r="W71" s="7">
        <f>'pivot tables'!X123</f>
        <v>-8332.8426350000009</v>
      </c>
      <c r="X71" s="7">
        <f>'pivot tables'!Y123</f>
        <v>-7960.835572</v>
      </c>
      <c r="Y71" s="7">
        <f>'pivot tables'!Z123</f>
        <v>-7539.0025150000001</v>
      </c>
      <c r="Z71" s="7">
        <f>'pivot tables'!AA123</f>
        <v>-7647.7219409999998</v>
      </c>
      <c r="AA71" s="7">
        <f>'pivot tables'!AB123</f>
        <v>-8239.1037359999991</v>
      </c>
      <c r="AB71" s="7">
        <f>'pivot tables'!AC123</f>
        <v>-7977.7293639999998</v>
      </c>
      <c r="AC71" s="7">
        <f>'pivot tables'!AD123</f>
        <v>-8258.8143779999991</v>
      </c>
      <c r="AD71" s="7">
        <f>'pivot tables'!AE123</f>
        <v>-8312.343218</v>
      </c>
      <c r="AE71" s="7">
        <f>'pivot tables'!AF123</f>
        <v>-8403.8832590000002</v>
      </c>
      <c r="AF71" s="7">
        <f>'pivot tables'!AG123</f>
        <v>-8120.9646169999996</v>
      </c>
      <c r="AG71" s="7">
        <f>'pivot tables'!AH123</f>
        <v>-8452.2957129999995</v>
      </c>
      <c r="AH71" s="7">
        <f>'pivot tables'!AI123</f>
        <v>-8485.0833220000004</v>
      </c>
      <c r="AI71" s="7">
        <f>'pivot tables'!AJ123</f>
        <v>-9066.0450450000008</v>
      </c>
      <c r="AJ71" s="7">
        <f>'pivot tables'!AK123</f>
        <v>-9216.4964550000004</v>
      </c>
    </row>
    <row r="72" spans="2:36" x14ac:dyDescent="0.25">
      <c r="B72" t="s">
        <v>42</v>
      </c>
      <c r="C72" s="7">
        <f>'pivot tables'!D124</f>
        <v>-7331.8529486099014</v>
      </c>
      <c r="D72" s="7">
        <f>'pivot tables'!E124</f>
        <v>-7048.4267663068003</v>
      </c>
      <c r="E72" s="7">
        <f>'pivot tables'!F124</f>
        <v>-7109.4862899724003</v>
      </c>
      <c r="F72" s="7">
        <f>'pivot tables'!G124</f>
        <v>-6700.8269669495003</v>
      </c>
      <c r="G72" s="7">
        <f>'pivot tables'!H124</f>
        <v>-7092.2629823048001</v>
      </c>
      <c r="H72" s="7">
        <f>'pivot tables'!I124</f>
        <v>-6253.1291663877</v>
      </c>
      <c r="I72" s="7">
        <f>'pivot tables'!J124</f>
        <v>-7199.8520738438001</v>
      </c>
      <c r="J72" s="7">
        <f>'pivot tables'!K124</f>
        <v>-6466.6931160829008</v>
      </c>
      <c r="K72" s="7">
        <f>'pivot tables'!L124</f>
        <v>-6281.9238472035004</v>
      </c>
      <c r="L72" s="7">
        <f>'pivot tables'!M124</f>
        <v>-5297.3744347458996</v>
      </c>
      <c r="M72" s="7">
        <f>'pivot tables'!N124</f>
        <v>-6391.5776565462002</v>
      </c>
      <c r="N72" s="7">
        <f>'pivot tables'!O124</f>
        <v>-5789.3096536304001</v>
      </c>
      <c r="O72" s="7">
        <f>'pivot tables'!P124</f>
        <v>-5857.1531585099001</v>
      </c>
      <c r="P72" s="7">
        <f>'pivot tables'!Q124</f>
        <v>-6370.7499359561998</v>
      </c>
      <c r="Q72" s="7">
        <f>'pivot tables'!R124</f>
        <v>-6562.4316421561998</v>
      </c>
      <c r="R72" s="7">
        <f>'pivot tables'!S124</f>
        <v>-6143.0518597503997</v>
      </c>
      <c r="S72" s="7">
        <f>'pivot tables'!T124</f>
        <v>-7353.9315216130999</v>
      </c>
      <c r="T72" s="7">
        <f>'pivot tables'!U124</f>
        <v>-7011.5841256325002</v>
      </c>
      <c r="U72" s="7">
        <f>'pivot tables'!V124</f>
        <v>-5959.4356898023998</v>
      </c>
      <c r="V72" s="7">
        <f>'pivot tables'!W124</f>
        <v>-6609.8379406642998</v>
      </c>
      <c r="W72" s="7">
        <f>'pivot tables'!X124</f>
        <v>-6242.6087418984998</v>
      </c>
      <c r="X72" s="7">
        <f>'pivot tables'!Y124</f>
        <v>-6617.6661443123003</v>
      </c>
      <c r="Y72" s="7">
        <f>'pivot tables'!Z124</f>
        <v>-6786.3018144644002</v>
      </c>
      <c r="Z72" s="7">
        <f>'pivot tables'!AA124</f>
        <v>-7443.0544307593</v>
      </c>
      <c r="AA72" s="7">
        <f>'pivot tables'!AB124</f>
        <v>-7705.9787683960003</v>
      </c>
      <c r="AB72" s="7">
        <f>'pivot tables'!AC124</f>
        <v>-8612.5749004917016</v>
      </c>
      <c r="AC72" s="7">
        <f>'pivot tables'!AD124</f>
        <v>-9265.2483229816989</v>
      </c>
      <c r="AD72" s="7">
        <f>'pivot tables'!AE124</f>
        <v>-8790.7849896153984</v>
      </c>
      <c r="AE72" s="7">
        <f>'pivot tables'!AF124</f>
        <v>-9819.4448100217996</v>
      </c>
      <c r="AF72" s="7">
        <f>'pivot tables'!AG124</f>
        <v>-10948.2427025324</v>
      </c>
      <c r="AG72" s="7">
        <f>'pivot tables'!AH124</f>
        <v>-9068.5416224718992</v>
      </c>
      <c r="AH72" s="7">
        <f>'pivot tables'!AI124</f>
        <v>-10326.259666144801</v>
      </c>
      <c r="AI72" s="7">
        <f>'pivot tables'!AJ124</f>
        <v>-10794.794791173699</v>
      </c>
      <c r="AJ72" s="7">
        <f>'pivot tables'!AK124</f>
        <v>-8946.0648056333994</v>
      </c>
    </row>
    <row r="73" spans="2:36" x14ac:dyDescent="0.25">
      <c r="B73" t="s">
        <v>43</v>
      </c>
      <c r="C73" s="7">
        <f>'pivot tables'!D125</f>
        <v>-82.995379</v>
      </c>
      <c r="D73" s="7">
        <f>'pivot tables'!E125</f>
        <v>-66.129897</v>
      </c>
      <c r="E73" s="7">
        <f>'pivot tables'!F125</f>
        <v>-64.424689999999998</v>
      </c>
      <c r="F73" s="7">
        <f>'pivot tables'!G125</f>
        <v>-2.9646759999999999</v>
      </c>
      <c r="G73" s="7">
        <f>'pivot tables'!H125</f>
        <v>-51.135477999999999</v>
      </c>
      <c r="H73" s="7">
        <f>'pivot tables'!I125</f>
        <v>-91.816845000000001</v>
      </c>
      <c r="I73" s="7">
        <f>'pivot tables'!J125</f>
        <v>-194.84451899999999</v>
      </c>
      <c r="J73" s="7">
        <f>'pivot tables'!K125</f>
        <v>-162.243449</v>
      </c>
      <c r="K73" s="7">
        <f>'pivot tables'!L125</f>
        <v>-271.07608299999998</v>
      </c>
      <c r="L73" s="7">
        <f>'pivot tables'!M125</f>
        <v>-84.472533999999996</v>
      </c>
      <c r="M73" s="7">
        <f>'pivot tables'!N125</f>
        <v>-140.61997299999999</v>
      </c>
      <c r="N73" s="7">
        <f>'pivot tables'!O125</f>
        <v>-65.300617000000003</v>
      </c>
      <c r="O73" s="7">
        <f>'pivot tables'!P125</f>
        <v>-274.40875199999999</v>
      </c>
      <c r="P73" s="7">
        <f>'pivot tables'!Q125</f>
        <v>-329.74764299999998</v>
      </c>
      <c r="Q73" s="7">
        <f>'pivot tables'!R125</f>
        <v>-393.53482400000001</v>
      </c>
      <c r="R73" s="7">
        <f>'pivot tables'!S125</f>
        <v>-243.663196</v>
      </c>
      <c r="S73" s="7">
        <f>'pivot tables'!T125</f>
        <v>-60.983178000000002</v>
      </c>
      <c r="T73" s="7">
        <f>'pivot tables'!U125</f>
        <v>-314.20900899999998</v>
      </c>
      <c r="U73" s="7">
        <f>'pivot tables'!V125</f>
        <v>-144.67826199999999</v>
      </c>
      <c r="V73" s="7">
        <f>'pivot tables'!W125</f>
        <v>-129.694209</v>
      </c>
      <c r="W73" s="7">
        <f>'pivot tables'!X125</f>
        <v>-153.04362399999999</v>
      </c>
      <c r="X73" s="7">
        <f>'pivot tables'!Y125</f>
        <v>-129.668294</v>
      </c>
      <c r="Y73" s="7">
        <f>'pivot tables'!Z125</f>
        <v>-129.83933300000001</v>
      </c>
      <c r="Z73" s="7">
        <f>'pivot tables'!AA125</f>
        <v>-83.803927000000002</v>
      </c>
      <c r="AA73" s="7">
        <f>'pivot tables'!AB125</f>
        <v>-72.297667000000004</v>
      </c>
      <c r="AB73" s="7">
        <f>'pivot tables'!AC125</f>
        <v>-69.094572999999997</v>
      </c>
      <c r="AC73" s="7">
        <f>'pivot tables'!AD125</f>
        <v>-2.31674917</v>
      </c>
      <c r="AD73" s="7">
        <f>'pivot tables'!AE125</f>
        <v>-232.42645200000001</v>
      </c>
      <c r="AE73" s="7">
        <f>'pivot tables'!AF125</f>
        <v>-45.843635000000013</v>
      </c>
      <c r="AF73" s="7">
        <f>'pivot tables'!AG125</f>
        <v>-28.869309999999999</v>
      </c>
      <c r="AG73" s="7">
        <f>'pivot tables'!AH125</f>
        <v>-21.255483000000002</v>
      </c>
      <c r="AH73" s="7">
        <f>'pivot tables'!AI125</f>
        <v>-39.763976</v>
      </c>
      <c r="AI73" s="7">
        <f>'pivot tables'!AJ125</f>
        <v>-77.252614999999992</v>
      </c>
      <c r="AJ73" s="7">
        <f>'pivot tables'!AK125</f>
        <v>-3.3179492800000001</v>
      </c>
    </row>
    <row r="74" spans="2:36" x14ac:dyDescent="0.25">
      <c r="B74" t="s">
        <v>44</v>
      </c>
      <c r="C74" s="7">
        <f>'pivot tables'!D126</f>
        <v>-6070.160352392234</v>
      </c>
      <c r="D74" s="7">
        <f>'pivot tables'!E126</f>
        <v>-5948.2963838718442</v>
      </c>
      <c r="E74" s="7">
        <f>'pivot tables'!F126</f>
        <v>-5758.3434973324074</v>
      </c>
      <c r="F74" s="7">
        <f>'pivot tables'!G126</f>
        <v>-5732.7779331659358</v>
      </c>
      <c r="G74" s="7">
        <f>'pivot tables'!H126</f>
        <v>-5590.9062272647834</v>
      </c>
      <c r="H74" s="7">
        <f>'pivot tables'!I126</f>
        <v>-5409.5818093414919</v>
      </c>
      <c r="I74" s="7">
        <f>'pivot tables'!J126</f>
        <v>-5879.3657340898744</v>
      </c>
      <c r="J74" s="7">
        <f>'pivot tables'!K126</f>
        <v>-5875.2536004312724</v>
      </c>
      <c r="K74" s="7">
        <f>'pivot tables'!L126</f>
        <v>-5703.6756197139493</v>
      </c>
      <c r="L74" s="7">
        <f>'pivot tables'!M126</f>
        <v>-5867.4929181930484</v>
      </c>
      <c r="M74" s="7">
        <f>'pivot tables'!N126</f>
        <v>-6548.9992951870472</v>
      </c>
      <c r="N74" s="7">
        <f>'pivot tables'!O126</f>
        <v>-5864.5782122831524</v>
      </c>
      <c r="O74" s="7">
        <f>'pivot tables'!P126</f>
        <v>-5808.6330411077024</v>
      </c>
      <c r="P74" s="7">
        <f>'pivot tables'!Q126</f>
        <v>-6155.2079431001848</v>
      </c>
      <c r="Q74" s="7">
        <f>'pivot tables'!R126</f>
        <v>-6571.1089980756169</v>
      </c>
      <c r="R74" s="7">
        <f>'pivot tables'!S126</f>
        <v>-6546.9486840625896</v>
      </c>
      <c r="S74" s="7">
        <f>'pivot tables'!T126</f>
        <v>-7110.2226644569218</v>
      </c>
      <c r="T74" s="7">
        <f>'pivot tables'!U126</f>
        <v>-7107.5148809962993</v>
      </c>
      <c r="U74" s="7">
        <f>'pivot tables'!V126</f>
        <v>-6450.4197027526434</v>
      </c>
      <c r="V74" s="7">
        <f>'pivot tables'!W126</f>
        <v>-6205.0357916067851</v>
      </c>
      <c r="W74" s="7">
        <f>'pivot tables'!X126</f>
        <v>-6212.0070826903766</v>
      </c>
      <c r="X74" s="7">
        <f>'pivot tables'!Y126</f>
        <v>-6726.8973298789579</v>
      </c>
      <c r="Y74" s="7">
        <f>'pivot tables'!Z126</f>
        <v>-6657.7282682910409</v>
      </c>
      <c r="Z74" s="7">
        <f>'pivot tables'!AA126</f>
        <v>-6622.3657966056408</v>
      </c>
      <c r="AA74" s="7">
        <f>'pivot tables'!AB126</f>
        <v>-6859.8587257120307</v>
      </c>
      <c r="AB74" s="7">
        <f>'pivot tables'!AC126</f>
        <v>-6949.5534270618346</v>
      </c>
      <c r="AC74" s="7">
        <f>'pivot tables'!AD126</f>
        <v>-6891.9873405882372</v>
      </c>
      <c r="AD74" s="7">
        <f>'pivot tables'!AE126</f>
        <v>-7086.0511917486501</v>
      </c>
      <c r="AE74" s="7">
        <f>'pivot tables'!AF126</f>
        <v>-6875.6058670835391</v>
      </c>
      <c r="AF74" s="7">
        <f>'pivot tables'!AG126</f>
        <v>-6944.1368427331126</v>
      </c>
      <c r="AG74" s="7">
        <f>'pivot tables'!AH126</f>
        <v>-6559.2860892469926</v>
      </c>
      <c r="AH74" s="7">
        <f>'pivot tables'!AI126</f>
        <v>-6991.0731060255812</v>
      </c>
      <c r="AI74" s="7">
        <f>'pivot tables'!AJ126</f>
        <v>-7015.0277345642371</v>
      </c>
      <c r="AJ74" s="7">
        <f>'pivot tables'!AK126</f>
        <v>-6993.3847868556113</v>
      </c>
    </row>
    <row r="75" spans="2:36" x14ac:dyDescent="0.25">
      <c r="B75" t="s">
        <v>45</v>
      </c>
      <c r="C75" s="7">
        <f>'pivot tables'!D127</f>
        <v>-5792.537930025248</v>
      </c>
      <c r="D75" s="7">
        <f>'pivot tables'!E127</f>
        <v>-5525.0316163013395</v>
      </c>
      <c r="E75" s="7">
        <f>'pivot tables'!F127</f>
        <v>-5331.0226147788217</v>
      </c>
      <c r="F75" s="7">
        <f>'pivot tables'!G127</f>
        <v>-5100.0985975943977</v>
      </c>
      <c r="G75" s="7">
        <f>'pivot tables'!H127</f>
        <v>-4968.0996917919874</v>
      </c>
      <c r="H75" s="7">
        <f>'pivot tables'!I127</f>
        <v>-5141.2627805628817</v>
      </c>
      <c r="I75" s="7">
        <f>'pivot tables'!J127</f>
        <v>-5350.7116976024827</v>
      </c>
      <c r="J75" s="7">
        <f>'pivot tables'!K127</f>
        <v>-5270.5100608513421</v>
      </c>
      <c r="K75" s="7">
        <f>'pivot tables'!L127</f>
        <v>-4829.8537072291074</v>
      </c>
      <c r="L75" s="7">
        <f>'pivot tables'!M127</f>
        <v>-5090.6517230518702</v>
      </c>
      <c r="M75" s="7">
        <f>'pivot tables'!N127</f>
        <v>-5213.233818695704</v>
      </c>
      <c r="N75" s="7">
        <f>'pivot tables'!O127</f>
        <v>-5023.014237202693</v>
      </c>
      <c r="O75" s="7">
        <f>'pivot tables'!P127</f>
        <v>-5625.4927543362874</v>
      </c>
      <c r="P75" s="7">
        <f>'pivot tables'!Q127</f>
        <v>-5716.8754713081653</v>
      </c>
      <c r="Q75" s="7">
        <f>'pivot tables'!R127</f>
        <v>-5886.5950671689261</v>
      </c>
      <c r="R75" s="7">
        <f>'pivot tables'!S127</f>
        <v>-5541.3205699587716</v>
      </c>
      <c r="S75" s="7">
        <f>'pivot tables'!T127</f>
        <v>-5573.1712648557368</v>
      </c>
      <c r="T75" s="7">
        <f>'pivot tables'!U127</f>
        <v>-5841.1736622459994</v>
      </c>
      <c r="U75" s="7">
        <f>'pivot tables'!V127</f>
        <v>-5770.8915984246642</v>
      </c>
      <c r="V75" s="7">
        <f>'pivot tables'!W127</f>
        <v>-5741.9216344966926</v>
      </c>
      <c r="W75" s="7">
        <f>'pivot tables'!X127</f>
        <v>-5856.1255262246405</v>
      </c>
      <c r="X75" s="7">
        <f>'pivot tables'!Y127</f>
        <v>-6253.9513787534906</v>
      </c>
      <c r="Y75" s="7">
        <f>'pivot tables'!Z127</f>
        <v>-6431.4087047760677</v>
      </c>
      <c r="Z75" s="7">
        <f>'pivot tables'!AA127</f>
        <v>-6460.6960231951052</v>
      </c>
      <c r="AA75" s="7">
        <f>'pivot tables'!AB127</f>
        <v>-6152.694187293544</v>
      </c>
      <c r="AB75" s="7">
        <f>'pivot tables'!AC127</f>
        <v>-6221.3223296512006</v>
      </c>
      <c r="AC75" s="7">
        <f>'pivot tables'!AD127</f>
        <v>-6010.8980582396052</v>
      </c>
      <c r="AD75" s="7">
        <f>'pivot tables'!AE127</f>
        <v>-6275.3598730356434</v>
      </c>
      <c r="AE75" s="7">
        <f>'pivot tables'!AF127</f>
        <v>-6539.871421033381</v>
      </c>
      <c r="AF75" s="7">
        <f>'pivot tables'!AG127</f>
        <v>-6409.5670448232941</v>
      </c>
      <c r="AG75" s="7">
        <f>'pivot tables'!AH127</f>
        <v>-6510.1231616726518</v>
      </c>
      <c r="AH75" s="7">
        <f>'pivot tables'!AI127</f>
        <v>-6610.5467281152996</v>
      </c>
      <c r="AI75" s="7">
        <f>'pivot tables'!AJ127</f>
        <v>-6732.3412030250129</v>
      </c>
      <c r="AJ75" s="7">
        <f>'pivot tables'!AK127</f>
        <v>-6172.2977146922904</v>
      </c>
    </row>
    <row r="76" spans="2:36" x14ac:dyDescent="0.25">
      <c r="B76" t="s">
        <v>46</v>
      </c>
      <c r="C76" s="7">
        <f>'pivot tables'!D128</f>
        <v>-2392.0754631717559</v>
      </c>
      <c r="D76" s="7">
        <f>'pivot tables'!E128</f>
        <v>-2019.842902648129</v>
      </c>
      <c r="E76" s="7">
        <f>'pivot tables'!F128</f>
        <v>-1833.553020686697</v>
      </c>
      <c r="F76" s="7">
        <f>'pivot tables'!G128</f>
        <v>-1874.189116504607</v>
      </c>
      <c r="G76" s="7">
        <f>'pivot tables'!H128</f>
        <v>-2176.4724625029162</v>
      </c>
      <c r="H76" s="7">
        <f>'pivot tables'!I128</f>
        <v>-2368.9409205742281</v>
      </c>
      <c r="I76" s="7">
        <f>'pivot tables'!J128</f>
        <v>-2419.0996472351389</v>
      </c>
      <c r="J76" s="7">
        <f>'pivot tables'!K128</f>
        <v>-2632.287162421113</v>
      </c>
      <c r="K76" s="7">
        <f>'pivot tables'!L128</f>
        <v>-2469.0457971314941</v>
      </c>
      <c r="L76" s="7">
        <f>'pivot tables'!M128</f>
        <v>-2587.283045936676</v>
      </c>
      <c r="M76" s="7">
        <f>'pivot tables'!N128</f>
        <v>-2814.3009671929499</v>
      </c>
      <c r="N76" s="7">
        <f>'pivot tables'!O128</f>
        <v>-2835.856583564102</v>
      </c>
      <c r="O76" s="7">
        <f>'pivot tables'!P128</f>
        <v>-2854.6451991818039</v>
      </c>
      <c r="P76" s="7">
        <f>'pivot tables'!Q128</f>
        <v>-3021.7027478836758</v>
      </c>
      <c r="Q76" s="7">
        <f>'pivot tables'!R128</f>
        <v>-3286.940073647148</v>
      </c>
      <c r="R76" s="7">
        <f>'pivot tables'!S128</f>
        <v>-4507.9307629746199</v>
      </c>
      <c r="S76" s="7">
        <f>'pivot tables'!T128</f>
        <v>-3732.531716477592</v>
      </c>
      <c r="T76" s="7">
        <f>'pivot tables'!U128</f>
        <v>-3811.9427606207919</v>
      </c>
      <c r="U76" s="7">
        <f>'pivot tables'!V128</f>
        <v>-4189.8290458899664</v>
      </c>
      <c r="V76" s="7">
        <f>'pivot tables'!W128</f>
        <v>-4079.6053087926348</v>
      </c>
      <c r="W76" s="7">
        <f>'pivot tables'!X128</f>
        <v>-4384.1809467153962</v>
      </c>
      <c r="X76" s="7">
        <f>'pivot tables'!Y128</f>
        <v>-4251.3951197193282</v>
      </c>
      <c r="Y76" s="7">
        <f>'pivot tables'!Z128</f>
        <v>-3722.9824453479032</v>
      </c>
      <c r="Z76" s="7">
        <f>'pivot tables'!AA128</f>
        <v>-3554.7187111318308</v>
      </c>
      <c r="AA76" s="7">
        <f>'pivot tables'!AB128</f>
        <v>-4246.4767250549257</v>
      </c>
      <c r="AB76" s="7">
        <f>'pivot tables'!AC128</f>
        <v>-4153.29812468605</v>
      </c>
      <c r="AC76" s="7">
        <f>'pivot tables'!AD128</f>
        <v>-4222.4991334441629</v>
      </c>
      <c r="AD76" s="7">
        <f>'pivot tables'!AE128</f>
        <v>-4225.9237356658068</v>
      </c>
      <c r="AE76" s="7">
        <f>'pivot tables'!AF128</f>
        <v>-4425.1148103238438</v>
      </c>
      <c r="AF76" s="7">
        <f>'pivot tables'!AG128</f>
        <v>-4143.7442327860554</v>
      </c>
      <c r="AG76" s="7">
        <f>'pivot tables'!AH128</f>
        <v>-3418.693100553241</v>
      </c>
      <c r="AH76" s="7">
        <f>'pivot tables'!AI128</f>
        <v>-3493.5866621378168</v>
      </c>
      <c r="AI76" s="7">
        <f>'pivot tables'!AJ128</f>
        <v>-3504.6098743318112</v>
      </c>
      <c r="AJ76" s="7">
        <f>'pivot tables'!AK128</f>
        <v>-3287.3893591230699</v>
      </c>
    </row>
    <row r="77" spans="2:36" x14ac:dyDescent="0.25">
      <c r="B77" t="s">
        <v>47</v>
      </c>
      <c r="C77" s="7">
        <f>'pivot tables'!D129</f>
        <v>-61.811771798359118</v>
      </c>
      <c r="D77" s="7">
        <f>'pivot tables'!E129</f>
        <v>-83.823716408812132</v>
      </c>
      <c r="E77" s="7">
        <f>'pivot tables'!F129</f>
        <v>-105.8073110192651</v>
      </c>
      <c r="F77" s="7">
        <f>'pivot tables'!G129</f>
        <v>-127.7909056297181</v>
      </c>
      <c r="G77" s="7">
        <f>'pivot tables'!H129</f>
        <v>-149.77450024017119</v>
      </c>
      <c r="H77" s="7">
        <f>'pivot tables'!I129</f>
        <v>-171.75809485062419</v>
      </c>
      <c r="I77" s="7">
        <f>'pivot tables'!J129</f>
        <v>-193.48635361332251</v>
      </c>
      <c r="J77" s="7">
        <f>'pivot tables'!K129</f>
        <v>-215.290212376021</v>
      </c>
      <c r="K77" s="7">
        <f>'pivot tables'!L129</f>
        <v>-237.09407113871941</v>
      </c>
      <c r="L77" s="7">
        <f>'pivot tables'!M129</f>
        <v>-258.8979299014178</v>
      </c>
      <c r="M77" s="7">
        <f>'pivot tables'!N129</f>
        <v>-280.70178866411618</v>
      </c>
      <c r="N77" s="7">
        <f>'pivot tables'!O129</f>
        <v>-302.50564742681462</v>
      </c>
      <c r="O77" s="7">
        <f>'pivot tables'!P129</f>
        <v>-324.30950618951289</v>
      </c>
      <c r="P77" s="7">
        <f>'pivot tables'!Q129</f>
        <v>-322.11643130809222</v>
      </c>
      <c r="Q77" s="7">
        <f>'pivot tables'!R129</f>
        <v>-319.82885642667151</v>
      </c>
      <c r="R77" s="7">
        <f>'pivot tables'!S129</f>
        <v>-317.5412815452508</v>
      </c>
      <c r="S77" s="7">
        <f>'pivot tables'!T129</f>
        <v>-315.25370666382997</v>
      </c>
      <c r="T77" s="7">
        <f>'pivot tables'!U129</f>
        <v>-313.29102051066991</v>
      </c>
      <c r="U77" s="7">
        <f>'pivot tables'!V129</f>
        <v>-311.42283435750949</v>
      </c>
      <c r="V77" s="7">
        <f>'pivot tables'!W129</f>
        <v>-309.55464820434929</v>
      </c>
      <c r="W77" s="7">
        <f>'pivot tables'!X129</f>
        <v>-307.6864620511891</v>
      </c>
      <c r="X77" s="7">
        <f>'pivot tables'!Y129</f>
        <v>-283.8346812875759</v>
      </c>
      <c r="Y77" s="7">
        <f>'pivot tables'!Z129</f>
        <v>-259.9829005239626</v>
      </c>
      <c r="Z77" s="7">
        <f>'pivot tables'!AA129</f>
        <v>-236.3217510004678</v>
      </c>
      <c r="AA77" s="7">
        <f>'pivot tables'!AB129</f>
        <v>-781.27686069250103</v>
      </c>
      <c r="AB77" s="7">
        <f>'pivot tables'!AC129</f>
        <v>-766.0905992339284</v>
      </c>
      <c r="AC77" s="7">
        <f>'pivot tables'!AD129</f>
        <v>-751.02131434027092</v>
      </c>
      <c r="AD77" s="7">
        <f>'pivot tables'!AE129</f>
        <v>-734.8711817654364</v>
      </c>
      <c r="AE77" s="7">
        <f>'pivot tables'!AF129</f>
        <v>-718.72104919058199</v>
      </c>
      <c r="AF77" s="7">
        <f>'pivot tables'!AG129</f>
        <v>-133.85402100412381</v>
      </c>
      <c r="AG77" s="7">
        <f>'pivot tables'!AH129</f>
        <v>-109.8824527891926</v>
      </c>
      <c r="AH77" s="7">
        <f>'pivot tables'!AI129</f>
        <v>-85.91088457426153</v>
      </c>
      <c r="AI77" s="7">
        <f>'pivot tables'!AJ129</f>
        <v>-61.939316359334583</v>
      </c>
      <c r="AJ77" s="7">
        <f>'pivot tables'!AK129</f>
        <v>-61.480886192956923</v>
      </c>
    </row>
    <row r="78" spans="2:36" x14ac:dyDescent="0.25">
      <c r="B78" t="s">
        <v>48</v>
      </c>
      <c r="C78" s="7">
        <f>'pivot tables'!D130</f>
        <v>0</v>
      </c>
      <c r="D78" s="7">
        <f>'pivot tables'!E130</f>
        <v>0</v>
      </c>
      <c r="E78" s="7">
        <f>'pivot tables'!F130</f>
        <v>0</v>
      </c>
      <c r="F78" s="7">
        <f>'pivot tables'!G130</f>
        <v>0</v>
      </c>
      <c r="G78" s="7">
        <f>'pivot tables'!H130</f>
        <v>0</v>
      </c>
      <c r="H78" s="7">
        <f>'pivot tables'!I130</f>
        <v>0</v>
      </c>
      <c r="I78" s="7">
        <f>'pivot tables'!J130</f>
        <v>0</v>
      </c>
      <c r="J78" s="7">
        <f>'pivot tables'!K130</f>
        <v>0</v>
      </c>
      <c r="K78" s="7">
        <f>'pivot tables'!L130</f>
        <v>0</v>
      </c>
      <c r="L78" s="7">
        <f>'pivot tables'!M130</f>
        <v>0</v>
      </c>
      <c r="M78" s="7">
        <f>'pivot tables'!N130</f>
        <v>0</v>
      </c>
      <c r="N78" s="7">
        <f>'pivot tables'!O130</f>
        <v>0</v>
      </c>
      <c r="O78" s="7">
        <f>'pivot tables'!P130</f>
        <v>0</v>
      </c>
      <c r="P78" s="7">
        <f>'pivot tables'!Q130</f>
        <v>0</v>
      </c>
      <c r="Q78" s="7">
        <f>'pivot tables'!R130</f>
        <v>0</v>
      </c>
      <c r="R78" s="7">
        <f>'pivot tables'!S130</f>
        <v>0</v>
      </c>
      <c r="S78" s="7">
        <f>'pivot tables'!T130</f>
        <v>0</v>
      </c>
      <c r="T78" s="7">
        <f>'pivot tables'!U130</f>
        <v>0</v>
      </c>
      <c r="U78" s="7">
        <f>'pivot tables'!V130</f>
        <v>0</v>
      </c>
      <c r="V78" s="7">
        <f>'pivot tables'!W130</f>
        <v>0</v>
      </c>
      <c r="W78" s="7">
        <f>'pivot tables'!X130</f>
        <v>0</v>
      </c>
      <c r="X78" s="7">
        <f>'pivot tables'!Y130</f>
        <v>0</v>
      </c>
      <c r="Y78" s="7">
        <f>'pivot tables'!Z130</f>
        <v>0</v>
      </c>
      <c r="Z78" s="7">
        <f>'pivot tables'!AA130</f>
        <v>0</v>
      </c>
      <c r="AA78" s="7">
        <f>'pivot tables'!AB130</f>
        <v>0</v>
      </c>
      <c r="AB78" s="7">
        <f>'pivot tables'!AC130</f>
        <v>0</v>
      </c>
      <c r="AC78" s="7">
        <f>'pivot tables'!AD130</f>
        <v>0</v>
      </c>
      <c r="AD78" s="7">
        <f>'pivot tables'!AE130</f>
        <v>0</v>
      </c>
      <c r="AE78" s="7">
        <f>'pivot tables'!AF130</f>
        <v>-4.309825</v>
      </c>
      <c r="AF78" s="7">
        <f>'pivot tables'!AG130</f>
        <v>0</v>
      </c>
      <c r="AG78" s="7">
        <f>'pivot tables'!AH130</f>
        <v>0</v>
      </c>
      <c r="AH78" s="7">
        <f>'pivot tables'!AI130</f>
        <v>0</v>
      </c>
      <c r="AI78" s="7">
        <f>'pivot tables'!AJ130</f>
        <v>0</v>
      </c>
      <c r="AJ78" s="7">
        <f>'pivot tables'!AK130</f>
        <v>-3.698823</v>
      </c>
    </row>
    <row r="79" spans="2:36" x14ac:dyDescent="0.25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6" spans="3:5" x14ac:dyDescent="0.25">
      <c r="C86" s="5"/>
      <c r="D86" s="5"/>
      <c r="E86" s="5"/>
    </row>
    <row r="88" spans="3:5" x14ac:dyDescent="0.25">
      <c r="C88" s="5"/>
      <c r="D88" s="5"/>
      <c r="E88" s="5"/>
    </row>
    <row r="89" spans="3:5" x14ac:dyDescent="0.25">
      <c r="C89" s="5"/>
      <c r="D89" s="5"/>
      <c r="E89" s="5"/>
    </row>
    <row r="90" spans="3:5" x14ac:dyDescent="0.25">
      <c r="C90" s="5"/>
      <c r="D90" s="5"/>
      <c r="E90" s="5"/>
    </row>
    <row r="91" spans="3:5" x14ac:dyDescent="0.25">
      <c r="C91" s="5"/>
      <c r="D91" s="5"/>
      <c r="E91" s="5"/>
    </row>
    <row r="92" spans="3:5" x14ac:dyDescent="0.25">
      <c r="C92" s="5"/>
      <c r="D92" s="5"/>
      <c r="E92" s="5"/>
    </row>
    <row r="93" spans="3:5" x14ac:dyDescent="0.25">
      <c r="C93" s="5"/>
      <c r="D93" s="5"/>
      <c r="E93" s="5"/>
    </row>
    <row r="94" spans="3:5" x14ac:dyDescent="0.25">
      <c r="C94" s="5"/>
      <c r="D94" s="5"/>
      <c r="E94" s="5"/>
    </row>
    <row r="95" spans="3:5" x14ac:dyDescent="0.25">
      <c r="C95" s="5"/>
      <c r="D95" s="5"/>
      <c r="E95" s="5"/>
    </row>
    <row r="96" spans="3:5" x14ac:dyDescent="0.25">
      <c r="C96" s="5"/>
      <c r="D96" s="5"/>
      <c r="E96" s="5"/>
    </row>
    <row r="97" spans="3:5" x14ac:dyDescent="0.25">
      <c r="C97" s="5"/>
      <c r="D97" s="5"/>
      <c r="E97" s="5"/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381C-F47F-4109-AA76-C9FA44EA5A71}">
  <dimension ref="A1:AK131"/>
  <sheetViews>
    <sheetView zoomScale="70" zoomScaleNormal="70" workbookViewId="0"/>
  </sheetViews>
  <sheetFormatPr baseColWidth="10" defaultColWidth="9.140625" defaultRowHeight="15" x14ac:dyDescent="0.25"/>
  <cols>
    <col min="3" max="3" width="21.28515625" customWidth="1"/>
    <col min="4" max="4" width="14.7109375" customWidth="1"/>
    <col min="5" max="37" width="14.5703125" bestFit="1" customWidth="1"/>
    <col min="38" max="38" width="6.28515625" bestFit="1" customWidth="1"/>
    <col min="39" max="39" width="15.7109375" bestFit="1" customWidth="1"/>
  </cols>
  <sheetData>
    <row r="1" spans="1:37" x14ac:dyDescent="0.25">
      <c r="A1" t="s">
        <v>10</v>
      </c>
    </row>
    <row r="5" spans="1:37" x14ac:dyDescent="0.25">
      <c r="C5" s="4" t="s">
        <v>71</v>
      </c>
      <c r="D5" s="4" t="s">
        <v>72</v>
      </c>
    </row>
    <row r="6" spans="1:37" x14ac:dyDescent="0.25">
      <c r="C6" s="4" t="s">
        <v>73</v>
      </c>
      <c r="D6">
        <v>1990</v>
      </c>
      <c r="E6">
        <v>1991</v>
      </c>
      <c r="F6">
        <v>1992</v>
      </c>
      <c r="G6">
        <v>1993</v>
      </c>
      <c r="H6">
        <v>1994</v>
      </c>
      <c r="I6">
        <v>1995</v>
      </c>
      <c r="J6">
        <v>1996</v>
      </c>
      <c r="K6">
        <v>1997</v>
      </c>
      <c r="L6">
        <v>1998</v>
      </c>
      <c r="M6">
        <v>1999</v>
      </c>
      <c r="N6">
        <v>2000</v>
      </c>
      <c r="O6">
        <v>2001</v>
      </c>
      <c r="P6">
        <v>2002</v>
      </c>
      <c r="Q6">
        <v>2003</v>
      </c>
      <c r="R6">
        <v>2004</v>
      </c>
      <c r="S6">
        <v>2005</v>
      </c>
      <c r="T6">
        <v>2006</v>
      </c>
      <c r="U6">
        <v>2007</v>
      </c>
      <c r="V6">
        <v>2008</v>
      </c>
      <c r="W6">
        <v>2009</v>
      </c>
      <c r="X6">
        <v>2010</v>
      </c>
      <c r="Y6">
        <v>2011</v>
      </c>
      <c r="Z6">
        <v>2012</v>
      </c>
      <c r="AA6">
        <v>2013</v>
      </c>
      <c r="AB6">
        <v>2014</v>
      </c>
      <c r="AC6">
        <v>2015</v>
      </c>
      <c r="AD6">
        <v>2016</v>
      </c>
      <c r="AE6">
        <v>2017</v>
      </c>
      <c r="AF6">
        <v>2018</v>
      </c>
      <c r="AG6">
        <v>2019</v>
      </c>
      <c r="AH6">
        <v>2020</v>
      </c>
      <c r="AI6">
        <v>2021</v>
      </c>
      <c r="AJ6">
        <v>2022</v>
      </c>
      <c r="AK6">
        <v>2023</v>
      </c>
    </row>
    <row r="7" spans="1:37" x14ac:dyDescent="0.25">
      <c r="C7" s="3" t="s">
        <v>24</v>
      </c>
      <c r="D7" s="2">
        <v>3892.517859733437</v>
      </c>
      <c r="E7" s="2">
        <v>3900.1819139415288</v>
      </c>
      <c r="F7" s="2">
        <v>3907.845968149622</v>
      </c>
      <c r="G7" s="2">
        <v>3915.5100223577142</v>
      </c>
      <c r="H7" s="2">
        <v>3923.174076565806</v>
      </c>
      <c r="I7" s="2">
        <v>3928.450098284497</v>
      </c>
      <c r="J7" s="2">
        <v>3933.7261200031871</v>
      </c>
      <c r="K7" s="2">
        <v>3939.0021417218782</v>
      </c>
      <c r="L7" s="2">
        <v>3944.2781634405678</v>
      </c>
      <c r="M7" s="2">
        <v>3949.5541851592589</v>
      </c>
      <c r="N7" s="2">
        <v>3954.830206877949</v>
      </c>
      <c r="O7" s="2">
        <v>3960.10622859664</v>
      </c>
      <c r="P7" s="2">
        <v>3964.3636925386172</v>
      </c>
      <c r="Q7" s="2">
        <v>3968.621156480594</v>
      </c>
      <c r="R7" s="2">
        <v>3972.8786204225698</v>
      </c>
      <c r="S7" s="2">
        <v>3977.1360843645471</v>
      </c>
      <c r="T7" s="2">
        <v>3981.3935483065238</v>
      </c>
      <c r="U7" s="2">
        <v>3985.651012248501</v>
      </c>
      <c r="V7" s="2">
        <v>3989.9084761904769</v>
      </c>
      <c r="W7" s="2">
        <v>3992.1895238095249</v>
      </c>
      <c r="X7" s="2">
        <v>3994.4705714285719</v>
      </c>
      <c r="Y7" s="2">
        <v>3996.751619047619</v>
      </c>
      <c r="Z7" s="2">
        <v>3999.032666666667</v>
      </c>
      <c r="AA7" s="2">
        <v>4001.313714285714</v>
      </c>
      <c r="AB7" s="2">
        <v>4003.594761904762</v>
      </c>
      <c r="AC7" s="2">
        <v>4005.875809523809</v>
      </c>
      <c r="AD7" s="2">
        <v>4008.156857142857</v>
      </c>
      <c r="AE7" s="2">
        <v>4010.437904761905</v>
      </c>
      <c r="AF7" s="2">
        <v>4012.7189523809511</v>
      </c>
      <c r="AG7" s="2">
        <v>4015</v>
      </c>
      <c r="AH7" s="2">
        <v>4017.281047619048</v>
      </c>
      <c r="AI7" s="2">
        <v>4019.5620952380941</v>
      </c>
      <c r="AJ7" s="2">
        <v>4021.843142857143</v>
      </c>
      <c r="AK7" s="2">
        <v>4024.1241904761901</v>
      </c>
    </row>
    <row r="8" spans="1:37" x14ac:dyDescent="0.25">
      <c r="C8" s="3" t="s">
        <v>25</v>
      </c>
      <c r="D8" s="2">
        <v>708.60066251415901</v>
      </c>
      <c r="E8" s="2">
        <v>708.93428971985395</v>
      </c>
      <c r="F8" s="2">
        <v>709.26791692555014</v>
      </c>
      <c r="G8" s="2">
        <v>709.60154413124508</v>
      </c>
      <c r="H8" s="2">
        <v>709.93517133694093</v>
      </c>
      <c r="I8" s="2">
        <v>710.268798542637</v>
      </c>
      <c r="J8" s="2">
        <v>710.60242574833194</v>
      </c>
      <c r="K8" s="2">
        <v>710.94319229468726</v>
      </c>
      <c r="L8" s="2">
        <v>711.28395884104157</v>
      </c>
      <c r="M8" s="2">
        <v>711.62472538739689</v>
      </c>
      <c r="N8" s="2">
        <v>711.96549193375131</v>
      </c>
      <c r="O8" s="2">
        <v>712.30625848010652</v>
      </c>
      <c r="P8" s="2">
        <v>712.64702502646196</v>
      </c>
      <c r="Q8" s="2">
        <v>712.98779157281615</v>
      </c>
      <c r="R8" s="2">
        <v>713.32855811917159</v>
      </c>
      <c r="S8" s="2">
        <v>713.64433697321829</v>
      </c>
      <c r="T8" s="2">
        <v>713.96011582726589</v>
      </c>
      <c r="U8" s="2">
        <v>714.27589468131362</v>
      </c>
      <c r="V8" s="2">
        <v>714.5916735353602</v>
      </c>
      <c r="W8" s="2">
        <v>714.93244008171541</v>
      </c>
      <c r="X8" s="2">
        <v>715.58688875606288</v>
      </c>
      <c r="Y8" s="2">
        <v>716.24133743041034</v>
      </c>
      <c r="Z8" s="2">
        <v>716.89578610475769</v>
      </c>
      <c r="AA8" s="2">
        <v>716.88221791388003</v>
      </c>
      <c r="AB8" s="2">
        <v>716.86864972300214</v>
      </c>
      <c r="AC8" s="2">
        <v>716.85508153212425</v>
      </c>
      <c r="AD8" s="2">
        <v>717.17552177385903</v>
      </c>
      <c r="AE8" s="2">
        <v>717.4959620155937</v>
      </c>
      <c r="AF8" s="2">
        <v>717.8164022573286</v>
      </c>
      <c r="AG8" s="2">
        <v>718.13684249906328</v>
      </c>
      <c r="AH8" s="2">
        <v>718.45728274079818</v>
      </c>
      <c r="AI8" s="2">
        <v>718.77772298253296</v>
      </c>
      <c r="AJ8" s="2">
        <v>719.09816322426764</v>
      </c>
      <c r="AK8" s="2">
        <v>719.41860346600265</v>
      </c>
    </row>
    <row r="9" spans="1:37" x14ac:dyDescent="0.25">
      <c r="C9" s="3" t="s">
        <v>26</v>
      </c>
      <c r="D9" s="2">
        <v>3809.2573060970881</v>
      </c>
      <c r="E9" s="2">
        <v>3813.4220372896002</v>
      </c>
      <c r="F9" s="2">
        <v>3817.586768482111</v>
      </c>
      <c r="G9" s="2">
        <v>3821.7514996746222</v>
      </c>
      <c r="H9" s="2">
        <v>3825.916230867133</v>
      </c>
      <c r="I9" s="2">
        <v>3830.0809620596442</v>
      </c>
      <c r="J9" s="2">
        <v>3834.245693252155</v>
      </c>
      <c r="K9" s="2">
        <v>3838.4104244446671</v>
      </c>
      <c r="L9" s="2">
        <v>3842.575155637177</v>
      </c>
      <c r="M9" s="2">
        <v>3846.7398868296891</v>
      </c>
      <c r="N9" s="2">
        <v>3850.9046180222008</v>
      </c>
      <c r="O9" s="2">
        <v>3855.069349214712</v>
      </c>
      <c r="P9" s="2">
        <v>3859.2340804072228</v>
      </c>
      <c r="Q9" s="2">
        <v>3863.398811599734</v>
      </c>
      <c r="R9" s="2">
        <v>3867.5635427922462</v>
      </c>
      <c r="S9" s="2">
        <v>3871.7282739847569</v>
      </c>
      <c r="T9" s="2">
        <v>3875.8930051772668</v>
      </c>
      <c r="U9" s="2">
        <v>3880.0577363697789</v>
      </c>
      <c r="V9" s="2">
        <v>3884.2224675622901</v>
      </c>
      <c r="W9" s="2">
        <v>3888.3871987548009</v>
      </c>
      <c r="X9" s="2">
        <v>3892.5519299473108</v>
      </c>
      <c r="Y9" s="2">
        <v>3895.2087369525798</v>
      </c>
      <c r="Z9" s="2">
        <v>3897.8655439578479</v>
      </c>
      <c r="AA9" s="2">
        <v>3900.5223509631169</v>
      </c>
      <c r="AB9" s="2">
        <v>3903.1791579683859</v>
      </c>
      <c r="AC9" s="2">
        <v>3905.8359649736549</v>
      </c>
      <c r="AD9" s="2">
        <v>3908.4927719789248</v>
      </c>
      <c r="AE9" s="2">
        <v>3911.1495789841929</v>
      </c>
      <c r="AF9" s="2">
        <v>3913.8063859894619</v>
      </c>
      <c r="AG9" s="2">
        <v>3916.4631929947309</v>
      </c>
      <c r="AH9" s="2">
        <v>3919.119999999999</v>
      </c>
      <c r="AI9" s="2">
        <v>3920.6291486101181</v>
      </c>
      <c r="AJ9" s="2">
        <v>3925.3087149053231</v>
      </c>
      <c r="AK9" s="2">
        <v>3933.455044608942</v>
      </c>
    </row>
    <row r="10" spans="1:37" x14ac:dyDescent="0.25">
      <c r="C10" s="3" t="s">
        <v>27</v>
      </c>
      <c r="D10" s="2">
        <v>1214.98</v>
      </c>
      <c r="E10" s="2">
        <v>1217.2449999999999</v>
      </c>
      <c r="F10" s="2">
        <v>1219.556</v>
      </c>
      <c r="G10" s="2">
        <v>1221.721</v>
      </c>
      <c r="H10" s="2">
        <v>1223.606</v>
      </c>
      <c r="I10" s="2">
        <v>1225.4159999999999</v>
      </c>
      <c r="J10" s="2">
        <v>1226.97</v>
      </c>
      <c r="K10" s="2">
        <v>1228.5129999999999</v>
      </c>
      <c r="L10" s="2">
        <v>1229.6289999999999</v>
      </c>
      <c r="M10" s="2">
        <v>1230.855</v>
      </c>
      <c r="N10" s="2">
        <v>1231.8800000000001</v>
      </c>
      <c r="O10" s="2">
        <v>1233.3140000000001</v>
      </c>
      <c r="P10" s="2">
        <v>1234.32</v>
      </c>
      <c r="Q10" s="2">
        <v>1235.6869999999999</v>
      </c>
      <c r="R10" s="2">
        <v>1236.848</v>
      </c>
      <c r="S10" s="2">
        <v>1238.136</v>
      </c>
      <c r="T10" s="2">
        <v>1239.3009999999999</v>
      </c>
      <c r="U10" s="2">
        <v>1240.579</v>
      </c>
      <c r="V10" s="2">
        <v>1242.2159999999999</v>
      </c>
      <c r="W10" s="2">
        <v>1244.098</v>
      </c>
      <c r="X10" s="2">
        <v>1246.0550000000001</v>
      </c>
      <c r="Y10" s="2">
        <v>1247.9690000000001</v>
      </c>
      <c r="Z10" s="2">
        <v>1250.0509999999999</v>
      </c>
      <c r="AA10" s="2">
        <v>1251.864</v>
      </c>
      <c r="AB10" s="2">
        <v>1253.7619999999999</v>
      </c>
      <c r="AC10" s="2">
        <v>1255.9860000000001</v>
      </c>
      <c r="AD10" s="2">
        <v>1258.2239999999999</v>
      </c>
      <c r="AE10" s="2">
        <v>1260.2950000000001</v>
      </c>
      <c r="AF10" s="2">
        <v>1262.32</v>
      </c>
      <c r="AG10" s="2">
        <v>1264.2929999999999</v>
      </c>
      <c r="AH10" s="2">
        <v>1265.759</v>
      </c>
      <c r="AI10" s="2">
        <v>1267.181</v>
      </c>
      <c r="AJ10" s="2">
        <v>1268.5899999999999</v>
      </c>
      <c r="AK10" s="2">
        <v>1270.002</v>
      </c>
    </row>
    <row r="11" spans="1:37" x14ac:dyDescent="0.25">
      <c r="C11" s="3" t="s">
        <v>28</v>
      </c>
      <c r="D11" s="2">
        <v>2629.4830000000002</v>
      </c>
      <c r="E11" s="2">
        <v>2629.2950000000001</v>
      </c>
      <c r="F11" s="2">
        <v>2629.0749999999998</v>
      </c>
      <c r="G11" s="2">
        <v>2628.62887</v>
      </c>
      <c r="H11" s="2">
        <v>2629.5014999999999</v>
      </c>
      <c r="I11" s="2">
        <v>2630.12824</v>
      </c>
      <c r="J11" s="2">
        <v>2630.9928300000001</v>
      </c>
      <c r="K11" s="2">
        <v>2631.8035399999999</v>
      </c>
      <c r="L11" s="2">
        <v>2633.8189699999998</v>
      </c>
      <c r="M11" s="2">
        <v>2634.4716899999999</v>
      </c>
      <c r="N11" s="2">
        <v>2637.2896900000001</v>
      </c>
      <c r="O11" s="2">
        <v>2639.1597099999999</v>
      </c>
      <c r="P11" s="2">
        <v>2643.0565999999999</v>
      </c>
      <c r="Q11" s="2">
        <v>2644.17002</v>
      </c>
      <c r="R11" s="2">
        <v>2645.7401399999999</v>
      </c>
      <c r="S11" s="2">
        <v>2647.4182700000001</v>
      </c>
      <c r="T11" s="2">
        <v>2649.1493500000001</v>
      </c>
      <c r="U11" s="2">
        <v>2651.2102199999999</v>
      </c>
      <c r="V11" s="2">
        <v>2653.0348800000002</v>
      </c>
      <c r="W11" s="2">
        <v>2655.2113800000002</v>
      </c>
      <c r="X11" s="2">
        <v>2657.3759100000002</v>
      </c>
      <c r="Y11" s="2">
        <v>2659.83842</v>
      </c>
      <c r="Z11" s="2">
        <v>2661.8892599999999</v>
      </c>
      <c r="AA11" s="2">
        <v>2663.73054</v>
      </c>
      <c r="AB11" s="2">
        <v>2666.3763600000002</v>
      </c>
      <c r="AC11" s="2">
        <v>2668.3921599999999</v>
      </c>
      <c r="AD11" s="2">
        <v>2669.8497600000001</v>
      </c>
      <c r="AE11" s="2">
        <v>2671.6584999999991</v>
      </c>
      <c r="AF11" s="2">
        <v>2673.39167</v>
      </c>
      <c r="AG11" s="2">
        <v>2675.6698799999999</v>
      </c>
      <c r="AH11" s="2">
        <v>2677.3289799999998</v>
      </c>
      <c r="AI11" s="2">
        <v>2678.8041499999999</v>
      </c>
      <c r="AJ11" s="2">
        <v>2680.3719799999999</v>
      </c>
      <c r="AK11" s="2">
        <v>2681.7636899999989</v>
      </c>
    </row>
    <row r="12" spans="1:37" x14ac:dyDescent="0.25">
      <c r="C12" s="3" t="s">
        <v>29</v>
      </c>
      <c r="D12" s="2">
        <v>10673.066999999999</v>
      </c>
      <c r="E12" s="2">
        <v>10683.56</v>
      </c>
      <c r="F12" s="2">
        <v>10694.045</v>
      </c>
      <c r="G12" s="2">
        <v>10704.522000000001</v>
      </c>
      <c r="H12" s="2">
        <v>10714.992</v>
      </c>
      <c r="I12" s="2">
        <v>10725.457</v>
      </c>
      <c r="J12" s="2">
        <v>10735.921</v>
      </c>
      <c r="K12" s="2">
        <v>10746.379000000001</v>
      </c>
      <c r="L12" s="2">
        <v>10756.83</v>
      </c>
      <c r="M12" s="2">
        <v>10767.272999999999</v>
      </c>
      <c r="N12" s="2">
        <v>10777.714</v>
      </c>
      <c r="O12" s="2">
        <v>10779.374</v>
      </c>
      <c r="P12" s="2">
        <v>10781.008</v>
      </c>
      <c r="Q12" s="2">
        <v>10782.621999999999</v>
      </c>
      <c r="R12" s="2">
        <v>10784.227999999999</v>
      </c>
      <c r="S12" s="2">
        <v>10785.817999999999</v>
      </c>
      <c r="T12" s="2">
        <v>10790.109</v>
      </c>
      <c r="U12" s="2">
        <v>10794.353999999999</v>
      </c>
      <c r="V12" s="2">
        <v>10798.566999999999</v>
      </c>
      <c r="W12" s="2">
        <v>10802.754999999999</v>
      </c>
      <c r="X12" s="2">
        <v>10806.924999999999</v>
      </c>
      <c r="Y12" s="2">
        <v>10809.583000000001</v>
      </c>
      <c r="Z12" s="2">
        <v>10812.225</v>
      </c>
      <c r="AA12" s="2">
        <v>10814.853999999999</v>
      </c>
      <c r="AB12" s="2">
        <v>10817.472</v>
      </c>
      <c r="AC12" s="2">
        <v>10820.072</v>
      </c>
      <c r="AD12" s="2">
        <v>10828.324000000001</v>
      </c>
      <c r="AE12" s="2">
        <v>10836.562</v>
      </c>
      <c r="AF12" s="2">
        <v>10844.775</v>
      </c>
      <c r="AG12" s="2">
        <v>10852.975</v>
      </c>
      <c r="AH12" s="2">
        <v>10861.162</v>
      </c>
      <c r="AI12" s="2">
        <v>10868.209000000001</v>
      </c>
      <c r="AJ12" s="2">
        <v>10875.236000000001</v>
      </c>
      <c r="AK12" s="2">
        <v>10882.244000000001</v>
      </c>
    </row>
    <row r="13" spans="1:37" x14ac:dyDescent="0.25">
      <c r="C13" s="3" t="s">
        <v>30</v>
      </c>
      <c r="D13" s="2">
        <v>546.44059583225203</v>
      </c>
      <c r="E13" s="2">
        <v>550.77050000357076</v>
      </c>
      <c r="F13" s="2">
        <v>555.27362499711944</v>
      </c>
      <c r="G13" s="2">
        <v>559.77675000186787</v>
      </c>
      <c r="H13" s="2">
        <v>564.27987499632673</v>
      </c>
      <c r="I13" s="2">
        <v>568.78299999609533</v>
      </c>
      <c r="J13" s="2">
        <v>573.28612500128406</v>
      </c>
      <c r="K13" s="2">
        <v>577.78924999627259</v>
      </c>
      <c r="L13" s="2">
        <v>582.29237500090233</v>
      </c>
      <c r="M13" s="2">
        <v>586.79549999532105</v>
      </c>
      <c r="N13" s="2">
        <v>591.29862500073955</v>
      </c>
      <c r="O13" s="2">
        <v>595.80174999605845</v>
      </c>
      <c r="P13" s="2">
        <v>600.30487500008712</v>
      </c>
      <c r="Q13" s="2">
        <v>604.80799999510555</v>
      </c>
      <c r="R13" s="2">
        <v>609.31112500092411</v>
      </c>
      <c r="S13" s="2">
        <v>613.81425000049467</v>
      </c>
      <c r="T13" s="2">
        <v>618.4053541675554</v>
      </c>
      <c r="U13" s="2">
        <v>622.99645833448562</v>
      </c>
      <c r="V13" s="2">
        <v>627.58756249879525</v>
      </c>
      <c r="W13" s="2">
        <v>632.17866666372663</v>
      </c>
      <c r="X13" s="2">
        <v>636.76977082915278</v>
      </c>
      <c r="Y13" s="2">
        <v>641.36087499558982</v>
      </c>
      <c r="Z13" s="2">
        <v>643.56499999681978</v>
      </c>
      <c r="AA13" s="2">
        <v>648.53049999926975</v>
      </c>
      <c r="AB13" s="2">
        <v>649.40581249878028</v>
      </c>
      <c r="AC13" s="2">
        <v>652.12237499845003</v>
      </c>
      <c r="AD13" s="2">
        <v>653.33912499561995</v>
      </c>
      <c r="AE13" s="2">
        <v>654.90150000287974</v>
      </c>
      <c r="AF13" s="2">
        <v>656.40387499984263</v>
      </c>
      <c r="AG13" s="2">
        <v>657.78231249574935</v>
      </c>
      <c r="AH13" s="2">
        <v>659.59300000153598</v>
      </c>
      <c r="AI13" s="2">
        <v>664.62518750366439</v>
      </c>
      <c r="AJ13" s="2">
        <v>666.02631249752869</v>
      </c>
      <c r="AK13" s="2">
        <v>666.63099999883775</v>
      </c>
    </row>
    <row r="14" spans="1:37" x14ac:dyDescent="0.25">
      <c r="C14" s="3" t="s">
        <v>31</v>
      </c>
      <c r="D14" s="2">
        <v>14200.430869318179</v>
      </c>
      <c r="E14" s="2">
        <v>14326.377988636361</v>
      </c>
      <c r="F14" s="2">
        <v>14452.325107954541</v>
      </c>
      <c r="G14" s="2">
        <v>14578.27222727273</v>
      </c>
      <c r="H14" s="2">
        <v>14704.219346590909</v>
      </c>
      <c r="I14" s="2">
        <v>14830.166465909089</v>
      </c>
      <c r="J14" s="2">
        <v>14956.113585227269</v>
      </c>
      <c r="K14" s="2">
        <v>15082.060704545451</v>
      </c>
      <c r="L14" s="2">
        <v>15208.00782386364</v>
      </c>
      <c r="M14" s="2">
        <v>15333.95494318182</v>
      </c>
      <c r="N14" s="2">
        <v>15459.902062499999</v>
      </c>
      <c r="O14" s="2">
        <v>15617.650374999999</v>
      </c>
      <c r="P14" s="2">
        <v>15775.398687499999</v>
      </c>
      <c r="Q14" s="2">
        <v>15933.147000000001</v>
      </c>
      <c r="R14" s="2">
        <v>16090.895312500001</v>
      </c>
      <c r="S14" s="2">
        <v>16248.643625000001</v>
      </c>
      <c r="T14" s="2">
        <v>16406.3919375</v>
      </c>
      <c r="U14" s="2">
        <v>16516.326458333329</v>
      </c>
      <c r="V14" s="2">
        <v>16626.260979166669</v>
      </c>
      <c r="W14" s="2">
        <v>16736.195500000002</v>
      </c>
      <c r="X14" s="2">
        <v>16900.45414583333</v>
      </c>
      <c r="Y14" s="2">
        <v>17064.712791666661</v>
      </c>
      <c r="Z14" s="2">
        <v>17228.9714375</v>
      </c>
      <c r="AA14" s="2">
        <v>17388.940395833339</v>
      </c>
      <c r="AB14" s="2">
        <v>17548.90935416667</v>
      </c>
      <c r="AC14" s="2">
        <v>17708.878312500001</v>
      </c>
      <c r="AD14" s="2">
        <v>17797.577874999999</v>
      </c>
      <c r="AE14" s="2">
        <v>17886.277437500001</v>
      </c>
      <c r="AF14" s="2">
        <v>17974.976999999999</v>
      </c>
      <c r="AG14" s="2">
        <v>18003.983979166671</v>
      </c>
      <c r="AH14" s="2">
        <v>18032.990958333328</v>
      </c>
      <c r="AI14" s="2">
        <v>18061.9979375</v>
      </c>
      <c r="AJ14" s="2">
        <v>18091.004916666661</v>
      </c>
      <c r="AK14" s="2">
        <v>18120.01189583333</v>
      </c>
    </row>
    <row r="15" spans="1:37" x14ac:dyDescent="0.25">
      <c r="C15" s="3" t="s">
        <v>32</v>
      </c>
      <c r="D15" s="2">
        <v>2368.6860000000011</v>
      </c>
      <c r="E15" s="2">
        <v>2371.5120000000011</v>
      </c>
      <c r="F15" s="2">
        <v>2375.4070000000011</v>
      </c>
      <c r="G15" s="2">
        <v>2380.391000000001</v>
      </c>
      <c r="H15" s="2">
        <v>2385.3760000000011</v>
      </c>
      <c r="I15" s="2">
        <v>2390.755000000001</v>
      </c>
      <c r="J15" s="2">
        <v>2396.5279999999998</v>
      </c>
      <c r="K15" s="2">
        <v>2402.538</v>
      </c>
      <c r="L15" s="2">
        <v>2408.2440000000001</v>
      </c>
      <c r="M15" s="2">
        <v>2414.3290000000011</v>
      </c>
      <c r="N15" s="2">
        <v>2419.8890000000001</v>
      </c>
      <c r="O15" s="2">
        <v>2424.201</v>
      </c>
      <c r="P15" s="2">
        <v>2427.764000000001</v>
      </c>
      <c r="Q15" s="2">
        <v>2431.552000000001</v>
      </c>
      <c r="R15" s="2">
        <v>2434.8209999999999</v>
      </c>
      <c r="S15" s="2">
        <v>2437.8570000000009</v>
      </c>
      <c r="T15" s="2">
        <v>2440.476000000001</v>
      </c>
      <c r="U15" s="2">
        <v>2442.6840000000002</v>
      </c>
      <c r="V15" s="2">
        <v>2444.1640000000011</v>
      </c>
      <c r="W15" s="2">
        <v>2445.1240000000012</v>
      </c>
      <c r="X15" s="2">
        <v>2445.877</v>
      </c>
      <c r="Y15" s="2">
        <v>2447.023000000001</v>
      </c>
      <c r="Z15" s="2">
        <v>2448.2180000000012</v>
      </c>
      <c r="AA15" s="2">
        <v>2449.2290000000012</v>
      </c>
      <c r="AB15" s="2">
        <v>2449.911000000001</v>
      </c>
      <c r="AC15" s="2">
        <v>2450.2380000000012</v>
      </c>
      <c r="AD15" s="2">
        <v>2450.2420000000011</v>
      </c>
      <c r="AE15" s="2">
        <v>2449.9770000000012</v>
      </c>
      <c r="AF15" s="2">
        <v>2450.315000000001</v>
      </c>
      <c r="AG15" s="2">
        <v>2451.0010000000011</v>
      </c>
      <c r="AH15" s="2">
        <v>2452.0200000000009</v>
      </c>
      <c r="AI15" s="2">
        <v>2453.0090000000009</v>
      </c>
      <c r="AJ15" s="2">
        <v>2453.9310000000009</v>
      </c>
      <c r="AK15" s="2">
        <v>2454.152000000001</v>
      </c>
    </row>
    <row r="16" spans="1:37" x14ac:dyDescent="0.25">
      <c r="C16" s="3" t="s">
        <v>33</v>
      </c>
      <c r="D16" s="2">
        <v>22108.644</v>
      </c>
      <c r="E16" s="2">
        <v>22115.153999999999</v>
      </c>
      <c r="F16" s="2">
        <v>22120.335999999999</v>
      </c>
      <c r="G16" s="2">
        <v>22122.665000000001</v>
      </c>
      <c r="H16" s="2">
        <v>22124.977999999999</v>
      </c>
      <c r="I16" s="2">
        <v>22126.138999999999</v>
      </c>
      <c r="J16" s="2">
        <v>22126.403999999999</v>
      </c>
      <c r="K16" s="2">
        <v>22123.704000000002</v>
      </c>
      <c r="L16" s="2">
        <v>22120.612000000001</v>
      </c>
      <c r="M16" s="2">
        <v>22114.672999999999</v>
      </c>
      <c r="N16" s="2">
        <v>22105.77</v>
      </c>
      <c r="O16" s="2">
        <v>22093.177</v>
      </c>
      <c r="P16" s="2">
        <v>22078.83</v>
      </c>
      <c r="Q16" s="2">
        <v>22062.079000000002</v>
      </c>
      <c r="R16" s="2">
        <v>22044.087</v>
      </c>
      <c r="S16" s="2">
        <v>22025.68</v>
      </c>
      <c r="T16" s="2">
        <v>22008.424999999999</v>
      </c>
      <c r="U16" s="2">
        <v>21991.575000000001</v>
      </c>
      <c r="V16" s="2">
        <v>21975.691999999999</v>
      </c>
      <c r="W16" s="2">
        <v>21959.252</v>
      </c>
      <c r="X16" s="2">
        <v>21943.277999999998</v>
      </c>
      <c r="Y16" s="2">
        <v>21928.207999999999</v>
      </c>
      <c r="Z16" s="2">
        <v>21915.603999999999</v>
      </c>
      <c r="AA16" s="2">
        <v>21904.489000000001</v>
      </c>
      <c r="AB16" s="2">
        <v>21894.477999999999</v>
      </c>
      <c r="AC16" s="2">
        <v>21886.746999999999</v>
      </c>
      <c r="AD16" s="2">
        <v>21879.946</v>
      </c>
      <c r="AE16" s="2">
        <v>21873.307000000001</v>
      </c>
      <c r="AF16" s="2">
        <v>21866.080999999998</v>
      </c>
      <c r="AG16" s="2">
        <v>21860.084999999999</v>
      </c>
      <c r="AH16" s="2">
        <v>21853.597000000002</v>
      </c>
      <c r="AI16" s="2">
        <v>21847.304</v>
      </c>
      <c r="AJ16" s="2">
        <v>21840.690999999999</v>
      </c>
      <c r="AK16" s="2">
        <v>21834.684000000001</v>
      </c>
    </row>
    <row r="17" spans="3:37" x14ac:dyDescent="0.25">
      <c r="C17" s="3" t="s">
        <v>34</v>
      </c>
      <c r="D17" s="2">
        <v>23624.148786324098</v>
      </c>
      <c r="E17" s="2">
        <v>23691.975380590698</v>
      </c>
      <c r="F17" s="2">
        <v>23759.9767247583</v>
      </c>
      <c r="G17" s="2">
        <v>23828.218317924999</v>
      </c>
      <c r="H17" s="2">
        <v>23896.9061620916</v>
      </c>
      <c r="I17" s="2">
        <v>23965.222756159299</v>
      </c>
      <c r="J17" s="2">
        <v>24033.733350425999</v>
      </c>
      <c r="K17" s="2">
        <v>24101.528694593599</v>
      </c>
      <c r="L17" s="2">
        <v>24170.332395760201</v>
      </c>
      <c r="M17" s="2">
        <v>24239.149096927998</v>
      </c>
      <c r="N17" s="2">
        <v>24308.102047994598</v>
      </c>
      <c r="O17" s="2">
        <v>24377.777698232199</v>
      </c>
      <c r="P17" s="2">
        <v>24447.806849418801</v>
      </c>
      <c r="Q17" s="2">
        <v>24517.774000605001</v>
      </c>
      <c r="R17" s="2">
        <v>24588.002901792999</v>
      </c>
      <c r="S17" s="2">
        <v>24658.53855288</v>
      </c>
      <c r="T17" s="2">
        <v>24728.847754077</v>
      </c>
      <c r="U17" s="2">
        <v>24792.548455264001</v>
      </c>
      <c r="V17" s="2">
        <v>24856.309656451998</v>
      </c>
      <c r="W17" s="2">
        <v>24921.011373730002</v>
      </c>
      <c r="X17" s="2">
        <v>24984.638590099999</v>
      </c>
      <c r="Y17" s="2">
        <v>25048.223307379001</v>
      </c>
      <c r="Z17" s="2">
        <v>25111.388024757998</v>
      </c>
      <c r="AA17" s="2">
        <v>25176.021991037</v>
      </c>
      <c r="AB17" s="2">
        <v>25241.213458417002</v>
      </c>
      <c r="AC17" s="2">
        <v>25306.276675687001</v>
      </c>
      <c r="AD17" s="2">
        <v>25372.093096065</v>
      </c>
      <c r="AE17" s="2">
        <v>25438.468767343998</v>
      </c>
      <c r="AF17" s="2">
        <v>25505.586437724</v>
      </c>
      <c r="AG17" s="2">
        <v>25576.532359002998</v>
      </c>
      <c r="AH17" s="2">
        <v>25647.365530372001</v>
      </c>
      <c r="AI17" s="2">
        <v>25718.224700651001</v>
      </c>
      <c r="AJ17" s="2">
        <v>25789.34387203</v>
      </c>
      <c r="AK17" s="2">
        <v>25860.262252308999</v>
      </c>
    </row>
    <row r="18" spans="3:37" x14ac:dyDescent="0.25">
      <c r="C18" s="3" t="s">
        <v>35</v>
      </c>
      <c r="D18" s="2">
        <v>3153.410547640337</v>
      </c>
      <c r="E18" s="2">
        <v>3179.3392948932769</v>
      </c>
      <c r="F18" s="2">
        <v>3205.318266218987</v>
      </c>
      <c r="G18" s="2">
        <v>3232.4451740278678</v>
      </c>
      <c r="H18" s="2">
        <v>3264.9770105432972</v>
      </c>
      <c r="I18" s="2">
        <v>3293.1114212649518</v>
      </c>
      <c r="J18" s="2">
        <v>3320.5216200354221</v>
      </c>
      <c r="K18" s="2">
        <v>3347.632546331261</v>
      </c>
      <c r="L18" s="2">
        <v>3375.013105110615</v>
      </c>
      <c r="M18" s="2">
        <v>3403.01188551931</v>
      </c>
      <c r="N18" s="2">
        <v>3429.454520546672</v>
      </c>
      <c r="O18" s="2">
        <v>3448.875010640731</v>
      </c>
      <c r="P18" s="2">
        <v>3467.8642895465018</v>
      </c>
      <c r="Q18" s="2">
        <v>3484.2908472084182</v>
      </c>
      <c r="R18" s="2">
        <v>3497.692933236769</v>
      </c>
      <c r="S18" s="2">
        <v>3508.9125108030071</v>
      </c>
      <c r="T18" s="2">
        <v>3522.042304898453</v>
      </c>
      <c r="U18" s="2">
        <v>3530.6085866846979</v>
      </c>
      <c r="V18" s="2">
        <v>3537.4973066454299</v>
      </c>
      <c r="W18" s="2">
        <v>3543.4624165086152</v>
      </c>
      <c r="X18" s="2">
        <v>3552.134203424238</v>
      </c>
      <c r="Y18" s="2">
        <v>3566.7150970556991</v>
      </c>
      <c r="Z18" s="2">
        <v>3577.783072735604</v>
      </c>
      <c r="AA18" s="2">
        <v>3589.3004478159542</v>
      </c>
      <c r="AB18" s="2">
        <v>3598.432187301039</v>
      </c>
      <c r="AC18" s="2">
        <v>3602.4632196056009</v>
      </c>
      <c r="AD18" s="2">
        <v>3605.8250557355268</v>
      </c>
      <c r="AE18" s="2">
        <v>3611.6716221857259</v>
      </c>
      <c r="AF18" s="2">
        <v>3619.9701048043198</v>
      </c>
      <c r="AG18" s="2">
        <v>3630.2108633517628</v>
      </c>
      <c r="AH18" s="2">
        <v>3640.735744963129</v>
      </c>
      <c r="AI18" s="2">
        <v>3650.9698376601182</v>
      </c>
      <c r="AJ18" s="2">
        <v>3660.590696163139</v>
      </c>
      <c r="AK18" s="2">
        <v>3675.111992595097</v>
      </c>
    </row>
    <row r="19" spans="3:37" x14ac:dyDescent="0.25">
      <c r="C19" s="3" t="s">
        <v>36</v>
      </c>
      <c r="D19" s="2">
        <v>3363.0725758425451</v>
      </c>
      <c r="E19" s="2">
        <v>3366.947936897091</v>
      </c>
      <c r="F19" s="2">
        <v>3370.828639851637</v>
      </c>
      <c r="G19" s="2">
        <v>3374.7068040801819</v>
      </c>
      <c r="H19" s="2">
        <v>3378.579077434727</v>
      </c>
      <c r="I19" s="2">
        <v>3382.460906521273</v>
      </c>
      <c r="J19" s="2">
        <v>3386.3438294508178</v>
      </c>
      <c r="K19" s="2">
        <v>3392.2038294508179</v>
      </c>
      <c r="L19" s="2">
        <v>3394.0949862384541</v>
      </c>
      <c r="M19" s="2">
        <v>3397.9749862384542</v>
      </c>
      <c r="N19" s="2">
        <v>3401.856948259001</v>
      </c>
      <c r="O19" s="2">
        <v>3405.7362100335458</v>
      </c>
      <c r="P19" s="2">
        <v>3409.606010038091</v>
      </c>
      <c r="Q19" s="2">
        <v>3413.4877912416368</v>
      </c>
      <c r="R19" s="2">
        <v>3417.3653491861819</v>
      </c>
      <c r="S19" s="2">
        <v>3421.247443464727</v>
      </c>
      <c r="T19" s="2">
        <v>3425.1201947992731</v>
      </c>
      <c r="U19" s="2">
        <v>3429.003113711819</v>
      </c>
      <c r="V19" s="2">
        <v>3432.8796427153629</v>
      </c>
      <c r="W19" s="2">
        <v>3436.757692317909</v>
      </c>
      <c r="X19" s="2">
        <v>3440.639133965909</v>
      </c>
      <c r="Y19" s="2">
        <v>3444.5223119429088</v>
      </c>
      <c r="Z19" s="2">
        <v>3448.3964172359092</v>
      </c>
      <c r="AA19" s="2">
        <v>3452.273322180909</v>
      </c>
      <c r="AB19" s="2">
        <v>3456.1506955269078</v>
      </c>
      <c r="AC19" s="2">
        <v>3460.0337342059088</v>
      </c>
      <c r="AD19" s="2">
        <v>3463.9061425402092</v>
      </c>
      <c r="AE19" s="2">
        <v>3467.786769223454</v>
      </c>
      <c r="AF19" s="2">
        <v>3471.6016</v>
      </c>
      <c r="AG19" s="2">
        <v>3475.5666999999999</v>
      </c>
      <c r="AH19" s="2">
        <v>3479.339989279204</v>
      </c>
      <c r="AI19" s="2">
        <v>3484.2638831847862</v>
      </c>
      <c r="AJ19" s="2">
        <v>3490.966199756288</v>
      </c>
      <c r="AK19" s="2">
        <v>3495.121238292385</v>
      </c>
    </row>
    <row r="20" spans="3:37" x14ac:dyDescent="0.25">
      <c r="C20" s="3" t="s">
        <v>37</v>
      </c>
      <c r="D20" s="2">
        <v>2361.707071704001</v>
      </c>
      <c r="E20" s="2">
        <v>2361.920421704001</v>
      </c>
      <c r="F20" s="2">
        <v>2362.0830117040009</v>
      </c>
      <c r="G20" s="2">
        <v>2362.3810017040009</v>
      </c>
      <c r="H20" s="2">
        <v>2362.5803417040011</v>
      </c>
      <c r="I20" s="2">
        <v>2362.8089117040008</v>
      </c>
      <c r="J20" s="2">
        <v>2363.096401704001</v>
      </c>
      <c r="K20" s="2">
        <v>2363.214111704001</v>
      </c>
      <c r="L20" s="2">
        <v>2363.3695617040012</v>
      </c>
      <c r="M20" s="2">
        <v>2363.6688817040008</v>
      </c>
      <c r="N20" s="2">
        <v>2363.7445000000012</v>
      </c>
      <c r="O20" s="2">
        <v>2363.64392</v>
      </c>
      <c r="P20" s="2">
        <v>2363.7158483320009</v>
      </c>
      <c r="Q20" s="2">
        <v>2363.9045700000011</v>
      </c>
      <c r="R20" s="2">
        <v>2364.208340000001</v>
      </c>
      <c r="S20" s="2">
        <v>2366.8891700000008</v>
      </c>
      <c r="T20" s="2">
        <v>2369.409380000001</v>
      </c>
      <c r="U20" s="2">
        <v>2373.1467900000021</v>
      </c>
      <c r="V20" s="2">
        <v>2374.5712300000009</v>
      </c>
      <c r="W20" s="2">
        <v>2378.4155900000019</v>
      </c>
      <c r="X20" s="2">
        <v>2382.873860000002</v>
      </c>
      <c r="Y20" s="2">
        <v>2388.727130000002</v>
      </c>
      <c r="Z20" s="2">
        <v>2393.5090600000012</v>
      </c>
      <c r="AA20" s="2">
        <v>2400.4839500000012</v>
      </c>
      <c r="AB20" s="2">
        <v>2408.7871300000011</v>
      </c>
      <c r="AC20" s="2">
        <v>2414.9258000000009</v>
      </c>
      <c r="AD20" s="2">
        <v>2416.3191100000008</v>
      </c>
      <c r="AE20" s="2">
        <v>2420.241840000002</v>
      </c>
      <c r="AF20" s="2">
        <v>2421.966730000001</v>
      </c>
      <c r="AG20" s="2">
        <v>2422.4700400000011</v>
      </c>
      <c r="AH20" s="2">
        <v>2422.791200000001</v>
      </c>
      <c r="AI20" s="2">
        <v>2423.1777300000008</v>
      </c>
      <c r="AJ20" s="2">
        <v>2423.2835300000011</v>
      </c>
      <c r="AK20" s="2">
        <v>2424.3043299999999</v>
      </c>
    </row>
    <row r="21" spans="3:37" x14ac:dyDescent="0.25">
      <c r="C21" s="3" t="s">
        <v>38</v>
      </c>
      <c r="D21" s="2">
        <v>481.07439999999991</v>
      </c>
      <c r="E21" s="2">
        <v>500.2007999999995</v>
      </c>
      <c r="F21" s="2">
        <v>516.87919999999951</v>
      </c>
      <c r="G21" s="2">
        <v>532.85660000000041</v>
      </c>
      <c r="H21" s="2">
        <v>552.29500000000007</v>
      </c>
      <c r="I21" s="2">
        <v>575.6717000000001</v>
      </c>
      <c r="J21" s="2">
        <v>596.3194000000002</v>
      </c>
      <c r="K21" s="2">
        <v>607.42009999999971</v>
      </c>
      <c r="L21" s="2">
        <v>620.01479999999947</v>
      </c>
      <c r="M21" s="2">
        <v>632.34950000000003</v>
      </c>
      <c r="N21" s="2">
        <v>647.18750000000023</v>
      </c>
      <c r="O21" s="2">
        <v>661.79550000000006</v>
      </c>
      <c r="P21" s="2">
        <v>675.99250000000006</v>
      </c>
      <c r="Q21" s="2">
        <v>684.23250000000019</v>
      </c>
      <c r="R21" s="2">
        <v>693.11449999999991</v>
      </c>
      <c r="S21" s="2">
        <v>702.35350000000039</v>
      </c>
      <c r="T21" s="2">
        <v>708.39049999999997</v>
      </c>
      <c r="U21" s="2">
        <v>713.96549999999991</v>
      </c>
      <c r="V21" s="2">
        <v>718.21450000000027</v>
      </c>
      <c r="W21" s="2">
        <v>724.06231000000037</v>
      </c>
      <c r="X21" s="2">
        <v>731.57630999999947</v>
      </c>
      <c r="Y21" s="2">
        <v>736.62931000000049</v>
      </c>
      <c r="Z21" s="2">
        <v>742.48130999999989</v>
      </c>
      <c r="AA21" s="2">
        <v>747.13337000000035</v>
      </c>
      <c r="AB21" s="2">
        <v>752.88977999999986</v>
      </c>
      <c r="AC21" s="2">
        <v>758.38259000000039</v>
      </c>
      <c r="AD21" s="2">
        <v>763.68238999999949</v>
      </c>
      <c r="AE21" s="2">
        <v>768.81814000000031</v>
      </c>
      <c r="AF21" s="2">
        <v>771.64361999999994</v>
      </c>
      <c r="AG21" s="2">
        <v>774.79350999999997</v>
      </c>
      <c r="AH21" s="2">
        <v>776.42783000000054</v>
      </c>
      <c r="AI21" s="2">
        <v>778.44430999999963</v>
      </c>
      <c r="AJ21" s="2">
        <v>780.53619999999978</v>
      </c>
      <c r="AK21" s="2">
        <v>782.08385999999996</v>
      </c>
    </row>
    <row r="22" spans="3:37" x14ac:dyDescent="0.25">
      <c r="C22" s="3" t="s">
        <v>39</v>
      </c>
      <c r="D22" s="2">
        <v>7589.803478871404</v>
      </c>
      <c r="E22" s="2">
        <v>7667.7632808231083</v>
      </c>
      <c r="F22" s="2">
        <v>7745.7230827748162</v>
      </c>
      <c r="G22" s="2">
        <v>7823.6828847265206</v>
      </c>
      <c r="H22" s="2">
        <v>7901.6426866782267</v>
      </c>
      <c r="I22" s="2">
        <v>7979.6024886299319</v>
      </c>
      <c r="J22" s="2">
        <v>8057.5622905816372</v>
      </c>
      <c r="K22" s="2">
        <v>8135.5220925333433</v>
      </c>
      <c r="L22" s="2">
        <v>8213.4818944850504</v>
      </c>
      <c r="M22" s="2">
        <v>8291.4416964367556</v>
      </c>
      <c r="N22" s="2">
        <v>8369.4014983884608</v>
      </c>
      <c r="O22" s="2">
        <v>8447.3613003401697</v>
      </c>
      <c r="P22" s="2">
        <v>8525.3211022918767</v>
      </c>
      <c r="Q22" s="2">
        <v>8603.280904243582</v>
      </c>
      <c r="R22" s="2">
        <v>8681.2407061952908</v>
      </c>
      <c r="S22" s="2">
        <v>8759.2005081469979</v>
      </c>
      <c r="T22" s="2">
        <v>8804.6389573322995</v>
      </c>
      <c r="U22" s="2">
        <v>8850.0774065175974</v>
      </c>
      <c r="V22" s="2">
        <v>8895.515855702899</v>
      </c>
      <c r="W22" s="2">
        <v>8940.9543048881933</v>
      </c>
      <c r="X22" s="2">
        <v>8986.3927540734949</v>
      </c>
      <c r="Y22" s="2">
        <v>9031.8312032587964</v>
      </c>
      <c r="Z22" s="2">
        <v>9077.269652444098</v>
      </c>
      <c r="AA22" s="2">
        <v>9122.7081016293978</v>
      </c>
      <c r="AB22" s="2">
        <v>9168.1465508146975</v>
      </c>
      <c r="AC22" s="2">
        <v>9213.5849999999973</v>
      </c>
      <c r="AD22" s="2">
        <v>9398.3980826085863</v>
      </c>
      <c r="AE22" s="2">
        <v>9583.2111652171789</v>
      </c>
      <c r="AF22" s="2">
        <v>9768.0242478257678</v>
      </c>
      <c r="AG22" s="2">
        <v>9952.837330434355</v>
      </c>
      <c r="AH22" s="2">
        <v>10137.650413042949</v>
      </c>
      <c r="AI22" s="2">
        <v>10374.433608695301</v>
      </c>
      <c r="AJ22" s="2">
        <v>10611.21680434765</v>
      </c>
      <c r="AK22" s="2">
        <v>10848</v>
      </c>
    </row>
    <row r="23" spans="3:37" x14ac:dyDescent="0.25">
      <c r="C23" s="3" t="s">
        <v>40</v>
      </c>
      <c r="D23" s="2">
        <v>2053.7548600300402</v>
      </c>
      <c r="E23" s="2">
        <v>2060.9428023750802</v>
      </c>
      <c r="F23" s="2">
        <v>2066.5334241989999</v>
      </c>
      <c r="G23" s="2">
        <v>2071.7247158926398</v>
      </c>
      <c r="H23" s="2">
        <v>2074.5200268046001</v>
      </c>
      <c r="I23" s="2">
        <v>2076.9160075862801</v>
      </c>
      <c r="J23" s="2">
        <v>2080.90930888908</v>
      </c>
      <c r="K23" s="2">
        <v>2084.5032800616</v>
      </c>
      <c r="L23" s="2">
        <v>2087.6979211038401</v>
      </c>
      <c r="M23" s="2">
        <v>2090.4932320158</v>
      </c>
      <c r="N23" s="2">
        <v>2095.6845237094399</v>
      </c>
      <c r="O23" s="2">
        <v>2098.0805044911199</v>
      </c>
      <c r="P23" s="2">
        <v>2102.4731359242001</v>
      </c>
      <c r="Q23" s="2">
        <v>2107.2650974875601</v>
      </c>
      <c r="R23" s="2">
        <v>2114.4530398326001</v>
      </c>
      <c r="S23" s="2">
        <v>2122.04031230792</v>
      </c>
      <c r="T23" s="2">
        <v>2129.6275847832399</v>
      </c>
      <c r="U23" s="2">
        <v>2137.2148572585602</v>
      </c>
      <c r="V23" s="2">
        <v>2144.0034694733199</v>
      </c>
      <c r="W23" s="2">
        <v>2147.1981105155601</v>
      </c>
      <c r="X23" s="2">
        <v>2153.5873926000399</v>
      </c>
      <c r="Y23" s="2">
        <v>2161.5739952056401</v>
      </c>
      <c r="Z23" s="2">
        <v>2173.1545689837599</v>
      </c>
      <c r="AA23" s="2">
        <v>2179.1445209379599</v>
      </c>
      <c r="AB23" s="2">
        <v>2187.1311235435601</v>
      </c>
      <c r="AC23" s="2">
        <v>2196.3157165399998</v>
      </c>
      <c r="AD23" s="2">
        <v>2201.5070082336401</v>
      </c>
      <c r="AE23" s="2">
        <v>2209.4936108392399</v>
      </c>
      <c r="AF23" s="2">
        <v>2210.2922710998</v>
      </c>
      <c r="AG23" s="2">
        <v>2213.88624227232</v>
      </c>
      <c r="AH23" s="2">
        <v>2221.0741846173601</v>
      </c>
      <c r="AI23" s="2">
        <v>2230.2587776137998</v>
      </c>
      <c r="AJ23" s="2">
        <v>2240.64136100108</v>
      </c>
      <c r="AK23" s="2">
        <v>2247.82930334612</v>
      </c>
    </row>
    <row r="24" spans="3:37" x14ac:dyDescent="0.25">
      <c r="C24" s="3" t="s">
        <v>41</v>
      </c>
      <c r="D24" s="2">
        <v>3177.5271710000002</v>
      </c>
      <c r="E24" s="2">
        <v>3178.924254</v>
      </c>
      <c r="F24" s="2">
        <v>3180.3213380000002</v>
      </c>
      <c r="G24" s="2">
        <v>3181.7184240000001</v>
      </c>
      <c r="H24" s="2">
        <v>3183.1155079999999</v>
      </c>
      <c r="I24" s="2">
        <v>3184.512592</v>
      </c>
      <c r="J24" s="2">
        <v>3193.1680470000001</v>
      </c>
      <c r="K24" s="2">
        <v>3201.8235</v>
      </c>
      <c r="L24" s="2">
        <v>3210.4789559999999</v>
      </c>
      <c r="M24" s="2">
        <v>3219.1344100000001</v>
      </c>
      <c r="N24" s="2">
        <v>3227.7898650000002</v>
      </c>
      <c r="O24" s="2">
        <v>3228.0279740000001</v>
      </c>
      <c r="P24" s="2">
        <v>3228.266083</v>
      </c>
      <c r="Q24" s="2">
        <v>3228.5041919999999</v>
      </c>
      <c r="R24" s="2">
        <v>3228.742303</v>
      </c>
      <c r="S24" s="2">
        <v>3228.9804100000001</v>
      </c>
      <c r="T24" s="2">
        <v>3229.2185199999999</v>
      </c>
      <c r="U24" s="2">
        <v>3229.4566289999998</v>
      </c>
      <c r="V24" s="2">
        <v>3229.6947380000001</v>
      </c>
      <c r="W24" s="2">
        <v>3234.0635139999999</v>
      </c>
      <c r="X24" s="2">
        <v>3238.4322900000002</v>
      </c>
      <c r="Y24" s="2">
        <v>3242.8010669999999</v>
      </c>
      <c r="Z24" s="2">
        <v>3247.169844</v>
      </c>
      <c r="AA24" s="2">
        <v>3251.5386210000001</v>
      </c>
      <c r="AB24" s="2">
        <v>3250.2154580000001</v>
      </c>
      <c r="AC24" s="2">
        <v>3248.892296</v>
      </c>
      <c r="AD24" s="2">
        <v>3247.5691360000001</v>
      </c>
      <c r="AE24" s="2">
        <v>3246.245973</v>
      </c>
      <c r="AF24" s="2">
        <v>3244.9228119999998</v>
      </c>
      <c r="AG24" s="2">
        <v>3253.5087010000002</v>
      </c>
      <c r="AH24" s="2">
        <v>3262.0945879999999</v>
      </c>
      <c r="AI24" s="2">
        <v>3270.6804750000001</v>
      </c>
      <c r="AJ24" s="2">
        <v>3281.9908500000001</v>
      </c>
      <c r="AK24" s="2">
        <v>3289.1398239999999</v>
      </c>
    </row>
    <row r="25" spans="3:37" x14ac:dyDescent="0.25">
      <c r="C25" s="3" t="s">
        <v>42</v>
      </c>
      <c r="D25" s="2">
        <v>12207.08640770985</v>
      </c>
      <c r="E25" s="2">
        <v>12204.980443389701</v>
      </c>
      <c r="F25" s="2">
        <v>12202.87447906954</v>
      </c>
      <c r="G25" s="2">
        <v>12200.76851474939</v>
      </c>
      <c r="H25" s="2">
        <v>12198.662550429241</v>
      </c>
      <c r="I25" s="2">
        <v>12195.79954618909</v>
      </c>
      <c r="J25" s="2">
        <v>12192.75329022227</v>
      </c>
      <c r="K25" s="2">
        <v>12189.07874262113</v>
      </c>
      <c r="L25" s="2">
        <v>12185.760184029999</v>
      </c>
      <c r="M25" s="2">
        <v>12182.317454870001</v>
      </c>
      <c r="N25" s="2">
        <v>12179.10904759</v>
      </c>
      <c r="O25" s="2">
        <v>12175.93668983</v>
      </c>
      <c r="P25" s="2">
        <v>12173.41322343</v>
      </c>
      <c r="Q25" s="2">
        <v>12170.024568549999</v>
      </c>
      <c r="R25" s="2">
        <v>12166.78011175</v>
      </c>
      <c r="S25" s="2">
        <v>12163.10306071</v>
      </c>
      <c r="T25" s="2">
        <v>12159.20971255</v>
      </c>
      <c r="U25" s="2">
        <v>12155.909166269999</v>
      </c>
      <c r="V25" s="2">
        <v>12152.987139950001</v>
      </c>
      <c r="W25" s="2">
        <v>12151.18264875</v>
      </c>
      <c r="X25" s="2">
        <v>12148.567043349991</v>
      </c>
      <c r="Y25" s="2">
        <v>12149.23266804997</v>
      </c>
      <c r="Z25" s="2">
        <v>12150.13462982996</v>
      </c>
      <c r="AA25" s="2">
        <v>12151.01856685004</v>
      </c>
      <c r="AB25" s="2">
        <v>12150.35237451003</v>
      </c>
      <c r="AC25" s="2">
        <v>12148.803157270009</v>
      </c>
      <c r="AD25" s="2">
        <v>12145.793210690001</v>
      </c>
      <c r="AE25" s="2">
        <v>12143.269932630001</v>
      </c>
      <c r="AF25" s="2">
        <v>12141.015615329999</v>
      </c>
      <c r="AG25" s="2">
        <v>12139.211917029999</v>
      </c>
      <c r="AH25" s="2">
        <v>12137.84973118</v>
      </c>
      <c r="AI25" s="2">
        <v>12137.217909999999</v>
      </c>
      <c r="AJ25" s="2">
        <v>12136.342754560001</v>
      </c>
      <c r="AK25" s="2">
        <v>12135.33311874</v>
      </c>
    </row>
    <row r="26" spans="3:37" x14ac:dyDescent="0.25">
      <c r="C26" s="3" t="s">
        <v>43</v>
      </c>
      <c r="D26" s="2">
        <v>8690.7240000000002</v>
      </c>
      <c r="E26" s="2">
        <v>8703.1239999999998</v>
      </c>
      <c r="F26" s="2">
        <v>8715.0239999999994</v>
      </c>
      <c r="G26" s="2">
        <v>8715.0240000000013</v>
      </c>
      <c r="H26" s="2">
        <v>8724.2170000000006</v>
      </c>
      <c r="I26" s="2">
        <v>8741.5300000000007</v>
      </c>
      <c r="J26" s="2">
        <v>8778.7060000000001</v>
      </c>
      <c r="K26" s="2">
        <v>8809.4290000000001</v>
      </c>
      <c r="L26" s="2">
        <v>8861.2450000000008</v>
      </c>
      <c r="M26" s="2">
        <v>8877.1419999999998</v>
      </c>
      <c r="N26" s="2">
        <v>8903.5549999999985</v>
      </c>
      <c r="O26" s="2">
        <v>8915.628999999999</v>
      </c>
      <c r="P26" s="2">
        <v>8968.1570000000011</v>
      </c>
      <c r="Q26" s="2">
        <v>9031.0889999999999</v>
      </c>
      <c r="R26" s="2">
        <v>9106.3649999999998</v>
      </c>
      <c r="S26" s="2">
        <v>9152.9049999999988</v>
      </c>
      <c r="T26" s="2">
        <v>9164.0840000000007</v>
      </c>
      <c r="U26" s="2">
        <v>9224.11</v>
      </c>
      <c r="V26" s="2">
        <v>9251.4030000000002</v>
      </c>
      <c r="W26" s="2">
        <v>9275.7839999999997</v>
      </c>
      <c r="X26" s="2">
        <v>9304.7609999999986</v>
      </c>
      <c r="Y26" s="2">
        <v>9329.1749999999993</v>
      </c>
      <c r="Z26" s="2">
        <v>9353.7309999999998</v>
      </c>
      <c r="AA26" s="2">
        <v>9369.4030000000002</v>
      </c>
      <c r="AB26" s="2">
        <v>9382.5780000000013</v>
      </c>
      <c r="AC26" s="2">
        <v>9395.1710000000003</v>
      </c>
      <c r="AD26" s="2">
        <v>9381.9790000000012</v>
      </c>
      <c r="AE26" s="2">
        <v>9425.7299999999977</v>
      </c>
      <c r="AF26" s="2">
        <v>9434.0779999999995</v>
      </c>
      <c r="AG26" s="2">
        <v>9439.1219999999994</v>
      </c>
      <c r="AH26" s="2">
        <v>9442.8739999999998</v>
      </c>
      <c r="AI26" s="2">
        <v>9450.1119999999992</v>
      </c>
      <c r="AJ26" s="2">
        <v>9464.0629999999983</v>
      </c>
      <c r="AK26" s="2">
        <v>9434.9319145664304</v>
      </c>
    </row>
    <row r="27" spans="3:37" x14ac:dyDescent="0.25">
      <c r="C27" s="3" t="s">
        <v>44</v>
      </c>
      <c r="D27" s="2">
        <v>4147.9945877601631</v>
      </c>
      <c r="E27" s="2">
        <v>4156.8622523663744</v>
      </c>
      <c r="F27" s="2">
        <v>4165.7299169725957</v>
      </c>
      <c r="G27" s="2">
        <v>4174.597581578817</v>
      </c>
      <c r="H27" s="2">
        <v>4183.4652461850274</v>
      </c>
      <c r="I27" s="2">
        <v>4192.3329107912487</v>
      </c>
      <c r="J27" s="2">
        <v>4204.36160494466</v>
      </c>
      <c r="K27" s="2">
        <v>4216.3902990980723</v>
      </c>
      <c r="L27" s="2">
        <v>4228.4189932514728</v>
      </c>
      <c r="M27" s="2">
        <v>4240.4476874048842</v>
      </c>
      <c r="N27" s="2">
        <v>4252.4763815582965</v>
      </c>
      <c r="O27" s="2">
        <v>4264.4820979475326</v>
      </c>
      <c r="P27" s="2">
        <v>4276.4878143367596</v>
      </c>
      <c r="Q27" s="2">
        <v>4288.4935307259984</v>
      </c>
      <c r="R27" s="2">
        <v>4300.4992471152354</v>
      </c>
      <c r="S27" s="2">
        <v>4312.5049635044606</v>
      </c>
      <c r="T27" s="2">
        <v>4324.5106798936977</v>
      </c>
      <c r="U27" s="2">
        <v>4336.6664890641214</v>
      </c>
      <c r="V27" s="2">
        <v>4336.7441988095761</v>
      </c>
      <c r="W27" s="2">
        <v>4336.8219085550309</v>
      </c>
      <c r="X27" s="2">
        <v>4336.8996183004856</v>
      </c>
      <c r="Y27" s="2">
        <v>4338.7470063251549</v>
      </c>
      <c r="Z27" s="2">
        <v>4340.5943943498351</v>
      </c>
      <c r="AA27" s="2">
        <v>4341.5779528594039</v>
      </c>
      <c r="AB27" s="2">
        <v>4342.5615113689737</v>
      </c>
      <c r="AC27" s="2">
        <v>4343.5450698785426</v>
      </c>
      <c r="AD27" s="2">
        <v>4343.0023420320204</v>
      </c>
      <c r="AE27" s="2">
        <v>4342.4596141855072</v>
      </c>
      <c r="AF27" s="2">
        <v>4341.916886338995</v>
      </c>
      <c r="AG27" s="2">
        <v>4341.3741584924819</v>
      </c>
      <c r="AH27" s="2">
        <v>4340.8314306459588</v>
      </c>
      <c r="AI27" s="2">
        <v>4340.2887027994511</v>
      </c>
      <c r="AJ27" s="2">
        <v>4339.7459749529326</v>
      </c>
      <c r="AK27" s="2">
        <v>4339.203247106414</v>
      </c>
    </row>
    <row r="28" spans="3:37" x14ac:dyDescent="0.25">
      <c r="C28" s="3" t="s">
        <v>45</v>
      </c>
      <c r="D28" s="2">
        <v>6869.2343749999973</v>
      </c>
      <c r="E28" s="2">
        <v>6874.2428124999979</v>
      </c>
      <c r="F28" s="2">
        <v>6879.2512499999984</v>
      </c>
      <c r="G28" s="2">
        <v>6884.259687499999</v>
      </c>
      <c r="H28" s="2">
        <v>6889.2681249999996</v>
      </c>
      <c r="I28" s="2">
        <v>6894.2765625000002</v>
      </c>
      <c r="J28" s="2">
        <v>6899.2850000000008</v>
      </c>
      <c r="K28" s="2">
        <v>6904.2934375000013</v>
      </c>
      <c r="L28" s="2">
        <v>6909.3018750000019</v>
      </c>
      <c r="M28" s="2">
        <v>6914.3103125000034</v>
      </c>
      <c r="N28" s="2">
        <v>6919.3187500000022</v>
      </c>
      <c r="O28" s="2">
        <v>6924.3271875000019</v>
      </c>
      <c r="P28" s="2">
        <v>6929.3356250000024</v>
      </c>
      <c r="Q28" s="2">
        <v>6934.3440625000012</v>
      </c>
      <c r="R28" s="2">
        <v>6939.3525000000009</v>
      </c>
      <c r="S28" s="2">
        <v>6944.3609375000005</v>
      </c>
      <c r="T28" s="2">
        <v>6949.3693750000002</v>
      </c>
      <c r="U28" s="2">
        <v>6954.3778124999999</v>
      </c>
      <c r="V28" s="2">
        <v>6959.3862499999996</v>
      </c>
      <c r="W28" s="2">
        <v>6964.3946874999992</v>
      </c>
      <c r="X28" s="2">
        <v>6969.4031249999989</v>
      </c>
      <c r="Y28" s="2">
        <v>6974.4115624999986</v>
      </c>
      <c r="Z28" s="2">
        <v>6979.4199999999983</v>
      </c>
      <c r="AA28" s="2">
        <v>6980.6759999999977</v>
      </c>
      <c r="AB28" s="2">
        <v>6981.9319999999971</v>
      </c>
      <c r="AC28" s="2">
        <v>6983.1879999999956</v>
      </c>
      <c r="AD28" s="2">
        <v>6984.4439999999959</v>
      </c>
      <c r="AE28" s="2">
        <v>6985.6999999999953</v>
      </c>
      <c r="AF28" s="2">
        <v>6986.9559999999947</v>
      </c>
      <c r="AG28" s="2">
        <v>6988.2119999999941</v>
      </c>
      <c r="AH28" s="2">
        <v>6989.4679999999926</v>
      </c>
      <c r="AI28" s="2">
        <v>6990.7239999999929</v>
      </c>
      <c r="AJ28" s="2">
        <v>6991.9799999999923</v>
      </c>
      <c r="AK28" s="2">
        <v>6993.2359999999899</v>
      </c>
    </row>
    <row r="29" spans="3:37" x14ac:dyDescent="0.25">
      <c r="C29" s="3" t="s">
        <v>46</v>
      </c>
      <c r="D29" s="2">
        <v>1988.989</v>
      </c>
      <c r="E29" s="2">
        <v>1989.9639999999999</v>
      </c>
      <c r="F29" s="2">
        <v>1991.107</v>
      </c>
      <c r="G29" s="2">
        <v>1991.463</v>
      </c>
      <c r="H29" s="2">
        <v>1991.671</v>
      </c>
      <c r="I29" s="2">
        <v>1992.2570000000001</v>
      </c>
      <c r="J29" s="2">
        <v>1993.366</v>
      </c>
      <c r="K29" s="2">
        <v>1996.373</v>
      </c>
      <c r="L29" s="2">
        <v>1998.2829999999999</v>
      </c>
      <c r="M29" s="2">
        <v>2000.088</v>
      </c>
      <c r="N29" s="2">
        <v>2001.2529999999999</v>
      </c>
      <c r="O29" s="2">
        <v>2002.1289999999999</v>
      </c>
      <c r="P29" s="2">
        <v>2002.7729999999999</v>
      </c>
      <c r="Q29" s="2">
        <v>2004.1</v>
      </c>
      <c r="R29" s="2">
        <v>2004.9259999999999</v>
      </c>
      <c r="S29" s="2">
        <v>2005.2339999999999</v>
      </c>
      <c r="T29" s="2">
        <v>2006.94</v>
      </c>
      <c r="U29" s="2">
        <v>2007.1420000000001</v>
      </c>
      <c r="V29" s="2">
        <v>2008.2570000000001</v>
      </c>
      <c r="W29" s="2">
        <v>2008.8430000000001</v>
      </c>
      <c r="X29" s="2">
        <v>2011.249</v>
      </c>
      <c r="Y29" s="2">
        <v>2012.336</v>
      </c>
      <c r="Z29" s="2">
        <v>2014.059</v>
      </c>
      <c r="AA29" s="2">
        <v>2015.3679999999999</v>
      </c>
      <c r="AB29" s="2">
        <v>2017.105</v>
      </c>
      <c r="AC29" s="2">
        <v>2020.116</v>
      </c>
      <c r="AD29" s="2">
        <v>2022.5219999999999</v>
      </c>
      <c r="AE29" s="2">
        <v>2024.374</v>
      </c>
      <c r="AF29" s="2">
        <v>2026.027</v>
      </c>
      <c r="AG29" s="2">
        <v>2027.0989999999999</v>
      </c>
      <c r="AH29" s="2">
        <v>2027.8520000000001</v>
      </c>
      <c r="AI29" s="2">
        <v>2028.509</v>
      </c>
      <c r="AJ29" s="2">
        <v>2029.0350000000001</v>
      </c>
      <c r="AK29" s="2">
        <v>2030.423</v>
      </c>
    </row>
    <row r="30" spans="3:37" x14ac:dyDescent="0.25">
      <c r="C30" s="3" t="s">
        <v>47</v>
      </c>
      <c r="D30" s="2">
        <v>1024.2949834592409</v>
      </c>
      <c r="E30" s="2">
        <v>1039.7949834592409</v>
      </c>
      <c r="F30" s="2">
        <v>1055.29498345924</v>
      </c>
      <c r="G30" s="2">
        <v>1070.79498345924</v>
      </c>
      <c r="H30" s="2">
        <v>1086.29498345924</v>
      </c>
      <c r="I30" s="2">
        <v>1101.79498345924</v>
      </c>
      <c r="J30" s="2">
        <v>1117.3028429650631</v>
      </c>
      <c r="K30" s="2">
        <v>1132.8107024708861</v>
      </c>
      <c r="L30" s="2">
        <v>1148.3185619767089</v>
      </c>
      <c r="M30" s="2">
        <v>1163.826421482531</v>
      </c>
      <c r="N30" s="2">
        <v>1179.334280988355</v>
      </c>
      <c r="O30" s="2">
        <v>1194.8421404941771</v>
      </c>
      <c r="P30" s="2">
        <v>1210.3499999999999</v>
      </c>
      <c r="Q30" s="2">
        <v>1209.45</v>
      </c>
      <c r="R30" s="2">
        <v>1208.55</v>
      </c>
      <c r="S30" s="2">
        <v>1207.6500000000001</v>
      </c>
      <c r="T30" s="2">
        <v>1206.75</v>
      </c>
      <c r="U30" s="2">
        <v>1206.7</v>
      </c>
      <c r="V30" s="2">
        <v>1206.6500000000001</v>
      </c>
      <c r="W30" s="2">
        <v>1206.5999999999999</v>
      </c>
      <c r="X30" s="2">
        <v>1206.55</v>
      </c>
      <c r="Y30" s="2">
        <v>1206.5</v>
      </c>
      <c r="Z30" s="2">
        <v>1206.45</v>
      </c>
      <c r="AA30" s="2">
        <v>1206.8499999999999</v>
      </c>
      <c r="AB30" s="2">
        <v>1207.25</v>
      </c>
      <c r="AC30" s="2">
        <v>1207.6500000000001</v>
      </c>
      <c r="AD30" s="2">
        <v>1208.05</v>
      </c>
      <c r="AE30" s="2">
        <v>1207.7249999999999</v>
      </c>
      <c r="AF30" s="2">
        <v>1207.4000000000001</v>
      </c>
      <c r="AG30" s="2">
        <v>1207.075</v>
      </c>
      <c r="AH30" s="2">
        <v>1206.75</v>
      </c>
      <c r="AI30" s="2">
        <v>1206.425</v>
      </c>
      <c r="AJ30" s="2">
        <v>1206.0999999999999</v>
      </c>
      <c r="AK30" s="2">
        <v>1205.7750000000001</v>
      </c>
    </row>
    <row r="31" spans="3:37" x14ac:dyDescent="0.25">
      <c r="C31" s="3" t="s">
        <v>48</v>
      </c>
      <c r="D31" s="2">
        <v>28126.073802999999</v>
      </c>
      <c r="E31" s="2">
        <v>28120.651958999999</v>
      </c>
      <c r="F31" s="2">
        <v>28115.750362999999</v>
      </c>
      <c r="G31" s="2">
        <v>28112.099343999998</v>
      </c>
      <c r="H31" s="2">
        <v>28111.536517</v>
      </c>
      <c r="I31" s="2">
        <v>28107.111836</v>
      </c>
      <c r="J31" s="2">
        <v>28109.683997</v>
      </c>
      <c r="K31" s="2">
        <v>28101.959738000001</v>
      </c>
      <c r="L31" s="2">
        <v>28099.572914</v>
      </c>
      <c r="M31" s="2">
        <v>28099.420635999999</v>
      </c>
      <c r="N31" s="2">
        <v>28094.66734</v>
      </c>
      <c r="O31" s="2">
        <v>28096.773611000001</v>
      </c>
      <c r="P31" s="2">
        <v>28092.382965000001</v>
      </c>
      <c r="Q31" s="2">
        <v>28093.343683999999</v>
      </c>
      <c r="R31" s="2">
        <v>28089.412853000002</v>
      </c>
      <c r="S31" s="2">
        <v>28091.045628</v>
      </c>
      <c r="T31" s="2">
        <v>28097.841527</v>
      </c>
      <c r="U31" s="2">
        <v>28099.370384999998</v>
      </c>
      <c r="V31" s="2">
        <v>28103.653010000002</v>
      </c>
      <c r="W31" s="2">
        <v>28101.544319000001</v>
      </c>
      <c r="X31" s="2">
        <v>28099.581893999999</v>
      </c>
      <c r="Y31" s="2">
        <v>28109.689664000001</v>
      </c>
      <c r="Z31" s="2">
        <v>28111.623813999999</v>
      </c>
      <c r="AA31" s="2">
        <v>28118.270229000002</v>
      </c>
      <c r="AB31" s="2">
        <v>28114.602015</v>
      </c>
      <c r="AC31" s="2">
        <v>28118.028998000002</v>
      </c>
      <c r="AD31" s="2">
        <v>28114.316042999999</v>
      </c>
      <c r="AE31" s="2">
        <v>28122.385773999998</v>
      </c>
      <c r="AF31" s="2">
        <v>28134.052506</v>
      </c>
      <c r="AG31" s="2">
        <v>28141.199777000002</v>
      </c>
      <c r="AH31" s="2">
        <v>28134.031596000001</v>
      </c>
      <c r="AI31" s="2">
        <v>28143.001242999999</v>
      </c>
      <c r="AJ31" s="2">
        <v>28141.271623000001</v>
      </c>
      <c r="AK31" s="2">
        <v>28146.136932000001</v>
      </c>
    </row>
    <row r="32" spans="3:37" x14ac:dyDescent="0.25">
      <c r="C32" s="3" t="s">
        <v>74</v>
      </c>
      <c r="D32" s="2">
        <v>171011.00334183677</v>
      </c>
      <c r="E32" s="2">
        <v>171414.08735158946</v>
      </c>
      <c r="F32" s="2">
        <v>171813.41406651703</v>
      </c>
      <c r="G32" s="2">
        <v>172199.58094708179</v>
      </c>
      <c r="H32" s="2">
        <v>172605.70943568708</v>
      </c>
      <c r="I32" s="2">
        <v>173011.05418759727</v>
      </c>
      <c r="J32" s="2">
        <v>173451.90276245115</v>
      </c>
      <c r="K32" s="2">
        <v>173865.32632736766</v>
      </c>
      <c r="L32" s="2">
        <v>174302.95559544372</v>
      </c>
      <c r="M32" s="2">
        <v>174705.04713165315</v>
      </c>
      <c r="N32" s="2">
        <v>175114.37889836944</v>
      </c>
      <c r="O32" s="2">
        <v>175515.57751579696</v>
      </c>
      <c r="P32" s="2">
        <v>175950.87240679059</v>
      </c>
      <c r="Q32" s="2">
        <v>176372.65752821046</v>
      </c>
      <c r="R32" s="2">
        <v>176800.40708394395</v>
      </c>
      <c r="S32" s="2">
        <v>177204.84183764012</v>
      </c>
      <c r="T32" s="2">
        <v>177549.50480131258</v>
      </c>
      <c r="U32" s="2">
        <v>177880.00697123815</v>
      </c>
      <c r="V32" s="2">
        <v>178164.01203670222</v>
      </c>
      <c r="W32" s="2">
        <v>178441.41958507505</v>
      </c>
      <c r="X32" s="2">
        <v>178786.63043160859</v>
      </c>
      <c r="Y32" s="2">
        <v>179148.01210281005</v>
      </c>
      <c r="Z32" s="2">
        <v>179501.4824825633</v>
      </c>
      <c r="AA32" s="2">
        <v>179842.123792306</v>
      </c>
      <c r="AB32" s="2">
        <v>180163.30438074382</v>
      </c>
      <c r="AC32" s="2">
        <v>180488.37996071507</v>
      </c>
      <c r="AD32" s="2">
        <v>180840.73452779619</v>
      </c>
      <c r="AE32" s="2">
        <v>181269.64409188967</v>
      </c>
      <c r="AF32" s="2">
        <v>181658.05911675049</v>
      </c>
      <c r="AG32" s="2">
        <v>181998.48980574013</v>
      </c>
      <c r="AH32" s="2">
        <v>182324.44550679537</v>
      </c>
      <c r="AI32" s="2">
        <v>182726.83042043881</v>
      </c>
      <c r="AJ32" s="2">
        <v>183129.20909596205</v>
      </c>
      <c r="AK32" s="2">
        <v>183493.37843733872</v>
      </c>
    </row>
    <row r="38" spans="3:37" x14ac:dyDescent="0.25">
      <c r="C38" s="4" t="s">
        <v>75</v>
      </c>
      <c r="D38" s="4" t="s">
        <v>72</v>
      </c>
    </row>
    <row r="39" spans="3:37" x14ac:dyDescent="0.25">
      <c r="C39" s="4" t="s">
        <v>73</v>
      </c>
      <c r="D39">
        <v>1990</v>
      </c>
      <c r="E39">
        <v>1991</v>
      </c>
      <c r="F39">
        <v>1992</v>
      </c>
      <c r="G39">
        <v>1993</v>
      </c>
      <c r="H39">
        <v>1994</v>
      </c>
      <c r="I39">
        <v>1995</v>
      </c>
      <c r="J39">
        <v>1996</v>
      </c>
      <c r="K39">
        <v>1997</v>
      </c>
      <c r="L39">
        <v>1998</v>
      </c>
      <c r="M39">
        <v>1999</v>
      </c>
      <c r="N39">
        <v>2000</v>
      </c>
      <c r="O39">
        <v>2001</v>
      </c>
      <c r="P39">
        <v>2002</v>
      </c>
      <c r="Q39">
        <v>2003</v>
      </c>
      <c r="R39">
        <v>2004</v>
      </c>
      <c r="S39">
        <v>2005</v>
      </c>
      <c r="T39">
        <v>2006</v>
      </c>
      <c r="U39">
        <v>2007</v>
      </c>
      <c r="V39">
        <v>2008</v>
      </c>
      <c r="W39">
        <v>2009</v>
      </c>
      <c r="X39">
        <v>2010</v>
      </c>
      <c r="Y39">
        <v>2011</v>
      </c>
      <c r="Z39">
        <v>2012</v>
      </c>
      <c r="AA39">
        <v>2013</v>
      </c>
      <c r="AB39">
        <v>2014</v>
      </c>
      <c r="AC39">
        <v>2015</v>
      </c>
      <c r="AD39">
        <v>2016</v>
      </c>
      <c r="AE39">
        <v>2017</v>
      </c>
      <c r="AF39">
        <v>2018</v>
      </c>
      <c r="AG39">
        <v>2019</v>
      </c>
      <c r="AH39">
        <v>2020</v>
      </c>
      <c r="AI39">
        <v>2021</v>
      </c>
      <c r="AJ39">
        <v>2022</v>
      </c>
      <c r="AK39">
        <v>2023</v>
      </c>
    </row>
    <row r="40" spans="3:37" x14ac:dyDescent="0.25">
      <c r="C40" s="3" t="s">
        <v>24</v>
      </c>
      <c r="D40" s="2">
        <v>2434.6330859527739</v>
      </c>
      <c r="E40" s="2">
        <v>2192.7339316249231</v>
      </c>
      <c r="F40" s="2">
        <v>2144.256775218199</v>
      </c>
      <c r="G40" s="2">
        <v>2115.4446505179999</v>
      </c>
      <c r="H40" s="2">
        <v>2401.4301606228878</v>
      </c>
      <c r="I40" s="2">
        <v>2431.899379220401</v>
      </c>
      <c r="J40" s="2">
        <v>2576.1842971060928</v>
      </c>
      <c r="K40" s="2">
        <v>2532.8888200968609</v>
      </c>
      <c r="L40" s="2">
        <v>2535.269938837127</v>
      </c>
      <c r="M40" s="2">
        <v>2367.8541480150211</v>
      </c>
      <c r="N40" s="2">
        <v>2350.8866081459742</v>
      </c>
      <c r="O40" s="2">
        <v>2583.1911960648108</v>
      </c>
      <c r="P40" s="2">
        <v>2870.710929082014</v>
      </c>
      <c r="Q40" s="2">
        <v>3087.970279646981</v>
      </c>
      <c r="R40" s="2">
        <v>2928.8892560355148</v>
      </c>
      <c r="S40" s="2">
        <v>2971.7204240307028</v>
      </c>
      <c r="T40" s="2">
        <v>3113.1908171614318</v>
      </c>
      <c r="U40" s="2">
        <v>3518.0060369905368</v>
      </c>
      <c r="V40" s="2">
        <v>3513.170964860748</v>
      </c>
      <c r="W40" s="2">
        <v>2542.0163649290821</v>
      </c>
      <c r="X40" s="2">
        <v>2900.9499297366201</v>
      </c>
      <c r="Y40" s="2">
        <v>2987.8829726904769</v>
      </c>
      <c r="Z40" s="2">
        <v>2832.5210735234359</v>
      </c>
      <c r="AA40" s="2">
        <v>2577.8639653522409</v>
      </c>
      <c r="AB40" s="2">
        <v>2629.0778104531241</v>
      </c>
      <c r="AC40" s="2">
        <v>2588.2771659965078</v>
      </c>
      <c r="AD40" s="2">
        <v>2544.3233187343408</v>
      </c>
      <c r="AE40" s="2">
        <v>2697.8241010188049</v>
      </c>
      <c r="AF40" s="2">
        <v>2777.192913177531</v>
      </c>
      <c r="AG40" s="2">
        <v>2650.869571810942</v>
      </c>
      <c r="AH40" s="2">
        <v>2266.1231554318051</v>
      </c>
      <c r="AI40" s="2">
        <v>2743.876133261389</v>
      </c>
      <c r="AJ40" s="2">
        <v>2799.2128974952338</v>
      </c>
      <c r="AK40" s="2">
        <v>2439.2183972326188</v>
      </c>
    </row>
    <row r="41" spans="3:37" x14ac:dyDescent="0.25">
      <c r="C41" s="3" t="s">
        <v>25</v>
      </c>
      <c r="D41" s="2">
        <v>707660.52926398907</v>
      </c>
      <c r="E41" s="2">
        <v>607999.58788157301</v>
      </c>
      <c r="F41" s="2">
        <v>574435.89751120517</v>
      </c>
      <c r="G41" s="2">
        <v>590775.57170853403</v>
      </c>
      <c r="H41" s="2">
        <v>534910.40163293702</v>
      </c>
      <c r="I41" s="2">
        <v>610101.87167503894</v>
      </c>
      <c r="J41" s="2">
        <v>678755.2458088554</v>
      </c>
      <c r="K41" s="2">
        <v>563270.97007470904</v>
      </c>
      <c r="L41" s="2">
        <v>726042.07701436209</v>
      </c>
      <c r="M41" s="2">
        <v>593641.99074065697</v>
      </c>
      <c r="N41" s="2">
        <v>465194.47390331799</v>
      </c>
      <c r="O41" s="2">
        <v>407163.31890790199</v>
      </c>
      <c r="P41" s="2">
        <v>599092.42369221</v>
      </c>
      <c r="Q41" s="2">
        <v>573143.13003296102</v>
      </c>
      <c r="R41" s="2">
        <v>538216.17727028602</v>
      </c>
      <c r="S41" s="2">
        <v>563168.40036549605</v>
      </c>
      <c r="T41" s="2">
        <v>562700.00332362507</v>
      </c>
      <c r="U41" s="2">
        <v>485211.98658621102</v>
      </c>
      <c r="V41" s="2">
        <v>471309.75266726298</v>
      </c>
      <c r="W41" s="2">
        <v>428333.96122738702</v>
      </c>
      <c r="X41" s="2">
        <v>356143.053763034</v>
      </c>
      <c r="Y41" s="2">
        <v>343204.84533544403</v>
      </c>
      <c r="Z41" s="2">
        <v>338563.45406341</v>
      </c>
      <c r="AA41" s="2">
        <v>379575.96795155498</v>
      </c>
      <c r="AB41" s="2">
        <v>392171.33844818099</v>
      </c>
      <c r="AC41" s="2">
        <v>407206.85302121303</v>
      </c>
      <c r="AD41" s="2">
        <v>402428.59437398001</v>
      </c>
      <c r="AE41" s="2">
        <v>368027.13052504498</v>
      </c>
      <c r="AF41" s="2">
        <v>366481.80949463189</v>
      </c>
      <c r="AG41" s="2">
        <v>335151.26549383602</v>
      </c>
      <c r="AH41" s="2">
        <v>332282.29747231322</v>
      </c>
      <c r="AI41" s="2">
        <v>316510.53746958892</v>
      </c>
      <c r="AJ41" s="2">
        <v>367347.26861425512</v>
      </c>
      <c r="AK41" s="2">
        <v>311796.70032291301</v>
      </c>
    </row>
    <row r="42" spans="3:37" x14ac:dyDescent="0.25">
      <c r="C42" s="3" t="s">
        <v>26</v>
      </c>
      <c r="D42" s="2">
        <v>451.8798615393307</v>
      </c>
      <c r="E42" s="2">
        <v>417.03693642205309</v>
      </c>
      <c r="F42" s="2">
        <v>209.5983641910436</v>
      </c>
      <c r="G42" s="2">
        <v>179.68790555845871</v>
      </c>
      <c r="H42" s="2">
        <v>184.53622380395669</v>
      </c>
      <c r="I42" s="2">
        <v>191.98069688354951</v>
      </c>
      <c r="J42" s="2">
        <v>220.47092426208869</v>
      </c>
      <c r="K42" s="2">
        <v>238.97271830640929</v>
      </c>
      <c r="L42" s="2">
        <v>216.20317228324831</v>
      </c>
      <c r="M42" s="2">
        <v>275.61230319257601</v>
      </c>
      <c r="N42" s="2">
        <v>348.65891448119231</v>
      </c>
      <c r="O42" s="2">
        <v>370.78756609510862</v>
      </c>
      <c r="P42" s="2">
        <v>411.45925540433478</v>
      </c>
      <c r="Q42" s="2">
        <v>407.97075527016739</v>
      </c>
      <c r="R42" s="2">
        <v>541.78989918696959</v>
      </c>
      <c r="S42" s="2">
        <v>595.96874979595748</v>
      </c>
      <c r="T42" s="2">
        <v>597.90055351683191</v>
      </c>
      <c r="U42" s="2">
        <v>835.96569466809308</v>
      </c>
      <c r="V42" s="2">
        <v>631.68311324926856</v>
      </c>
      <c r="W42" s="2">
        <v>622.41151931194963</v>
      </c>
      <c r="X42" s="2">
        <v>652.90107006499829</v>
      </c>
      <c r="Y42" s="2">
        <v>748.75846689399316</v>
      </c>
      <c r="Z42" s="2">
        <v>750.2338749673313</v>
      </c>
      <c r="AA42" s="2">
        <v>733.7517494398536</v>
      </c>
      <c r="AB42" s="2">
        <v>756.75754297675508</v>
      </c>
      <c r="AC42" s="2">
        <v>845.82662505705616</v>
      </c>
      <c r="AD42" s="2">
        <v>752.47079702667372</v>
      </c>
      <c r="AE42" s="2">
        <v>831.20354857054406</v>
      </c>
      <c r="AF42" s="2">
        <v>824.2012624056149</v>
      </c>
      <c r="AG42" s="2">
        <v>788.03522114290877</v>
      </c>
      <c r="AH42" s="2">
        <v>853.03894810900442</v>
      </c>
      <c r="AI42" s="2">
        <v>865.71945658578238</v>
      </c>
      <c r="AJ42" s="2">
        <v>827.33140900206729</v>
      </c>
      <c r="AK42" s="2">
        <v>911.84213725725613</v>
      </c>
    </row>
    <row r="43" spans="3:37" x14ac:dyDescent="0.25">
      <c r="C43" s="3" t="s">
        <v>27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</row>
    <row r="44" spans="3:37" x14ac:dyDescent="0.25">
      <c r="C44" s="3" t="s">
        <v>28</v>
      </c>
      <c r="D44" s="2">
        <v>1472.6176455806601</v>
      </c>
      <c r="E44" s="2">
        <v>1105.605920881608</v>
      </c>
      <c r="F44" s="2">
        <v>783.7800767965191</v>
      </c>
      <c r="G44" s="2">
        <v>1044.977261524999</v>
      </c>
      <c r="H44" s="2">
        <v>1073.1231715497199</v>
      </c>
      <c r="I44" s="2">
        <v>1179.9398841257771</v>
      </c>
      <c r="J44" s="2">
        <v>1161.0180080017769</v>
      </c>
      <c r="K44" s="2">
        <v>1179.1346332766971</v>
      </c>
      <c r="L44" s="2">
        <v>1132.3678869070809</v>
      </c>
      <c r="M44" s="2">
        <v>1170.544343781932</v>
      </c>
      <c r="N44" s="2">
        <v>1307.764238198376</v>
      </c>
      <c r="O44" s="2">
        <v>1302.0531890955399</v>
      </c>
      <c r="P44" s="2">
        <v>1285.845831828156</v>
      </c>
      <c r="Q44" s="2">
        <v>1404.116858966431</v>
      </c>
      <c r="R44" s="2">
        <v>1438.016164245947</v>
      </c>
      <c r="S44" s="2">
        <v>1420.171208388557</v>
      </c>
      <c r="T44" s="2">
        <v>1705.706348584107</v>
      </c>
      <c r="U44" s="2">
        <v>1867.589032705444</v>
      </c>
      <c r="V44" s="2">
        <v>1643.899859922665</v>
      </c>
      <c r="W44" s="2">
        <v>1370.1662800818351</v>
      </c>
      <c r="X44" s="2">
        <v>1524.081026455475</v>
      </c>
      <c r="Y44" s="2">
        <v>1345.1081084879261</v>
      </c>
      <c r="Z44" s="2">
        <v>1267.5208930063479</v>
      </c>
      <c r="AA44" s="2">
        <v>1099.3590599525869</v>
      </c>
      <c r="AB44" s="2">
        <v>1072.66822615454</v>
      </c>
      <c r="AC44" s="2">
        <v>1174.0745144532141</v>
      </c>
      <c r="AD44" s="2">
        <v>1267.667718190922</v>
      </c>
      <c r="AE44" s="2">
        <v>1346.469159929371</v>
      </c>
      <c r="AF44" s="2">
        <v>1461.3197612290051</v>
      </c>
      <c r="AG44" s="2">
        <v>1584.4507809879681</v>
      </c>
      <c r="AH44" s="2">
        <v>1874.3346886127561</v>
      </c>
      <c r="AI44" s="2">
        <v>1788.3415570900499</v>
      </c>
      <c r="AJ44" s="2">
        <v>1695.036356408951</v>
      </c>
      <c r="AK44" s="2">
        <v>1506.155946543799</v>
      </c>
    </row>
    <row r="45" spans="3:37" x14ac:dyDescent="0.25">
      <c r="C45" s="3" t="s">
        <v>29</v>
      </c>
      <c r="D45" s="2">
        <v>7114.3214574000003</v>
      </c>
      <c r="E45" s="2">
        <v>6659.1366575000011</v>
      </c>
      <c r="F45" s="2">
        <v>6857.3204680999997</v>
      </c>
      <c r="G45" s="2">
        <v>6672.0534614999997</v>
      </c>
      <c r="H45" s="2">
        <v>7673.2886800999986</v>
      </c>
      <c r="I45" s="2">
        <v>7799.0741863000003</v>
      </c>
      <c r="J45" s="2">
        <v>8090.623603</v>
      </c>
      <c r="K45" s="2">
        <v>8289.9201274999996</v>
      </c>
      <c r="L45" s="2">
        <v>8639.2282075000003</v>
      </c>
      <c r="M45" s="2">
        <v>8985.2096633000001</v>
      </c>
      <c r="N45" s="2">
        <v>10067.122196</v>
      </c>
      <c r="O45" s="2">
        <v>9971.7677559000003</v>
      </c>
      <c r="P45" s="2">
        <v>10958.74574</v>
      </c>
      <c r="Q45" s="2">
        <v>11410.561803000001</v>
      </c>
      <c r="R45" s="2">
        <v>12682.802476999999</v>
      </c>
      <c r="S45" s="2">
        <v>13871.262111</v>
      </c>
      <c r="T45" s="2">
        <v>14054.668385000001</v>
      </c>
      <c r="U45" s="2">
        <v>15335.567902000001</v>
      </c>
      <c r="V45" s="2">
        <v>12937.725793</v>
      </c>
      <c r="W45" s="2">
        <v>12350.545722000001</v>
      </c>
      <c r="X45" s="2">
        <v>12395.26226</v>
      </c>
      <c r="Y45" s="2">
        <v>12251.625982</v>
      </c>
      <c r="Z45" s="2">
        <v>11843.481179</v>
      </c>
      <c r="AA45" s="2">
        <v>11594.286629</v>
      </c>
      <c r="AB45" s="2">
        <v>11727.472626999999</v>
      </c>
      <c r="AC45" s="2">
        <v>11761.845212</v>
      </c>
      <c r="AD45" s="2">
        <v>11710.213506</v>
      </c>
      <c r="AE45" s="2">
        <v>11886.832587999999</v>
      </c>
      <c r="AF45" s="2">
        <v>12521.578689</v>
      </c>
      <c r="AG45" s="2">
        <v>12701.756617999999</v>
      </c>
      <c r="AH45" s="2">
        <v>13190.013462999999</v>
      </c>
      <c r="AI45" s="2">
        <v>13407.154995000001</v>
      </c>
      <c r="AJ45" s="2">
        <v>12373.719078</v>
      </c>
      <c r="AK45" s="2">
        <v>12371.87113</v>
      </c>
    </row>
    <row r="46" spans="3:37" x14ac:dyDescent="0.25">
      <c r="C46" s="3" t="s">
        <v>30</v>
      </c>
      <c r="D46" s="2">
        <v>145.0210447124</v>
      </c>
      <c r="E46" s="2">
        <v>109.50607135830001</v>
      </c>
      <c r="F46" s="2">
        <v>161.748432842</v>
      </c>
      <c r="G46" s="2">
        <v>234.667881795</v>
      </c>
      <c r="H46" s="2">
        <v>217.6027602451</v>
      </c>
      <c r="I46" s="2">
        <v>216.72923452890001</v>
      </c>
      <c r="J46" s="2">
        <v>229.29324055949999</v>
      </c>
      <c r="K46" s="2">
        <v>204.05638835400001</v>
      </c>
      <c r="L46" s="2">
        <v>166.448423402</v>
      </c>
      <c r="M46" s="2">
        <v>117.984112809</v>
      </c>
      <c r="N46" s="2">
        <v>164.945804227</v>
      </c>
      <c r="O46" s="2">
        <v>121.4885405087</v>
      </c>
      <c r="P46" s="2">
        <v>99.505869443699993</v>
      </c>
      <c r="Q46" s="2">
        <v>102.1212292085</v>
      </c>
      <c r="R46" s="2">
        <v>95.518000432099996</v>
      </c>
      <c r="S46" s="2">
        <v>112.9662672935</v>
      </c>
      <c r="T46" s="2">
        <v>120.1243283643</v>
      </c>
      <c r="U46" s="2">
        <v>133.33673256439999</v>
      </c>
      <c r="V46" s="2">
        <v>158.1964042537</v>
      </c>
      <c r="W46" s="2">
        <v>146.27957381659999</v>
      </c>
      <c r="X46" s="2">
        <v>147.0421593977</v>
      </c>
      <c r="Y46" s="2">
        <v>168.71105500420001</v>
      </c>
      <c r="Z46" s="2">
        <v>161.29376988050001</v>
      </c>
      <c r="AA46" s="2">
        <v>167.12502834899999</v>
      </c>
      <c r="AB46" s="2">
        <v>182.34196607999999</v>
      </c>
      <c r="AC46" s="2">
        <v>190.23782531200001</v>
      </c>
      <c r="AD46" s="2">
        <v>192.077829326</v>
      </c>
      <c r="AE46" s="2">
        <v>190.06835555999999</v>
      </c>
      <c r="AF46" s="2">
        <v>159.3274961393</v>
      </c>
      <c r="AG46" s="2">
        <v>170.39938978800001</v>
      </c>
      <c r="AH46" s="2">
        <v>180.116341777</v>
      </c>
      <c r="AI46" s="2">
        <v>163.915290306</v>
      </c>
      <c r="AJ46" s="2">
        <v>175.86925573510001</v>
      </c>
      <c r="AK46" s="2">
        <v>180.63831076950001</v>
      </c>
    </row>
    <row r="47" spans="3:37" x14ac:dyDescent="0.25">
      <c r="C47" s="3" t="s">
        <v>31</v>
      </c>
      <c r="D47" s="2">
        <v>1975582.7120388551</v>
      </c>
      <c r="E47" s="2">
        <v>2018226.5459692869</v>
      </c>
      <c r="F47" s="2">
        <v>1708134.9375001171</v>
      </c>
      <c r="G47" s="2">
        <v>1866500.641487316</v>
      </c>
      <c r="H47" s="2">
        <v>1923568.8275384719</v>
      </c>
      <c r="I47" s="2">
        <v>2031837.047196178</v>
      </c>
      <c r="J47" s="2">
        <v>2016007.4957916429</v>
      </c>
      <c r="K47" s="2">
        <v>1962762.5030785231</v>
      </c>
      <c r="L47" s="2">
        <v>1809526.130819187</v>
      </c>
      <c r="M47" s="2">
        <v>2264935.3889703718</v>
      </c>
      <c r="N47" s="2">
        <v>2434354.0649794922</v>
      </c>
      <c r="O47" s="2">
        <v>2544883.7271476849</v>
      </c>
      <c r="P47" s="2">
        <v>2642199.6793598528</v>
      </c>
      <c r="Q47" s="2">
        <v>2687140.197957281</v>
      </c>
      <c r="R47" s="2">
        <v>2750312.5930390758</v>
      </c>
      <c r="S47" s="2">
        <v>2661540.798511127</v>
      </c>
      <c r="T47" s="2">
        <v>2877469.7629538272</v>
      </c>
      <c r="U47" s="2">
        <v>2632602.384318925</v>
      </c>
      <c r="V47" s="2">
        <v>2514998.2746273922</v>
      </c>
      <c r="W47" s="2">
        <v>2019894.885107731</v>
      </c>
      <c r="X47" s="2">
        <v>1993501.616583074</v>
      </c>
      <c r="Y47" s="2">
        <v>1944984.0747682131</v>
      </c>
      <c r="Z47" s="2">
        <v>1877314.760011032</v>
      </c>
      <c r="AA47" s="2">
        <v>1864058.592701768</v>
      </c>
      <c r="AB47" s="2">
        <v>2080880.482585558</v>
      </c>
      <c r="AC47" s="2">
        <v>2373623.4769669361</v>
      </c>
      <c r="AD47" s="2">
        <v>2367699.035637191</v>
      </c>
      <c r="AE47" s="2">
        <v>2620220.1823716871</v>
      </c>
      <c r="AF47" s="2">
        <v>2696693.941212717</v>
      </c>
      <c r="AG47" s="2">
        <v>2542202.562936394</v>
      </c>
      <c r="AH47" s="2">
        <v>2489006.226660517</v>
      </c>
      <c r="AI47" s="2">
        <v>2675528.6243234789</v>
      </c>
      <c r="AJ47" s="2">
        <v>2780554.2354791509</v>
      </c>
      <c r="AK47" s="2">
        <v>2780554.2354791509</v>
      </c>
    </row>
    <row r="48" spans="3:37" x14ac:dyDescent="0.25">
      <c r="C48" s="3" t="s">
        <v>32</v>
      </c>
      <c r="D48" s="2">
        <v>184.15402277677239</v>
      </c>
      <c r="E48" s="2">
        <v>148.23174550404511</v>
      </c>
      <c r="F48" s="2">
        <v>112.30946823131779</v>
      </c>
      <c r="G48" s="2">
        <v>124.85033378844361</v>
      </c>
      <c r="H48" s="2">
        <v>135.75524933669439</v>
      </c>
      <c r="I48" s="2">
        <v>148.70834637209421</v>
      </c>
      <c r="J48" s="2">
        <v>182.17374264136231</v>
      </c>
      <c r="K48" s="2">
        <v>255.5608797704312</v>
      </c>
      <c r="L48" s="2">
        <v>263.4114428994543</v>
      </c>
      <c r="M48" s="2">
        <v>331.17695458925601</v>
      </c>
      <c r="N48" s="2">
        <v>412.16661313285209</v>
      </c>
      <c r="O48" s="2">
        <v>462.91006667615801</v>
      </c>
      <c r="P48" s="2">
        <v>485.39094428739082</v>
      </c>
      <c r="Q48" s="2">
        <v>477.47893108135241</v>
      </c>
      <c r="R48" s="2">
        <v>406.12760593005828</v>
      </c>
      <c r="S48" s="2">
        <v>351.04992578117577</v>
      </c>
      <c r="T48" s="2">
        <v>360.74340706385777</v>
      </c>
      <c r="U48" s="2">
        <v>322.00569006969693</v>
      </c>
      <c r="V48" s="2">
        <v>355.37204590946089</v>
      </c>
      <c r="W48" s="2">
        <v>361.16605837036087</v>
      </c>
      <c r="X48" s="2">
        <v>466.28048693078341</v>
      </c>
      <c r="Y48" s="2">
        <v>470.19861263871798</v>
      </c>
      <c r="Z48" s="2">
        <v>434.02907447975849</v>
      </c>
      <c r="AA48" s="2">
        <v>450.24642828245612</v>
      </c>
      <c r="AB48" s="2">
        <v>478.21849155996568</v>
      </c>
      <c r="AC48" s="2">
        <v>527.21936555272532</v>
      </c>
      <c r="AD48" s="2">
        <v>559.34729711222121</v>
      </c>
      <c r="AE48" s="2">
        <v>579.62263201934161</v>
      </c>
      <c r="AF48" s="2">
        <v>597.71471738308117</v>
      </c>
      <c r="AG48" s="2">
        <v>569.70840952001151</v>
      </c>
      <c r="AH48" s="2">
        <v>563.75290419214275</v>
      </c>
      <c r="AI48" s="2">
        <v>569.94913466225262</v>
      </c>
      <c r="AJ48" s="2">
        <v>499.49541712162869</v>
      </c>
      <c r="AK48" s="2">
        <v>465.22437186633351</v>
      </c>
    </row>
    <row r="49" spans="3:37" x14ac:dyDescent="0.25">
      <c r="C49" s="3" t="s">
        <v>33</v>
      </c>
      <c r="D49" s="2">
        <v>5353.9139999999998</v>
      </c>
      <c r="E49" s="2">
        <v>4884.26</v>
      </c>
      <c r="F49" s="2">
        <v>4995.4339999999993</v>
      </c>
      <c r="G49" s="2">
        <v>5686.7879999999996</v>
      </c>
      <c r="H49" s="2">
        <v>6236.1110000000008</v>
      </c>
      <c r="I49" s="2">
        <v>6216.3940000000002</v>
      </c>
      <c r="J49" s="2">
        <v>6086.4380000000001</v>
      </c>
      <c r="K49" s="2">
        <v>6950.0879999999997</v>
      </c>
      <c r="L49" s="2">
        <v>7118.7739999999994</v>
      </c>
      <c r="M49" s="2">
        <v>7204.1879999999992</v>
      </c>
      <c r="N49" s="2">
        <v>7365.48</v>
      </c>
      <c r="O49" s="2">
        <v>6756.3450000000012</v>
      </c>
      <c r="P49" s="2">
        <v>6845.1040000000003</v>
      </c>
      <c r="Q49" s="2">
        <v>7015.0020000000004</v>
      </c>
      <c r="R49" s="2">
        <v>7158.2649999999994</v>
      </c>
      <c r="S49" s="2">
        <v>6187.2569999999996</v>
      </c>
      <c r="T49" s="2">
        <v>6939.3630000000012</v>
      </c>
      <c r="U49" s="2">
        <v>7288.1759999999986</v>
      </c>
      <c r="V49" s="2">
        <v>6281.3019999999997</v>
      </c>
      <c r="W49" s="2">
        <v>5213.5339999999997</v>
      </c>
      <c r="X49" s="2">
        <v>6174.2720000000008</v>
      </c>
      <c r="Y49" s="2">
        <v>6182.9850000000006</v>
      </c>
      <c r="Z49" s="2">
        <v>6044.6010000000006</v>
      </c>
      <c r="AA49" s="2">
        <v>6218.1729999999998</v>
      </c>
      <c r="AB49" s="2">
        <v>6399.6409999999996</v>
      </c>
      <c r="AC49" s="2">
        <v>6391.9290000000001</v>
      </c>
      <c r="AD49" s="2">
        <v>6693.2749999999996</v>
      </c>
      <c r="AE49" s="2">
        <v>6971.0459999999994</v>
      </c>
      <c r="AF49" s="2">
        <v>7107.2259999999997</v>
      </c>
      <c r="AG49" s="2">
        <v>6867.8220000000001</v>
      </c>
      <c r="AH49" s="2">
        <v>6260.3789999999999</v>
      </c>
      <c r="AI49" s="2">
        <v>6889.5469999999996</v>
      </c>
      <c r="AJ49" s="2">
        <v>6815.7610000000004</v>
      </c>
      <c r="AK49" s="2">
        <v>6357.9430000000002</v>
      </c>
    </row>
    <row r="50" spans="3:37" x14ac:dyDescent="0.25">
      <c r="C50" s="3" t="s">
        <v>34</v>
      </c>
      <c r="D50" s="2">
        <v>4507201.6516999993</v>
      </c>
      <c r="E50" s="2">
        <v>4472838.0717000002</v>
      </c>
      <c r="F50" s="2">
        <v>3962797.4271999998</v>
      </c>
      <c r="G50" s="2">
        <v>3637909.2073599999</v>
      </c>
      <c r="H50" s="2">
        <v>3913715.8135000002</v>
      </c>
      <c r="I50" s="2">
        <v>4054708.8563000001</v>
      </c>
      <c r="J50" s="2">
        <v>3919711.9237000002</v>
      </c>
      <c r="K50" s="2">
        <v>4115025.9911000002</v>
      </c>
      <c r="L50" s="2">
        <v>4308831.4851000002</v>
      </c>
      <c r="M50" s="2">
        <v>4384006.9429000001</v>
      </c>
      <c r="N50" s="2">
        <v>4601662.9521000003</v>
      </c>
      <c r="O50" s="2">
        <v>4556581.1164999995</v>
      </c>
      <c r="P50" s="2">
        <v>4251727.2911</v>
      </c>
      <c r="Q50" s="2">
        <v>4225223.9002999999</v>
      </c>
      <c r="R50" s="2">
        <v>4422663.8839999996</v>
      </c>
      <c r="S50" s="2">
        <v>4638280.3427999998</v>
      </c>
      <c r="T50" s="2">
        <v>4720348.5058999993</v>
      </c>
      <c r="U50" s="2">
        <v>4885443.9456999991</v>
      </c>
      <c r="V50" s="2">
        <v>4552774.7008999996</v>
      </c>
      <c r="W50" s="2">
        <v>3955247.5078099999</v>
      </c>
      <c r="X50" s="2">
        <v>4464697.8487999998</v>
      </c>
      <c r="Y50" s="2">
        <v>4578288.3174999999</v>
      </c>
      <c r="Z50" s="2">
        <v>4407569.9301000005</v>
      </c>
      <c r="AA50" s="2">
        <v>4266445.5078699999</v>
      </c>
      <c r="AB50" s="2">
        <v>4201184.9916000003</v>
      </c>
      <c r="AC50" s="2">
        <v>4040693.7771000001</v>
      </c>
      <c r="AD50" s="2">
        <v>3933458.7516200002</v>
      </c>
      <c r="AE50" s="2">
        <v>3934361.33017</v>
      </c>
      <c r="AF50" s="2">
        <v>3896284.3244099999</v>
      </c>
      <c r="AG50" s="2">
        <v>3788063.0375600001</v>
      </c>
      <c r="AH50" s="2">
        <v>3404609.1383600002</v>
      </c>
      <c r="AI50" s="2">
        <v>4067050.7613400002</v>
      </c>
      <c r="AJ50" s="2">
        <v>3929278.39243</v>
      </c>
      <c r="AK50" s="2">
        <v>3721843.7163499999</v>
      </c>
    </row>
    <row r="51" spans="3:37" x14ac:dyDescent="0.25">
      <c r="C51" s="3" t="s">
        <v>35</v>
      </c>
      <c r="D51" s="2">
        <v>1191.3819602826741</v>
      </c>
      <c r="E51" s="2">
        <v>1171.407658686685</v>
      </c>
      <c r="F51" s="2">
        <v>1202.4284205637271</v>
      </c>
      <c r="G51" s="2">
        <v>1230.453844473373</v>
      </c>
      <c r="H51" s="2">
        <v>1319.295417738746</v>
      </c>
      <c r="I51" s="2">
        <v>1361.150564457909</v>
      </c>
      <c r="J51" s="2">
        <v>1364.1563470674951</v>
      </c>
      <c r="K51" s="2">
        <v>1429.5223128107791</v>
      </c>
      <c r="L51" s="2">
        <v>1420.632448718834</v>
      </c>
      <c r="M51" s="2">
        <v>1495.809299095338</v>
      </c>
      <c r="N51" s="2">
        <v>1583.752429849204</v>
      </c>
      <c r="O51" s="2">
        <v>1556.0883199843929</v>
      </c>
      <c r="P51" s="2">
        <v>1564.558220283222</v>
      </c>
      <c r="Q51" s="2">
        <v>1627.2593374450721</v>
      </c>
      <c r="R51" s="2">
        <v>1591.793000102047</v>
      </c>
      <c r="S51" s="2">
        <v>1575.188771611638</v>
      </c>
      <c r="T51" s="2">
        <v>1504.998130575595</v>
      </c>
      <c r="U51" s="2">
        <v>1527.4556458977461</v>
      </c>
      <c r="V51" s="2">
        <v>1438.169877407337</v>
      </c>
      <c r="W51" s="2">
        <v>1415.8829049610649</v>
      </c>
      <c r="X51" s="2">
        <v>1468.931290631755</v>
      </c>
      <c r="Y51" s="2">
        <v>1533.9536833975169</v>
      </c>
      <c r="Z51" s="2">
        <v>1666.940593418193</v>
      </c>
      <c r="AA51" s="2">
        <v>1591.617586734606</v>
      </c>
      <c r="AB51" s="2">
        <v>1577.6579718163321</v>
      </c>
      <c r="AC51" s="2">
        <v>1624.112691339576</v>
      </c>
      <c r="AD51" s="2">
        <v>1595.6208854130371</v>
      </c>
      <c r="AE51" s="2">
        <v>1555.5469062752891</v>
      </c>
      <c r="AF51" s="2">
        <v>1542.4515396127219</v>
      </c>
      <c r="AG51" s="2">
        <v>1524.8492568298941</v>
      </c>
      <c r="AH51" s="2">
        <v>1529.2994750808959</v>
      </c>
      <c r="AI51" s="2">
        <v>1634.6575355732371</v>
      </c>
      <c r="AJ51" s="2">
        <v>1622.50372069688</v>
      </c>
      <c r="AK51" s="2">
        <v>1644.9335802026201</v>
      </c>
    </row>
    <row r="52" spans="3:37" x14ac:dyDescent="0.25">
      <c r="C52" s="3" t="s">
        <v>36</v>
      </c>
      <c r="D52" s="2">
        <v>175694.5710886092</v>
      </c>
      <c r="E52" s="2">
        <v>177657.15739351939</v>
      </c>
      <c r="F52" s="2">
        <v>152106.28374772429</v>
      </c>
      <c r="G52" s="2">
        <v>220614.4544220294</v>
      </c>
      <c r="H52" s="2">
        <v>227259.7884584548</v>
      </c>
      <c r="I52" s="2">
        <v>217882.13209162539</v>
      </c>
      <c r="J52" s="2">
        <v>229177.412399472</v>
      </c>
      <c r="K52" s="2">
        <v>70018.647741935492</v>
      </c>
      <c r="L52" s="2">
        <v>85659.171568627455</v>
      </c>
      <c r="M52" s="2">
        <v>107313.72016161621</v>
      </c>
      <c r="N52" s="2">
        <v>164967.9945336096</v>
      </c>
      <c r="O52" s="2">
        <v>120657.2599875539</v>
      </c>
      <c r="P52" s="2">
        <v>159211.69695213539</v>
      </c>
      <c r="Q52" s="2">
        <v>174762.8049491134</v>
      </c>
      <c r="R52" s="2">
        <v>169026.99178015109</v>
      </c>
      <c r="S52" s="2">
        <v>174981.56696225141</v>
      </c>
      <c r="T52" s="2">
        <v>182363.70819836669</v>
      </c>
      <c r="U52" s="2">
        <v>229213.0734175726</v>
      </c>
      <c r="V52" s="2">
        <v>124092.3172861217</v>
      </c>
      <c r="W52" s="2">
        <v>184006.87620344831</v>
      </c>
      <c r="X52" s="2">
        <v>206273.25322218661</v>
      </c>
      <c r="Y52" s="2">
        <v>197983.423660256</v>
      </c>
      <c r="Z52" s="2">
        <v>101033.99634399189</v>
      </c>
      <c r="AA52" s="2">
        <v>92838.518061924755</v>
      </c>
      <c r="AB52" s="2">
        <v>91632.523874274426</v>
      </c>
      <c r="AC52" s="2">
        <v>91632.523874274426</v>
      </c>
      <c r="AD52" s="2">
        <v>91632.523874274426</v>
      </c>
      <c r="AE52" s="2">
        <v>102547.8969017777</v>
      </c>
      <c r="AF52" s="2">
        <v>117933.2993260529</v>
      </c>
      <c r="AG52" s="2">
        <v>118420.0638491241</v>
      </c>
      <c r="AH52" s="2">
        <v>102067.3006854406</v>
      </c>
      <c r="AI52" s="2">
        <v>102067.3006854406</v>
      </c>
      <c r="AJ52" s="2">
        <v>102067.3006854406</v>
      </c>
      <c r="AK52" s="2">
        <v>102067.3006854406</v>
      </c>
    </row>
    <row r="53" spans="3:37" x14ac:dyDescent="0.25">
      <c r="C53" s="3" t="s">
        <v>37</v>
      </c>
      <c r="D53" s="2">
        <v>423.81014157151583</v>
      </c>
      <c r="E53" s="2">
        <v>274.88283910185061</v>
      </c>
      <c r="F53" s="2">
        <v>225.66389029278321</v>
      </c>
      <c r="G53" s="2">
        <v>248.67219703570419</v>
      </c>
      <c r="H53" s="2">
        <v>267.96885517763599</v>
      </c>
      <c r="I53" s="2">
        <v>272.14443214581883</v>
      </c>
      <c r="J53" s="2">
        <v>262.9800056985294</v>
      </c>
      <c r="K53" s="2">
        <v>221.36977206628751</v>
      </c>
      <c r="L53" s="2">
        <v>243.79325521796869</v>
      </c>
      <c r="M53" s="2">
        <v>255.36804742769101</v>
      </c>
      <c r="N53" s="2">
        <v>255.72714110147041</v>
      </c>
      <c r="O53" s="2">
        <v>333.85948453026958</v>
      </c>
      <c r="P53" s="2">
        <v>357.3517219236154</v>
      </c>
      <c r="Q53" s="2">
        <v>345.01005952380962</v>
      </c>
      <c r="R53" s="2">
        <v>355.49778370519749</v>
      </c>
      <c r="S53" s="2">
        <v>419.07452201548</v>
      </c>
      <c r="T53" s="2">
        <v>429.96873643885999</v>
      </c>
      <c r="U53" s="2">
        <v>437.18539240200101</v>
      </c>
      <c r="V53" s="2">
        <v>449.34892398022248</v>
      </c>
      <c r="W53" s="2">
        <v>414.57390069852909</v>
      </c>
      <c r="X53" s="2">
        <v>438.92645175409109</v>
      </c>
      <c r="Y53" s="2">
        <v>449.36123755405231</v>
      </c>
      <c r="Z53" s="2">
        <v>464.44864242145331</v>
      </c>
      <c r="AA53" s="2">
        <v>480.12908978506999</v>
      </c>
      <c r="AB53" s="2">
        <v>484.76755095021701</v>
      </c>
      <c r="AC53" s="2">
        <v>526.9803314209546</v>
      </c>
      <c r="AD53" s="2">
        <v>526.60003097880349</v>
      </c>
      <c r="AE53" s="2">
        <v>598.0974065322589</v>
      </c>
      <c r="AF53" s="2">
        <v>529.29903099356022</v>
      </c>
      <c r="AG53" s="2">
        <v>530.99917340580919</v>
      </c>
      <c r="AH53" s="2">
        <v>500.47404721531052</v>
      </c>
      <c r="AI53" s="2">
        <v>511.09340387090481</v>
      </c>
      <c r="AJ53" s="2">
        <v>442.07325923799738</v>
      </c>
      <c r="AK53" s="2">
        <v>442.07325923799738</v>
      </c>
    </row>
    <row r="54" spans="3:37" x14ac:dyDescent="0.25">
      <c r="C54" s="3" t="s">
        <v>38</v>
      </c>
      <c r="D54" s="2">
        <v>150.00993451275031</v>
      </c>
      <c r="E54" s="2">
        <v>151.54258788002241</v>
      </c>
      <c r="F54" s="2">
        <v>195.604688626447</v>
      </c>
      <c r="G54" s="2">
        <v>206.0290363972853</v>
      </c>
      <c r="H54" s="2">
        <v>225.85367707781899</v>
      </c>
      <c r="I54" s="2">
        <v>239.0919445037355</v>
      </c>
      <c r="J54" s="2">
        <v>273.65057404580102</v>
      </c>
      <c r="K54" s="2">
        <v>279.834180685359</v>
      </c>
      <c r="L54" s="2">
        <v>315.19963847203201</v>
      </c>
      <c r="M54" s="2">
        <v>316.67122065727699</v>
      </c>
      <c r="N54" s="2">
        <v>387.61697110163698</v>
      </c>
      <c r="O54" s="2">
        <v>392.84262101076001</v>
      </c>
      <c r="P54" s="2">
        <v>355.18093160377401</v>
      </c>
      <c r="Q54" s="2">
        <v>424.38753874370201</v>
      </c>
      <c r="R54" s="2">
        <v>406.79812203236298</v>
      </c>
      <c r="S54" s="2">
        <v>424.70530990658102</v>
      </c>
      <c r="T54" s="2">
        <v>471.83881397051101</v>
      </c>
      <c r="U54" s="2">
        <v>459.22574031890701</v>
      </c>
      <c r="V54" s="2">
        <v>326.29702186738501</v>
      </c>
      <c r="W54" s="2">
        <v>336.45735098885501</v>
      </c>
      <c r="X54" s="2">
        <v>371.52586738297799</v>
      </c>
      <c r="Y54" s="2">
        <v>355.64572159744398</v>
      </c>
      <c r="Z54" s="2">
        <v>340.28300439103998</v>
      </c>
      <c r="AA54" s="2">
        <v>342.86001903980298</v>
      </c>
      <c r="AB54" s="2">
        <v>374.92963474896698</v>
      </c>
      <c r="AC54" s="2">
        <v>370.30533549207303</v>
      </c>
      <c r="AD54" s="2">
        <v>395.62372806170299</v>
      </c>
      <c r="AE54" s="2">
        <v>418.67980498265501</v>
      </c>
      <c r="AF54" s="2">
        <v>412.272149393917</v>
      </c>
      <c r="AG54" s="2">
        <v>428.72432436973003</v>
      </c>
      <c r="AH54" s="2">
        <v>418.401391051573</v>
      </c>
      <c r="AI54" s="2">
        <v>465.92989653725601</v>
      </c>
      <c r="AJ54" s="2">
        <v>450.12290489382798</v>
      </c>
      <c r="AK54" s="2">
        <v>456.78979932847102</v>
      </c>
    </row>
    <row r="55" spans="3:37" x14ac:dyDescent="0.25">
      <c r="C55" s="3" t="s">
        <v>39</v>
      </c>
      <c r="D55" s="2">
        <v>804.49517248560005</v>
      </c>
      <c r="E55" s="2">
        <v>712.28063488630005</v>
      </c>
      <c r="F55" s="2">
        <v>612.25704714999995</v>
      </c>
      <c r="G55" s="2">
        <v>694.34761757449996</v>
      </c>
      <c r="H55" s="2">
        <v>608.28508860110003</v>
      </c>
      <c r="I55" s="2">
        <v>838.89111152529995</v>
      </c>
      <c r="J55" s="2">
        <v>871.76861543259997</v>
      </c>
      <c r="K55" s="2">
        <v>851.24978665499998</v>
      </c>
      <c r="L55" s="2">
        <v>957.88206877050004</v>
      </c>
      <c r="M55" s="2">
        <v>933.05460643169999</v>
      </c>
      <c r="N55" s="2">
        <v>812.6679171024</v>
      </c>
      <c r="O55" s="2">
        <v>744.6258664897</v>
      </c>
      <c r="P55" s="2">
        <v>773.64437419489991</v>
      </c>
      <c r="Q55" s="2">
        <v>803.09856606280005</v>
      </c>
      <c r="R55" s="2">
        <v>849.10921715179995</v>
      </c>
      <c r="S55" s="2">
        <v>838.45776520410004</v>
      </c>
      <c r="T55" s="2">
        <v>903.65166509979997</v>
      </c>
      <c r="U55" s="2">
        <v>919.61212407130006</v>
      </c>
      <c r="V55" s="2">
        <v>934.64984098269997</v>
      </c>
      <c r="W55" s="2">
        <v>824.18838155759988</v>
      </c>
      <c r="X55" s="2">
        <v>773.15679678610002</v>
      </c>
      <c r="Y55" s="2">
        <v>694.05026064840001</v>
      </c>
      <c r="Z55" s="2">
        <v>662.1361232022</v>
      </c>
      <c r="AA55" s="2">
        <v>636.81793493869998</v>
      </c>
      <c r="AB55" s="2">
        <v>653.97033331579996</v>
      </c>
      <c r="AC55" s="2">
        <v>678.45165137130004</v>
      </c>
      <c r="AD55" s="2">
        <v>700.63523298379994</v>
      </c>
      <c r="AE55" s="2">
        <v>677.44859971100004</v>
      </c>
      <c r="AF55" s="2">
        <v>608.34109064660004</v>
      </c>
      <c r="AG55" s="2">
        <v>1071.6401211498001</v>
      </c>
      <c r="AH55" s="2">
        <v>861.59353979579998</v>
      </c>
      <c r="AI55" s="2">
        <v>777.43927702319991</v>
      </c>
      <c r="AJ55" s="2">
        <v>788.69956163209997</v>
      </c>
      <c r="AK55" s="2">
        <v>805.8245808726</v>
      </c>
    </row>
    <row r="56" spans="3:37" x14ac:dyDescent="0.25">
      <c r="C56" s="3" t="s">
        <v>40</v>
      </c>
      <c r="D56" s="2">
        <v>290.06299416460308</v>
      </c>
      <c r="E56" s="2">
        <v>295.69638702700217</v>
      </c>
      <c r="F56" s="2">
        <v>127.4624269290403</v>
      </c>
      <c r="G56" s="2">
        <v>239.77166678058941</v>
      </c>
      <c r="H56" s="2">
        <v>368.96595950155768</v>
      </c>
      <c r="I56" s="2">
        <v>419.51113880235368</v>
      </c>
      <c r="J56" s="2">
        <v>510.26267834797642</v>
      </c>
      <c r="K56" s="2">
        <v>449.53497991967879</v>
      </c>
      <c r="L56" s="2">
        <v>438.17781367532859</v>
      </c>
      <c r="M56" s="2">
        <v>425.27254135542381</v>
      </c>
      <c r="N56" s="2">
        <v>557.26955991932323</v>
      </c>
      <c r="O56" s="2">
        <v>558.95681297696103</v>
      </c>
      <c r="P56" s="2">
        <v>600.03437876043927</v>
      </c>
      <c r="Q56" s="2">
        <v>663.73152749457893</v>
      </c>
      <c r="R56" s="2">
        <v>626.05774884547372</v>
      </c>
      <c r="S56" s="2">
        <v>603.58715947562882</v>
      </c>
      <c r="T56" s="2">
        <v>604.75808261898351</v>
      </c>
      <c r="U56" s="2">
        <v>677.53404844251668</v>
      </c>
      <c r="V56" s="2">
        <v>574.91365043556164</v>
      </c>
      <c r="W56" s="2">
        <v>500.64485339743408</v>
      </c>
      <c r="X56" s="2">
        <v>654.77133506747646</v>
      </c>
      <c r="Y56" s="2">
        <v>704.29659751476265</v>
      </c>
      <c r="Z56" s="2">
        <v>655.62833083571547</v>
      </c>
      <c r="AA56" s="2">
        <v>710.18057155844394</v>
      </c>
      <c r="AB56" s="2">
        <v>731.22791140770755</v>
      </c>
      <c r="AC56" s="2">
        <v>704.863992913022</v>
      </c>
      <c r="AD56" s="2">
        <v>647.00219327776767</v>
      </c>
      <c r="AE56" s="2">
        <v>641.19931412520145</v>
      </c>
      <c r="AF56" s="2">
        <v>673.80423876499026</v>
      </c>
      <c r="AG56" s="2">
        <v>615.55137030004266</v>
      </c>
      <c r="AH56" s="2">
        <v>674.23679299554612</v>
      </c>
      <c r="AI56" s="2">
        <v>737.0933488816529</v>
      </c>
      <c r="AJ56" s="2">
        <v>930.97343190078868</v>
      </c>
      <c r="AK56" s="2">
        <v>884.48822154451955</v>
      </c>
    </row>
    <row r="57" spans="3:37" x14ac:dyDescent="0.25">
      <c r="C57" s="3" t="s">
        <v>41</v>
      </c>
      <c r="D57" s="2">
        <v>315.69554226399998</v>
      </c>
      <c r="E57" s="2">
        <v>315.69554226399998</v>
      </c>
      <c r="F57" s="2">
        <v>258.04734897200001</v>
      </c>
      <c r="G57" s="2">
        <v>164.027500304</v>
      </c>
      <c r="H57" s="2">
        <v>296.40003267100002</v>
      </c>
      <c r="I57" s="2">
        <v>399.97042469399997</v>
      </c>
      <c r="J57" s="2">
        <v>460.032404676</v>
      </c>
      <c r="K57" s="2">
        <v>706.47612705999995</v>
      </c>
      <c r="L57" s="2">
        <v>825.62864701600006</v>
      </c>
      <c r="M57" s="2">
        <v>928.98610379700006</v>
      </c>
      <c r="N57" s="2">
        <v>975.16615518600008</v>
      </c>
      <c r="O57" s="2">
        <v>943.20493947499995</v>
      </c>
      <c r="P57" s="2">
        <v>966.68664321999995</v>
      </c>
      <c r="Q57" s="2">
        <v>973.21016118400007</v>
      </c>
      <c r="R57" s="2">
        <v>952.85504485299998</v>
      </c>
      <c r="S57" s="2">
        <v>977.77240891400004</v>
      </c>
      <c r="T57" s="2">
        <v>1001.79060363</v>
      </c>
      <c r="U57" s="2">
        <v>765.05237126700001</v>
      </c>
      <c r="V57" s="2">
        <v>683.71793889900005</v>
      </c>
      <c r="W57" s="2">
        <v>741.20112256099992</v>
      </c>
      <c r="X57" s="2">
        <v>909.48654440399991</v>
      </c>
      <c r="Y57" s="2">
        <v>978.96638917999996</v>
      </c>
      <c r="Z57" s="2">
        <v>952.79796576399997</v>
      </c>
      <c r="AA57" s="2">
        <v>966.2879829719999</v>
      </c>
      <c r="AB57" s="2">
        <v>970.95184660900009</v>
      </c>
      <c r="AC57" s="2">
        <v>980.24271627999997</v>
      </c>
      <c r="AD57" s="2">
        <v>1067.531747152</v>
      </c>
      <c r="AE57" s="2">
        <v>1187.076332162</v>
      </c>
      <c r="AF57" s="2">
        <v>1146.494761294</v>
      </c>
      <c r="AG57" s="2">
        <v>1163.225576693</v>
      </c>
      <c r="AH57" s="2">
        <v>1123.6757789999999</v>
      </c>
      <c r="AI57" s="2">
        <v>1266.226089</v>
      </c>
      <c r="AJ57" s="2">
        <v>1115.877639</v>
      </c>
      <c r="AK57" s="2">
        <v>1217.1913159999999</v>
      </c>
    </row>
    <row r="58" spans="3:37" x14ac:dyDescent="0.25">
      <c r="C58" s="3" t="s">
        <v>42</v>
      </c>
      <c r="D58" s="2">
        <v>1431.66</v>
      </c>
      <c r="E58" s="2">
        <v>1360.73</v>
      </c>
      <c r="F58" s="2">
        <v>1340.89</v>
      </c>
      <c r="G58" s="2">
        <v>1420.7</v>
      </c>
      <c r="H58" s="2">
        <v>1535.5</v>
      </c>
      <c r="I58" s="2">
        <v>1529.48</v>
      </c>
      <c r="J58" s="2">
        <v>1509.57</v>
      </c>
      <c r="K58" s="2">
        <v>1541.72</v>
      </c>
      <c r="L58" s="2">
        <v>1605.71</v>
      </c>
      <c r="M58" s="2">
        <v>1537.44</v>
      </c>
      <c r="N58" s="2">
        <v>1553.84</v>
      </c>
      <c r="O58" s="2">
        <v>1514.9</v>
      </c>
      <c r="P58" s="2">
        <v>1453.6</v>
      </c>
      <c r="Q58" s="2">
        <v>1468.4</v>
      </c>
      <c r="R58" s="2">
        <v>1554.59</v>
      </c>
      <c r="S58" s="2">
        <v>1547.56</v>
      </c>
      <c r="T58" s="2">
        <v>1527.93</v>
      </c>
      <c r="U58" s="2">
        <v>1483.27</v>
      </c>
      <c r="V58" s="2">
        <v>1377.64</v>
      </c>
      <c r="W58" s="2">
        <v>1163.23</v>
      </c>
      <c r="X58" s="2">
        <v>1291.69</v>
      </c>
      <c r="Y58" s="2">
        <v>1237.4100000000001</v>
      </c>
      <c r="Z58" s="2">
        <v>1121.26</v>
      </c>
      <c r="AA58" s="2">
        <v>1024.1199999999999</v>
      </c>
      <c r="AB58" s="2">
        <v>1063.9000000000001</v>
      </c>
      <c r="AC58" s="2">
        <v>1057.82</v>
      </c>
      <c r="AD58" s="2">
        <v>1121.56</v>
      </c>
      <c r="AE58" s="2">
        <v>1151.96</v>
      </c>
      <c r="AF58" s="2">
        <v>1173.54</v>
      </c>
      <c r="AG58" s="2">
        <v>1168.57</v>
      </c>
      <c r="AH58" s="2">
        <v>1119.0999999999999</v>
      </c>
      <c r="AI58" s="2">
        <v>1167.29</v>
      </c>
      <c r="AJ58" s="2">
        <v>1141.31</v>
      </c>
      <c r="AK58" s="2">
        <v>1066.51</v>
      </c>
    </row>
    <row r="59" spans="3:37" x14ac:dyDescent="0.25">
      <c r="C59" s="3" t="s">
        <v>43</v>
      </c>
      <c r="D59" s="2">
        <v>518.6184545454546</v>
      </c>
      <c r="E59" s="2">
        <v>477.93485454545458</v>
      </c>
      <c r="F59" s="2">
        <v>572.37339436363641</v>
      </c>
      <c r="G59" s="2">
        <v>652.68964145454538</v>
      </c>
      <c r="H59" s="2">
        <v>760.94607272727274</v>
      </c>
      <c r="I59" s="2">
        <v>687.50173636363638</v>
      </c>
      <c r="J59" s="2">
        <v>675.89991818181829</v>
      </c>
      <c r="K59" s="2">
        <v>775.90317272727293</v>
      </c>
      <c r="L59" s="2">
        <v>895.05908181818188</v>
      </c>
      <c r="M59" s="2">
        <v>1103.207072727273</v>
      </c>
      <c r="N59" s="2">
        <v>1223.3830090909089</v>
      </c>
      <c r="O59" s="2">
        <v>1168.706413636364</v>
      </c>
      <c r="P59" s="2">
        <v>1258.399472727273</v>
      </c>
      <c r="Q59" s="2">
        <v>1409.7114818181819</v>
      </c>
      <c r="R59" s="2">
        <v>1618.403563636364</v>
      </c>
      <c r="S59" s="2">
        <v>1553.700354545455</v>
      </c>
      <c r="T59" s="2">
        <v>1627.739181818182</v>
      </c>
      <c r="U59" s="2">
        <v>1828.9836049090909</v>
      </c>
      <c r="V59" s="2">
        <v>1724.2803564545461</v>
      </c>
      <c r="W59" s="2">
        <v>1699.764273</v>
      </c>
      <c r="X59" s="2">
        <v>1847.0403703636371</v>
      </c>
      <c r="Y59" s="2">
        <v>1867.0712882727271</v>
      </c>
      <c r="Z59" s="2">
        <v>1898.466926727272</v>
      </c>
      <c r="AA59" s="2">
        <v>1952.7654362727269</v>
      </c>
      <c r="AB59" s="2">
        <v>1987.281901636364</v>
      </c>
      <c r="AC59" s="2">
        <v>2042.7552171818179</v>
      </c>
      <c r="AD59" s="2">
        <v>2155.7022823636371</v>
      </c>
      <c r="AE59" s="2">
        <v>2254.0921797272731</v>
      </c>
      <c r="AF59" s="2">
        <v>2340.4700029090909</v>
      </c>
      <c r="AG59" s="2">
        <v>2353.2667821818181</v>
      </c>
      <c r="AH59" s="2">
        <v>2407.8447499090912</v>
      </c>
      <c r="AI59" s="2">
        <v>2590.4934319090912</v>
      </c>
      <c r="AJ59" s="2">
        <v>2420.1751524545448</v>
      </c>
      <c r="AK59" s="2">
        <v>2426.9251524545448</v>
      </c>
    </row>
    <row r="60" spans="3:37" x14ac:dyDescent="0.25">
      <c r="C60" s="3" t="s">
        <v>44</v>
      </c>
      <c r="D60" s="2">
        <v>1231746.860780247</v>
      </c>
      <c r="E60" s="2">
        <v>1225983.6979645011</v>
      </c>
      <c r="F60" s="2">
        <v>1145243.1385244371</v>
      </c>
      <c r="G60" s="2">
        <v>1115237.169168696</v>
      </c>
      <c r="H60" s="2">
        <v>1110983.397727405</v>
      </c>
      <c r="I60" s="2">
        <v>1076598.2177029471</v>
      </c>
      <c r="J60" s="2">
        <v>1129592.4099502601</v>
      </c>
      <c r="K60" s="2">
        <v>1068962.3017266339</v>
      </c>
      <c r="L60" s="2">
        <v>987138.87733633607</v>
      </c>
      <c r="M60" s="2">
        <v>1052794.3888013989</v>
      </c>
      <c r="N60" s="2">
        <v>1130904.8576076101</v>
      </c>
      <c r="O60" s="2">
        <v>1096863.8648130831</v>
      </c>
      <c r="P60" s="2">
        <v>1140894.0681157799</v>
      </c>
      <c r="Q60" s="2">
        <v>1229292.277452975</v>
      </c>
      <c r="R60" s="2">
        <v>1227972.9452226411</v>
      </c>
      <c r="S60" s="2">
        <v>1254788.9683666781</v>
      </c>
      <c r="T60" s="2">
        <v>1281318.5988776169</v>
      </c>
      <c r="U60" s="2">
        <v>1234189.9739297549</v>
      </c>
      <c r="V60" s="2">
        <v>1239904.241448709</v>
      </c>
      <c r="W60" s="2">
        <v>1275581.7121282639</v>
      </c>
      <c r="X60" s="2">
        <v>1167540.707939853</v>
      </c>
      <c r="Y60" s="2">
        <v>1200266.168337445</v>
      </c>
      <c r="Z60" s="2">
        <v>1268681.7640405991</v>
      </c>
      <c r="AA60" s="2">
        <v>1113901.3323003401</v>
      </c>
      <c r="AB60" s="2">
        <v>1197583.366742006</v>
      </c>
      <c r="AC60" s="2">
        <v>1308097.3203290841</v>
      </c>
      <c r="AD60" s="2">
        <v>1288483.1827501501</v>
      </c>
      <c r="AE60" s="2">
        <v>1265533.254367566</v>
      </c>
      <c r="AF60" s="2">
        <v>1307131.2504083039</v>
      </c>
      <c r="AG60" s="2">
        <v>1309638.842772855</v>
      </c>
      <c r="AH60" s="2">
        <v>1211938.6427090829</v>
      </c>
      <c r="AI60" s="2">
        <v>1314890.3871404</v>
      </c>
      <c r="AJ60" s="2">
        <v>1284300.9655019999</v>
      </c>
      <c r="AK60" s="2">
        <v>1261355.17376899</v>
      </c>
    </row>
    <row r="61" spans="3:37" x14ac:dyDescent="0.25">
      <c r="C61" s="3" t="s">
        <v>45</v>
      </c>
      <c r="D61" s="2">
        <v>1187.4060583357559</v>
      </c>
      <c r="E61" s="2">
        <v>904.00347990041871</v>
      </c>
      <c r="F61" s="2">
        <v>979.16189257639712</v>
      </c>
      <c r="G61" s="2">
        <v>989.93313371946965</v>
      </c>
      <c r="H61" s="2">
        <v>654.09947060111494</v>
      </c>
      <c r="I61" s="2">
        <v>702.67975185241926</v>
      </c>
      <c r="J61" s="2">
        <v>668.35991405545394</v>
      </c>
      <c r="K61" s="2">
        <v>696.08883596039857</v>
      </c>
      <c r="L61" s="2">
        <v>738.55766156449886</v>
      </c>
      <c r="M61" s="2">
        <v>895.7335025577986</v>
      </c>
      <c r="N61" s="2">
        <v>1069.1663803618339</v>
      </c>
      <c r="O61" s="2">
        <v>1045.749462759326</v>
      </c>
      <c r="P61" s="2">
        <v>1217.8110322758521</v>
      </c>
      <c r="Q61" s="2">
        <v>1439.3974703282331</v>
      </c>
      <c r="R61" s="2">
        <v>1563.1504191657809</v>
      </c>
      <c r="S61" s="2">
        <v>1441.8536357546111</v>
      </c>
      <c r="T61" s="2">
        <v>1342.421269811606</v>
      </c>
      <c r="U61" s="2">
        <v>1558.864619990256</v>
      </c>
      <c r="V61" s="2">
        <v>1586.116696004427</v>
      </c>
      <c r="W61" s="2">
        <v>1501.2681682199</v>
      </c>
      <c r="X61" s="2">
        <v>1822.76550515751</v>
      </c>
      <c r="Y61" s="2">
        <v>1896.0699343491581</v>
      </c>
      <c r="Z61" s="2">
        <v>2390.9004498945269</v>
      </c>
      <c r="AA61" s="2">
        <v>2541.277894957635</v>
      </c>
      <c r="AB61" s="2">
        <v>2482.448526126173</v>
      </c>
      <c r="AC61" s="2">
        <v>2493.736366194385</v>
      </c>
      <c r="AD61" s="2">
        <v>2529.388628462711</v>
      </c>
      <c r="AE61" s="2">
        <v>2500.937895560854</v>
      </c>
      <c r="AF61" s="2">
        <v>2296.02307937249</v>
      </c>
      <c r="AG61" s="2">
        <v>2372.3692906358751</v>
      </c>
      <c r="AH61" s="2">
        <v>2323.4651556786439</v>
      </c>
      <c r="AI61" s="2">
        <v>2262.3445397027108</v>
      </c>
      <c r="AJ61" s="2">
        <v>1914.406792623005</v>
      </c>
      <c r="AK61" s="2">
        <v>1798.131382664651</v>
      </c>
    </row>
    <row r="62" spans="3:37" x14ac:dyDescent="0.25">
      <c r="C62" s="3" t="s">
        <v>46</v>
      </c>
      <c r="D62" s="2">
        <v>445373.87934896332</v>
      </c>
      <c r="E62" s="2">
        <v>335839.03797771648</v>
      </c>
      <c r="F62" s="2">
        <v>239531.25680604941</v>
      </c>
      <c r="G62" s="2">
        <v>304951.26375814353</v>
      </c>
      <c r="H62" s="2">
        <v>345844.97797459603</v>
      </c>
      <c r="I62" s="2">
        <v>338026.33098217333</v>
      </c>
      <c r="J62" s="2">
        <v>371115.51759160031</v>
      </c>
      <c r="K62" s="2">
        <v>429552.5243277814</v>
      </c>
      <c r="L62" s="2">
        <v>542973.66448350949</v>
      </c>
      <c r="M62" s="2">
        <v>618950.62335634604</v>
      </c>
      <c r="N62" s="2">
        <v>672219.42187066725</v>
      </c>
      <c r="O62" s="2">
        <v>517547.45875456138</v>
      </c>
      <c r="P62" s="2">
        <v>609244.41642177966</v>
      </c>
      <c r="Q62" s="2">
        <v>667372.14097734448</v>
      </c>
      <c r="R62" s="2">
        <v>766288.96952467388</v>
      </c>
      <c r="S62" s="2">
        <v>1014655.801762752</v>
      </c>
      <c r="T62" s="2">
        <v>1005846.661802806</v>
      </c>
      <c r="U62" s="2">
        <v>1061545.1016315499</v>
      </c>
      <c r="V62" s="2">
        <v>1054489.6419219801</v>
      </c>
      <c r="W62" s="2">
        <v>934500.23104162421</v>
      </c>
      <c r="X62" s="2">
        <v>900754.65139546792</v>
      </c>
      <c r="Y62" s="2">
        <v>821763.69612567849</v>
      </c>
      <c r="Z62" s="2">
        <v>662875.46995883819</v>
      </c>
      <c r="AA62" s="2">
        <v>640275.52033334912</v>
      </c>
      <c r="AB62" s="2">
        <v>719729.5315165245</v>
      </c>
      <c r="AC62" s="2">
        <v>783219.73633598723</v>
      </c>
      <c r="AD62" s="2">
        <v>827760.47139867372</v>
      </c>
      <c r="AE62" s="2">
        <v>842209.21090463235</v>
      </c>
      <c r="AF62" s="2">
        <v>797203.54450166388</v>
      </c>
      <c r="AG62" s="2">
        <v>730719.12522293685</v>
      </c>
      <c r="AH62" s="2">
        <v>617591.72061518487</v>
      </c>
      <c r="AI62" s="2">
        <v>654700.75260444917</v>
      </c>
      <c r="AJ62" s="2">
        <v>589824.04671562719</v>
      </c>
      <c r="AK62" s="2">
        <v>630415.41551942262</v>
      </c>
    </row>
    <row r="63" spans="3:37" x14ac:dyDescent="0.25">
      <c r="C63" s="3" t="s">
        <v>47</v>
      </c>
      <c r="D63" s="2">
        <v>215.3552963578403</v>
      </c>
      <c r="E63" s="2">
        <v>182.6141657012854</v>
      </c>
      <c r="F63" s="2">
        <v>167.6416865108651</v>
      </c>
      <c r="G63" s="2">
        <v>154.698718248419</v>
      </c>
      <c r="H63" s="2">
        <v>167.45346460447149</v>
      </c>
      <c r="I63" s="2">
        <v>170.60401240325581</v>
      </c>
      <c r="J63" s="2">
        <v>189.6607027766874</v>
      </c>
      <c r="K63" s="2">
        <v>171.97850346501619</v>
      </c>
      <c r="L63" s="2">
        <v>199.4381659993696</v>
      </c>
      <c r="M63" s="2">
        <v>192.572689133159</v>
      </c>
      <c r="N63" s="2">
        <v>206.80469928348191</v>
      </c>
      <c r="O63" s="2">
        <v>206.36524964734519</v>
      </c>
      <c r="P63" s="2">
        <v>213.303895010313</v>
      </c>
      <c r="Q63" s="2">
        <v>223.15439348709609</v>
      </c>
      <c r="R63" s="2">
        <v>234.15687036876091</v>
      </c>
      <c r="S63" s="2">
        <v>241.64137730266029</v>
      </c>
      <c r="T63" s="2">
        <v>251.1633563203556</v>
      </c>
      <c r="U63" s="2">
        <v>274.65043789100571</v>
      </c>
      <c r="V63" s="2">
        <v>250.71673503484249</v>
      </c>
      <c r="W63" s="2">
        <v>237.2234039508154</v>
      </c>
      <c r="X63" s="2">
        <v>222.26945731503361</v>
      </c>
      <c r="Y63" s="2">
        <v>206.71421222938471</v>
      </c>
      <c r="Z63" s="2">
        <v>202.71889176638319</v>
      </c>
      <c r="AA63" s="2">
        <v>191.0265561864197</v>
      </c>
      <c r="AB63" s="2">
        <v>215.49583628178641</v>
      </c>
      <c r="AC63" s="2">
        <v>222.2394220791619</v>
      </c>
      <c r="AD63" s="2">
        <v>216.92280794481681</v>
      </c>
      <c r="AE63" s="2">
        <v>213.54620825709259</v>
      </c>
      <c r="AF63" s="2">
        <v>224.6873816349046</v>
      </c>
      <c r="AG63" s="2">
        <v>260.39321285495117</v>
      </c>
      <c r="AH63" s="2">
        <v>231.8466302768251</v>
      </c>
      <c r="AI63" s="2">
        <v>246.89342125923051</v>
      </c>
      <c r="AJ63" s="2">
        <v>276.92708003781217</v>
      </c>
      <c r="AK63" s="2">
        <v>267.96022527407251</v>
      </c>
    </row>
    <row r="64" spans="3:37" x14ac:dyDescent="0.25">
      <c r="C64" s="3" t="s">
        <v>48</v>
      </c>
      <c r="D64" s="2">
        <v>9144959</v>
      </c>
      <c r="E64" s="2">
        <v>9097595</v>
      </c>
      <c r="F64" s="2">
        <v>9022940</v>
      </c>
      <c r="G64" s="2">
        <v>9589762</v>
      </c>
      <c r="H64" s="2">
        <v>9857729</v>
      </c>
      <c r="I64" s="2">
        <v>10137078</v>
      </c>
      <c r="J64" s="2">
        <v>10103451</v>
      </c>
      <c r="K64" s="2">
        <v>10774961</v>
      </c>
      <c r="L64" s="2">
        <v>10870140</v>
      </c>
      <c r="M64" s="2">
        <v>11032981</v>
      </c>
      <c r="N64" s="2">
        <v>11544411</v>
      </c>
      <c r="O64" s="2">
        <v>11419041</v>
      </c>
      <c r="P64" s="2">
        <v>11830611</v>
      </c>
      <c r="Q64" s="2">
        <v>12299100</v>
      </c>
      <c r="R64" s="2">
        <v>12804957</v>
      </c>
      <c r="S64" s="2">
        <v>13704354</v>
      </c>
      <c r="T64" s="2">
        <v>14448302</v>
      </c>
      <c r="U64" s="2">
        <v>14996177</v>
      </c>
      <c r="V64" s="2">
        <v>14894579</v>
      </c>
      <c r="W64" s="2">
        <v>14619233</v>
      </c>
      <c r="X64" s="2">
        <v>14974029</v>
      </c>
      <c r="Y64" s="2">
        <v>15150557</v>
      </c>
      <c r="Z64" s="2">
        <v>15412702</v>
      </c>
      <c r="AA64" s="2">
        <v>15553820</v>
      </c>
      <c r="AB64" s="2">
        <v>16207977</v>
      </c>
      <c r="AC64" s="2">
        <v>16483496</v>
      </c>
      <c r="AD64" s="2">
        <v>17028613</v>
      </c>
      <c r="AE64" s="2">
        <v>16898617</v>
      </c>
      <c r="AF64" s="2">
        <v>16893141</v>
      </c>
      <c r="AG64" s="2">
        <v>17311705</v>
      </c>
      <c r="AH64" s="2">
        <v>17989361</v>
      </c>
      <c r="AI64" s="2">
        <v>18275405</v>
      </c>
      <c r="AJ64" s="2">
        <v>18356107</v>
      </c>
      <c r="AK64" s="2">
        <v>17806518</v>
      </c>
    </row>
    <row r="65" spans="3:37" x14ac:dyDescent="0.25">
      <c r="C65" s="3" t="s">
        <v>74</v>
      </c>
      <c r="D65" s="2">
        <v>18211904.240893148</v>
      </c>
      <c r="E65" s="2">
        <v>17957502.39829988</v>
      </c>
      <c r="F65" s="2">
        <v>16826134.919670898</v>
      </c>
      <c r="G65" s="2">
        <v>17347810.100755394</v>
      </c>
      <c r="H65" s="2">
        <v>17938138.822116226</v>
      </c>
      <c r="I65" s="2">
        <v>18491038.206792146</v>
      </c>
      <c r="J65" s="2">
        <v>18473143.548217684</v>
      </c>
      <c r="K65" s="2">
        <v>19011328.237288237</v>
      </c>
      <c r="L65" s="2">
        <v>19358023.188175105</v>
      </c>
      <c r="M65" s="2">
        <v>20083160.739539262</v>
      </c>
      <c r="N65" s="2">
        <v>21044357.183631878</v>
      </c>
      <c r="O65" s="2">
        <v>20692771.588595636</v>
      </c>
      <c r="P65" s="2">
        <v>21264697.908881802</v>
      </c>
      <c r="Q65" s="2">
        <v>21889317.034062937</v>
      </c>
      <c r="R65" s="2">
        <v>22714442.381009519</v>
      </c>
      <c r="S65" s="2">
        <v>24046903.815759324</v>
      </c>
      <c r="T65" s="2">
        <v>25114907.197736219</v>
      </c>
      <c r="U65" s="2">
        <v>25563615.946658202</v>
      </c>
      <c r="V65" s="2">
        <v>24887015.130073726</v>
      </c>
      <c r="W65" s="2">
        <v>23448238.727396302</v>
      </c>
      <c r="X65" s="2">
        <v>24097001.484255061</v>
      </c>
      <c r="Y65" s="2">
        <v>24271126.335249495</v>
      </c>
      <c r="Z65" s="2">
        <v>24102430.636311147</v>
      </c>
      <c r="AA65" s="2">
        <v>23944193.328151759</v>
      </c>
      <c r="AB65" s="2">
        <v>24924948.043943662</v>
      </c>
      <c r="AC65" s="2">
        <v>25522150.605060138</v>
      </c>
      <c r="AD65" s="2">
        <v>25974751.522657298</v>
      </c>
      <c r="AE65" s="2">
        <v>26067217.656273142</v>
      </c>
      <c r="AF65" s="2">
        <v>26111265.113467325</v>
      </c>
      <c r="AG65" s="2">
        <v>26172722.528934818</v>
      </c>
      <c r="AH65" s="2">
        <v>26183234.022564664</v>
      </c>
      <c r="AI65" s="2">
        <v>27444241.328074019</v>
      </c>
      <c r="AJ65" s="2">
        <v>27445768.704382714</v>
      </c>
      <c r="AK65" s="2">
        <v>26649794.262937166</v>
      </c>
    </row>
    <row r="71" spans="3:37" x14ac:dyDescent="0.25">
      <c r="C71" s="4" t="s">
        <v>76</v>
      </c>
      <c r="D71" s="4" t="s">
        <v>72</v>
      </c>
    </row>
    <row r="72" spans="3:37" x14ac:dyDescent="0.25">
      <c r="C72" s="4" t="s">
        <v>73</v>
      </c>
      <c r="D72">
        <v>1990</v>
      </c>
      <c r="E72">
        <v>1991</v>
      </c>
      <c r="F72">
        <v>1992</v>
      </c>
      <c r="G72">
        <v>1993</v>
      </c>
      <c r="H72">
        <v>1994</v>
      </c>
      <c r="I72">
        <v>1995</v>
      </c>
      <c r="J72">
        <v>1996</v>
      </c>
      <c r="K72">
        <v>1997</v>
      </c>
      <c r="L72">
        <v>1998</v>
      </c>
      <c r="M72">
        <v>1999</v>
      </c>
      <c r="N72">
        <v>2000</v>
      </c>
      <c r="O72">
        <v>2001</v>
      </c>
      <c r="P72">
        <v>2002</v>
      </c>
      <c r="Q72">
        <v>2003</v>
      </c>
      <c r="R72">
        <v>2004</v>
      </c>
      <c r="S72">
        <v>2005</v>
      </c>
      <c r="T72">
        <v>2006</v>
      </c>
      <c r="U72">
        <v>2007</v>
      </c>
      <c r="V72">
        <v>2008</v>
      </c>
      <c r="W72">
        <v>2009</v>
      </c>
      <c r="X72">
        <v>2010</v>
      </c>
      <c r="Y72">
        <v>2011</v>
      </c>
      <c r="Z72">
        <v>2012</v>
      </c>
      <c r="AA72">
        <v>2013</v>
      </c>
      <c r="AB72">
        <v>2014</v>
      </c>
      <c r="AC72">
        <v>2015</v>
      </c>
      <c r="AD72">
        <v>2016</v>
      </c>
      <c r="AE72">
        <v>2017</v>
      </c>
      <c r="AF72">
        <v>2018</v>
      </c>
      <c r="AG72">
        <v>2019</v>
      </c>
      <c r="AH72">
        <v>2020</v>
      </c>
      <c r="AI72">
        <v>2021</v>
      </c>
      <c r="AJ72">
        <v>2022</v>
      </c>
      <c r="AK72">
        <v>2023</v>
      </c>
    </row>
    <row r="73" spans="3:37" x14ac:dyDescent="0.25">
      <c r="C73" s="3" t="s">
        <v>24</v>
      </c>
      <c r="D73" s="2">
        <v>-1.7922730508657221</v>
      </c>
      <c r="E73" s="2">
        <v>-1.309953412937062</v>
      </c>
      <c r="F73" s="2">
        <v>-1.396879786074833</v>
      </c>
      <c r="G73" s="2">
        <v>-1.3895769062907639</v>
      </c>
      <c r="H73" s="2">
        <v>-1.6189166775239661</v>
      </c>
      <c r="I73" s="2">
        <v>-1.458008285842743</v>
      </c>
      <c r="J73" s="2">
        <v>-1.575465472355186</v>
      </c>
      <c r="K73" s="2">
        <v>-1.5458975898147169</v>
      </c>
      <c r="L73" s="2">
        <v>-1.4717079090406739</v>
      </c>
      <c r="M73" s="2">
        <v>-1.474285188410259</v>
      </c>
      <c r="N73" s="2">
        <v>-1.3872888171750279</v>
      </c>
      <c r="O73" s="2">
        <v>-1.40628330296856</v>
      </c>
      <c r="P73" s="2">
        <v>-1.698682168184773</v>
      </c>
      <c r="Q73" s="2">
        <v>-1.93655191187957</v>
      </c>
      <c r="R73" s="2">
        <v>-1.875904443488831</v>
      </c>
      <c r="S73" s="2">
        <v>-1.8726163388913071</v>
      </c>
      <c r="T73" s="2">
        <v>-2.168178259381687</v>
      </c>
      <c r="U73" s="2">
        <v>-2.396337263541195</v>
      </c>
      <c r="V73" s="2">
        <v>-2.4534967285261171</v>
      </c>
      <c r="W73" s="2">
        <v>-1.9190791629204029</v>
      </c>
      <c r="X73" s="2">
        <v>-2.0341846821823562</v>
      </c>
      <c r="Y73" s="2">
        <v>-2.1465945486606111</v>
      </c>
      <c r="Z73" s="2">
        <v>-2.0767642369177022</v>
      </c>
      <c r="AA73" s="2">
        <v>-2.0021181685211742</v>
      </c>
      <c r="AB73" s="2">
        <v>-1.9773132739653929</v>
      </c>
      <c r="AC73" s="2">
        <v>-2.052040934692323</v>
      </c>
      <c r="AD73" s="2">
        <v>-1.9610584657041319</v>
      </c>
      <c r="AE73" s="2">
        <v>-2.0641915029919038</v>
      </c>
      <c r="AF73" s="2">
        <v>-2.2391826729164421</v>
      </c>
      <c r="AG73" s="2">
        <v>-2.464109728129614</v>
      </c>
      <c r="AH73" s="2">
        <v>-2.1971674264829302</v>
      </c>
      <c r="AI73" s="2">
        <v>-2.3933134460622369</v>
      </c>
      <c r="AJ73" s="2">
        <v>-2.5275666042795342</v>
      </c>
      <c r="AK73" s="2">
        <v>-2.4850610657339711</v>
      </c>
    </row>
    <row r="74" spans="3:37" x14ac:dyDescent="0.25">
      <c r="C74" s="3" t="s">
        <v>25</v>
      </c>
      <c r="D74" s="2">
        <v>-1.9923700844780689E-3</v>
      </c>
      <c r="E74" s="2">
        <v>-1.993199642377087E-3</v>
      </c>
      <c r="F74" s="2">
        <v>-1.9945873593956941E-3</v>
      </c>
      <c r="G74" s="2">
        <v>-1.9951226942430721E-3</v>
      </c>
      <c r="H74" s="2">
        <v>-1.9953536191263319E-3</v>
      </c>
      <c r="I74" s="2">
        <v>-1.9953288677700049E-3</v>
      </c>
      <c r="J74" s="2">
        <v>-1.995315762499473E-3</v>
      </c>
      <c r="K74" s="2">
        <v>-1.9958552847452568E-3</v>
      </c>
      <c r="L74" s="2">
        <v>-1.9973653091803702E-3</v>
      </c>
      <c r="M74" s="2">
        <v>-1.9970111734470952E-3</v>
      </c>
      <c r="N74" s="2">
        <v>-1.996086490760171E-3</v>
      </c>
      <c r="O74" s="2">
        <v>-1.9954466234541278E-3</v>
      </c>
      <c r="P74" s="2">
        <v>-1.995477100039045E-3</v>
      </c>
      <c r="Q74" s="2">
        <v>-1.9952451017902061E-3</v>
      </c>
      <c r="R74" s="2">
        <v>-1.994805340701762E-3</v>
      </c>
      <c r="S74" s="2">
        <v>-1.9928797643027252E-3</v>
      </c>
      <c r="T74" s="2">
        <v>-1.991472173254385E-3</v>
      </c>
      <c r="U74" s="2">
        <v>-1.9910503935081209E-3</v>
      </c>
      <c r="V74" s="2">
        <v>-1.991502122862292E-3</v>
      </c>
      <c r="W74" s="2">
        <v>-1.9913119507878091E-3</v>
      </c>
      <c r="X74" s="2">
        <v>-8.0128432301297854E-3</v>
      </c>
      <c r="Y74" s="2">
        <v>-8.0055806843738007E-3</v>
      </c>
      <c r="Z74" s="2">
        <v>-7.9981105456146603E-3</v>
      </c>
      <c r="AA74" s="2">
        <v>-7.998103074514715E-3</v>
      </c>
      <c r="AB74" s="2">
        <v>-7.9984938097872639E-3</v>
      </c>
      <c r="AC74" s="2">
        <v>-7.9982822666405818E-3</v>
      </c>
      <c r="AD74" s="2">
        <v>-7.9953358249528223E-3</v>
      </c>
      <c r="AE74" s="2">
        <v>-7.9917411127154395E-3</v>
      </c>
      <c r="AF74" s="2">
        <v>-7.9881735215514751E-3</v>
      </c>
      <c r="AG74" s="2">
        <v>-7.9846091141811942E-3</v>
      </c>
      <c r="AH74" s="2">
        <v>-7.9810478863445913E-3</v>
      </c>
      <c r="AI74" s="2">
        <v>-7.9774898337892121E-3</v>
      </c>
      <c r="AJ74" s="2">
        <v>-7.9739349522702507E-3</v>
      </c>
      <c r="AK74" s="2">
        <v>-7.9703832375503589E-3</v>
      </c>
    </row>
    <row r="75" spans="3:37" x14ac:dyDescent="0.25">
      <c r="C75" s="3" t="s">
        <v>26</v>
      </c>
      <c r="D75" s="2">
        <v>-6.7295731973354344E-3</v>
      </c>
      <c r="E75" s="2">
        <v>-6.8954071109438549E-3</v>
      </c>
      <c r="F75" s="2">
        <v>-7.0560499564965174E-3</v>
      </c>
      <c r="G75" s="2">
        <v>-6.6142764083589383E-3</v>
      </c>
      <c r="H75" s="2">
        <v>-6.6274643666617622E-3</v>
      </c>
      <c r="I75" s="2">
        <v>-6.4225161060649759E-3</v>
      </c>
      <c r="J75" s="2">
        <v>-6.3987578511407002E-3</v>
      </c>
      <c r="K75" s="2">
        <v>-6.3547160825110777E-3</v>
      </c>
      <c r="L75" s="2">
        <v>-6.4274788125405959E-3</v>
      </c>
      <c r="M75" s="2">
        <v>-6.6140062182766246E-3</v>
      </c>
      <c r="N75" s="2">
        <v>-6.5262250075111767E-3</v>
      </c>
      <c r="O75" s="2">
        <v>-6.349337528954173E-3</v>
      </c>
      <c r="P75" s="2">
        <v>-6.4902906113243246E-3</v>
      </c>
      <c r="Q75" s="2">
        <v>-6.4060936006493704E-3</v>
      </c>
      <c r="R75" s="2">
        <v>-6.3989422687771268E-3</v>
      </c>
      <c r="S75" s="2">
        <v>-6.5892088515074644E-3</v>
      </c>
      <c r="T75" s="2">
        <v>-6.4931498014942444E-3</v>
      </c>
      <c r="U75" s="2">
        <v>-6.7189312046567811E-3</v>
      </c>
      <c r="V75" s="2">
        <v>-7.6855027124196297E-3</v>
      </c>
      <c r="W75" s="2">
        <v>-6.2961975873108847E-3</v>
      </c>
      <c r="X75" s="2">
        <v>-6.6661969255828917E-3</v>
      </c>
      <c r="Y75" s="2">
        <v>-6.3211608939909578E-3</v>
      </c>
      <c r="Z75" s="2">
        <v>-6.5357881359637653E-3</v>
      </c>
      <c r="AA75" s="2">
        <v>-6.9515591464817256E-3</v>
      </c>
      <c r="AB75" s="2">
        <v>-6.3522455269094088E-3</v>
      </c>
      <c r="AC75" s="2">
        <v>-7.1811882089283276E-3</v>
      </c>
      <c r="AD75" s="2">
        <v>-6.9483103964913624E-3</v>
      </c>
      <c r="AE75" s="2">
        <v>-6.9981949899554459E-3</v>
      </c>
      <c r="AF75" s="2">
        <v>-6.3327861692504409E-3</v>
      </c>
      <c r="AG75" s="2">
        <v>-7.3038588390964016E-3</v>
      </c>
      <c r="AH75" s="2">
        <v>-6.5009120630930943E-3</v>
      </c>
      <c r="AI75" s="2">
        <v>-3.648494586045061E-3</v>
      </c>
      <c r="AJ75" s="2">
        <v>-1.08273271098401E-2</v>
      </c>
      <c r="AK75" s="2">
        <v>-1.943685030153295E-2</v>
      </c>
    </row>
    <row r="76" spans="3:37" x14ac:dyDescent="0.25">
      <c r="C76" s="3" t="s">
        <v>27</v>
      </c>
      <c r="D76" s="2">
        <v>-2.5217382554609942</v>
      </c>
      <c r="E76" s="2">
        <v>-1.958819620511894</v>
      </c>
      <c r="F76" s="2">
        <v>-1.944564622383063</v>
      </c>
      <c r="G76" s="2">
        <v>-1.908251838991881</v>
      </c>
      <c r="H76" s="2">
        <v>-1.9917937516488149</v>
      </c>
      <c r="I76" s="2">
        <v>-2.0217374441128562</v>
      </c>
      <c r="J76" s="2">
        <v>-2.0346715742397938</v>
      </c>
      <c r="K76" s="2">
        <v>-2.1667945022030701</v>
      </c>
      <c r="L76" s="2">
        <v>-2.3390459790473388</v>
      </c>
      <c r="M76" s="2">
        <v>-2.2924530335295379</v>
      </c>
      <c r="N76" s="2">
        <v>-3.834812051384874</v>
      </c>
      <c r="O76" s="2">
        <v>-2.5810935998415658</v>
      </c>
      <c r="P76" s="2">
        <v>-2.1949486344140898</v>
      </c>
      <c r="Q76" s="2">
        <v>-2.3834392483290672</v>
      </c>
      <c r="R76" s="2">
        <v>-2.3981707462962309</v>
      </c>
      <c r="S76" s="2">
        <v>-2.4618480297560201</v>
      </c>
      <c r="T76" s="2">
        <v>-2.6838561884158891</v>
      </c>
      <c r="U76" s="2">
        <v>-2.6794991305309859</v>
      </c>
      <c r="V76" s="2">
        <v>-2.5171648378905118</v>
      </c>
      <c r="W76" s="2">
        <v>-2.3697564963129918</v>
      </c>
      <c r="X76" s="2">
        <v>-2.465846348869031</v>
      </c>
      <c r="Y76" s="2">
        <v>-2.4453949658725498</v>
      </c>
      <c r="Z76" s="2">
        <v>-2.283168080466317</v>
      </c>
      <c r="AA76" s="2">
        <v>-2.3305664971754112</v>
      </c>
      <c r="AB76" s="2">
        <v>-2.381934675408889</v>
      </c>
      <c r="AC76" s="2">
        <v>-2.241541638640876</v>
      </c>
      <c r="AD76" s="2">
        <v>-2.2048296598181252</v>
      </c>
      <c r="AE76" s="2">
        <v>-2.2902355809473178</v>
      </c>
      <c r="AF76" s="2">
        <v>-2.647763125190127</v>
      </c>
      <c r="AG76" s="2">
        <v>-2.436246281336683</v>
      </c>
      <c r="AH76" s="2">
        <v>-2.4930441475312448</v>
      </c>
      <c r="AI76" s="2">
        <v>-2.5710227145214439</v>
      </c>
      <c r="AJ76" s="2">
        <v>-2.650278476095508</v>
      </c>
      <c r="AK76" s="2">
        <v>-2.5493866570210129</v>
      </c>
    </row>
    <row r="77" spans="3:37" x14ac:dyDescent="0.25">
      <c r="C77" s="3" t="s">
        <v>28</v>
      </c>
      <c r="D77" s="2">
        <v>-1.79668580616684</v>
      </c>
      <c r="E77" s="2">
        <v>-1.4623637286192011</v>
      </c>
      <c r="F77" s="2">
        <v>-1.360874296931301</v>
      </c>
      <c r="G77" s="2">
        <v>-1.36364783130892</v>
      </c>
      <c r="H77" s="2">
        <v>-1.5849969391316461</v>
      </c>
      <c r="I77" s="2">
        <v>-1.6692405119073099</v>
      </c>
      <c r="J77" s="2">
        <v>-1.694219620630969</v>
      </c>
      <c r="K77" s="2">
        <v>-1.84313430250048</v>
      </c>
      <c r="L77" s="2">
        <v>-1.868218422438108</v>
      </c>
      <c r="M77" s="2">
        <v>-1.9028275517248721</v>
      </c>
      <c r="N77" s="2">
        <v>-1.938195241984503</v>
      </c>
      <c r="O77" s="2">
        <v>-1.9196975718815359</v>
      </c>
      <c r="P77" s="2">
        <v>-1.9243570192609341</v>
      </c>
      <c r="Q77" s="2">
        <v>-1.986840942462039</v>
      </c>
      <c r="R77" s="2">
        <v>-2.0446288984110068</v>
      </c>
      <c r="S77" s="2">
        <v>-2.0262071127571879</v>
      </c>
      <c r="T77" s="2">
        <v>-2.3051707883121271</v>
      </c>
      <c r="U77" s="2">
        <v>-2.3933839971512949</v>
      </c>
      <c r="V77" s="2">
        <v>-2.097529413325748</v>
      </c>
      <c r="W77" s="2">
        <v>-2.0068069259796251</v>
      </c>
      <c r="X77" s="2">
        <v>-2.164631693101291</v>
      </c>
      <c r="Y77" s="2">
        <v>-1.9609466630685219</v>
      </c>
      <c r="Z77" s="2">
        <v>-1.9400769532818101</v>
      </c>
      <c r="AA77" s="2">
        <v>-1.968633797534646</v>
      </c>
      <c r="AB77" s="2">
        <v>-1.979076940678802</v>
      </c>
      <c r="AC77" s="2">
        <v>-2.0566308097874582</v>
      </c>
      <c r="AD77" s="2">
        <v>-2.2204901657406668</v>
      </c>
      <c r="AE77" s="2">
        <v>-2.4303312199360212</v>
      </c>
      <c r="AF77" s="2">
        <v>-3.198429019213533</v>
      </c>
      <c r="AG77" s="2">
        <v>-4.0147909531599302</v>
      </c>
      <c r="AH77" s="2">
        <v>-4.364058263018074</v>
      </c>
      <c r="AI77" s="2">
        <v>-3.7079640896536019</v>
      </c>
      <c r="AJ77" s="2">
        <v>-3.12300571151974</v>
      </c>
      <c r="AK77" s="2">
        <v>-2.3331285703842299</v>
      </c>
    </row>
    <row r="78" spans="3:37" x14ac:dyDescent="0.25">
      <c r="C78" s="3" t="s">
        <v>29</v>
      </c>
      <c r="D78" s="2">
        <v>-2.762762932154365E-2</v>
      </c>
      <c r="E78" s="2">
        <v>-2.723298801897495E-2</v>
      </c>
      <c r="F78" s="2">
        <v>-2.7353504840310659E-2</v>
      </c>
      <c r="G78" s="2">
        <v>-2.7678425540159569E-2</v>
      </c>
      <c r="H78" s="2">
        <v>-2.7471551746375542E-2</v>
      </c>
      <c r="I78" s="2">
        <v>-2.7717922001831711E-2</v>
      </c>
      <c r="J78" s="2">
        <v>-2.7636599294089442E-2</v>
      </c>
      <c r="K78" s="2">
        <v>-2.7627841899117839E-2</v>
      </c>
      <c r="L78" s="2">
        <v>-2.7577059445952009E-2</v>
      </c>
      <c r="M78" s="2">
        <v>-2.741278944445822E-2</v>
      </c>
      <c r="N78" s="2">
        <v>-2.756478327500618E-2</v>
      </c>
      <c r="O78" s="2">
        <v>-2.8800485708168219E-2</v>
      </c>
      <c r="P78" s="2">
        <v>-2.8951533488334302E-2</v>
      </c>
      <c r="Q78" s="2">
        <v>-2.854396796437823E-2</v>
      </c>
      <c r="R78" s="2">
        <v>-2.8957210930629439E-2</v>
      </c>
      <c r="S78" s="2">
        <v>-2.904890870771229E-2</v>
      </c>
      <c r="T78" s="2">
        <v>-2.4015435284296019E-2</v>
      </c>
      <c r="U78" s="2">
        <v>-2.4632554675342311E-2</v>
      </c>
      <c r="V78" s="2">
        <v>-2.549832774848737E-2</v>
      </c>
      <c r="W78" s="2">
        <v>-2.7017880600828222E-2</v>
      </c>
      <c r="X78" s="2">
        <v>-2.8301681973364301E-2</v>
      </c>
      <c r="Y78" s="2">
        <v>-1.9862493540222601E-2</v>
      </c>
      <c r="Z78" s="2">
        <v>-2.1526880504244041E-2</v>
      </c>
      <c r="AA78" s="2">
        <v>-2.2827364153043581E-2</v>
      </c>
      <c r="AB78" s="2">
        <v>-2.348203289271282E-2</v>
      </c>
      <c r="AC78" s="2">
        <v>-2.45580020364005E-2</v>
      </c>
      <c r="AD78" s="2">
        <v>-4.431676463412066E-2</v>
      </c>
      <c r="AE78" s="2">
        <v>-4.5795535501019599E-2</v>
      </c>
      <c r="AF78" s="2">
        <v>-0.84437363962276779</v>
      </c>
      <c r="AG78" s="2">
        <v>-0.82091575486721391</v>
      </c>
      <c r="AH78" s="2">
        <v>-0.91250767962764934</v>
      </c>
      <c r="AI78" s="2">
        <v>-0.83279994747064578</v>
      </c>
      <c r="AJ78" s="2">
        <v>-0.80160076343630615</v>
      </c>
      <c r="AK78" s="2">
        <v>-0.66469132543343079</v>
      </c>
    </row>
    <row r="79" spans="3:37" x14ac:dyDescent="0.25">
      <c r="C79" s="3" t="s">
        <v>30</v>
      </c>
      <c r="D79" s="2">
        <v>-5.5075459410850201E-2</v>
      </c>
      <c r="E79" s="2">
        <v>-3.2397663145483133E-2</v>
      </c>
      <c r="F79" s="2">
        <v>-3.2122402949856528E-2</v>
      </c>
      <c r="G79" s="2">
        <v>-3.1851571415792999E-2</v>
      </c>
      <c r="H79" s="2">
        <v>-3.073584031274889E-2</v>
      </c>
      <c r="I79" s="2">
        <v>-2.863057550014117E-2</v>
      </c>
      <c r="J79" s="2">
        <v>-2.8405684202715571E-2</v>
      </c>
      <c r="K79" s="2">
        <v>-2.8184298383346618E-2</v>
      </c>
      <c r="L79" s="2">
        <v>-2.7966336712823631E-2</v>
      </c>
      <c r="M79" s="2">
        <v>-2.775172036035527E-2</v>
      </c>
      <c r="N79" s="2">
        <v>-2.7708094498383969E-2</v>
      </c>
      <c r="O79" s="2">
        <v>-2.7498674145205831E-2</v>
      </c>
      <c r="P79" s="2">
        <v>-2.729239568191516E-2</v>
      </c>
      <c r="Q79" s="2">
        <v>-2.7089188930069681E-2</v>
      </c>
      <c r="R79" s="2">
        <v>-2.6888985784167568E-2</v>
      </c>
      <c r="S79" s="2">
        <v>-2.7776652825461871E-2</v>
      </c>
      <c r="T79" s="2">
        <v>-3.7554889269378493E-2</v>
      </c>
      <c r="U79" s="2">
        <v>-4.6089398654232942E-2</v>
      </c>
      <c r="V79" s="2">
        <v>-5.4499039976463819E-2</v>
      </c>
      <c r="W79" s="2">
        <v>-6.2786533743421566E-2</v>
      </c>
      <c r="X79" s="2">
        <v>-6.9908701090487274E-2</v>
      </c>
      <c r="Y79" s="2">
        <v>-6.9408268118412164E-2</v>
      </c>
      <c r="Z79" s="2">
        <v>-7.6989719580251942E-2</v>
      </c>
      <c r="AA79" s="2">
        <v>-6.4697526710844347E-2</v>
      </c>
      <c r="AB79" s="2">
        <v>-6.0321722114403731E-2</v>
      </c>
      <c r="AC79" s="2">
        <v>-7.2409910629522928E-2</v>
      </c>
      <c r="AD79" s="2">
        <v>-6.7554891089181127E-2</v>
      </c>
      <c r="AE79" s="2">
        <v>-6.4176942697245595E-2</v>
      </c>
      <c r="AF79" s="2">
        <v>-6.6366555834607835E-2</v>
      </c>
      <c r="AG79" s="2">
        <v>-6.1557652381754577E-2</v>
      </c>
      <c r="AH79" s="2">
        <v>-7.069696945748577E-2</v>
      </c>
      <c r="AI79" s="2">
        <v>-8.0329454429961158E-2</v>
      </c>
      <c r="AJ79" s="2">
        <v>-6.6514078346933736E-2</v>
      </c>
      <c r="AK79" s="2">
        <v>-7.2552398773960886E-2</v>
      </c>
    </row>
    <row r="80" spans="3:37" x14ac:dyDescent="0.25">
      <c r="C80" s="3" t="s">
        <v>31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</row>
    <row r="81" spans="3:37" x14ac:dyDescent="0.25">
      <c r="C81" s="3" t="s">
        <v>32</v>
      </c>
      <c r="D81" s="2">
        <v>-8.1362895437298827E-2</v>
      </c>
      <c r="E81" s="2">
        <v>-0.10247450479300391</v>
      </c>
      <c r="F81" s="2">
        <v>-0.1290061424770996</v>
      </c>
      <c r="G81" s="2">
        <v>-0.16233321425675801</v>
      </c>
      <c r="H81" s="2">
        <v>-0.2042707147317423</v>
      </c>
      <c r="I81" s="2">
        <v>-0.25700119780689867</v>
      </c>
      <c r="J81" s="2">
        <v>-0.32329201571903232</v>
      </c>
      <c r="K81" s="2">
        <v>-0.40664411114352023</v>
      </c>
      <c r="L81" s="2">
        <v>-0.51155405579141999</v>
      </c>
      <c r="M81" s="2">
        <v>-0.64343226453053071</v>
      </c>
      <c r="N81" s="2">
        <v>-0.80948928872169401</v>
      </c>
      <c r="O81" s="2">
        <v>-1.0189319777613861</v>
      </c>
      <c r="P81" s="2">
        <v>-1.2829644346114351</v>
      </c>
      <c r="Q81" s="2">
        <v>-1.05580921167742</v>
      </c>
      <c r="R81" s="2">
        <v>-0.9760582941805519</v>
      </c>
      <c r="S81" s="2">
        <v>-0.76736553007360098</v>
      </c>
      <c r="T81" s="2">
        <v>-0.63133164078082604</v>
      </c>
      <c r="U81" s="2">
        <v>-0.52428182905023113</v>
      </c>
      <c r="V81" s="2">
        <v>-0.524604066358208</v>
      </c>
      <c r="W81" s="2">
        <v>-0.52300724688118105</v>
      </c>
      <c r="X81" s="2">
        <v>-0.71749348456296713</v>
      </c>
      <c r="Y81" s="2">
        <v>-1.01994677533998</v>
      </c>
      <c r="Z81" s="2">
        <v>-1.1108066867256501</v>
      </c>
      <c r="AA81" s="2">
        <v>-1.2000705403782099</v>
      </c>
      <c r="AB81" s="2">
        <v>-1.1854590283247901</v>
      </c>
      <c r="AC81" s="2">
        <v>-1.2080666089838099</v>
      </c>
      <c r="AD81" s="2">
        <v>-1.24918000382201</v>
      </c>
      <c r="AE81" s="2">
        <v>-1.29829328971967</v>
      </c>
      <c r="AF81" s="2">
        <v>-1.4585327894443501</v>
      </c>
      <c r="AG81" s="2">
        <v>-1.4277630204123399</v>
      </c>
      <c r="AH81" s="2">
        <v>-1.2015152544034899</v>
      </c>
      <c r="AI81" s="2">
        <v>-1.16842799104213</v>
      </c>
      <c r="AJ81" s="2">
        <v>-1.0830495634850199</v>
      </c>
      <c r="AK81" s="2">
        <v>-1.2729626680822499</v>
      </c>
    </row>
    <row r="82" spans="3:37" x14ac:dyDescent="0.25">
      <c r="C82" s="3" t="s">
        <v>33</v>
      </c>
      <c r="D82" s="2">
        <v>-0.91960325563159817</v>
      </c>
      <c r="E82" s="2">
        <v>-0.74923149981230053</v>
      </c>
      <c r="F82" s="2">
        <v>-0.84767659044600396</v>
      </c>
      <c r="G82" s="2">
        <v>-0.89209826212167476</v>
      </c>
      <c r="H82" s="2">
        <v>-1.0166741408737221</v>
      </c>
      <c r="I82" s="2">
        <v>-1.047882235576663</v>
      </c>
      <c r="J82" s="2">
        <v>-0.96905055154918085</v>
      </c>
      <c r="K82" s="2">
        <v>-1.084343381198736</v>
      </c>
      <c r="L82" s="2">
        <v>-1.136482435476921</v>
      </c>
      <c r="M82" s="2">
        <v>-1.153126704609198</v>
      </c>
      <c r="N82" s="2">
        <v>-1.1809575056648109</v>
      </c>
      <c r="O82" s="2">
        <v>-1.149557485553119</v>
      </c>
      <c r="P82" s="2">
        <v>-1.164316360966591</v>
      </c>
      <c r="Q82" s="2">
        <v>-1.178367686925607</v>
      </c>
      <c r="R82" s="2">
        <v>-1.178831357361273</v>
      </c>
      <c r="S82" s="2">
        <v>-1.1416489751962251</v>
      </c>
      <c r="T82" s="2">
        <v>-1.1117060852832501</v>
      </c>
      <c r="U82" s="2">
        <v>-1.2370159936248319</v>
      </c>
      <c r="V82" s="2">
        <v>-1.158208760843572</v>
      </c>
      <c r="W82" s="2">
        <v>-0.97752969909904031</v>
      </c>
      <c r="X82" s="2">
        <v>-1.175372066106076</v>
      </c>
      <c r="Y82" s="2">
        <v>-1.1862962992689601</v>
      </c>
      <c r="Z82" s="2">
        <v>-1.171814520831824</v>
      </c>
      <c r="AA82" s="2">
        <v>-1.273108083005269</v>
      </c>
      <c r="AB82" s="2">
        <v>-1.269975881589869</v>
      </c>
      <c r="AC82" s="2">
        <v>-1.3172221984381689</v>
      </c>
      <c r="AD82" s="2">
        <v>-1.3541553987381869</v>
      </c>
      <c r="AE82" s="2">
        <v>-1.382677251318239</v>
      </c>
      <c r="AF82" s="2">
        <v>-1.4752013403773641</v>
      </c>
      <c r="AG82" s="2">
        <v>-1.382050161287113</v>
      </c>
      <c r="AH82" s="2">
        <v>-1.311797687126746</v>
      </c>
      <c r="AI82" s="2">
        <v>-1.4443195370925399</v>
      </c>
      <c r="AJ82" s="2">
        <v>-1.423919279843298</v>
      </c>
      <c r="AK82" s="2">
        <v>-1.3818443628494921</v>
      </c>
    </row>
    <row r="83" spans="3:37" x14ac:dyDescent="0.25">
      <c r="C83" s="3" t="s">
        <v>34</v>
      </c>
      <c r="D83" s="2">
        <v>-1.0470264732772541</v>
      </c>
      <c r="E83" s="2">
        <v>-1.1108512346855699</v>
      </c>
      <c r="F83" s="2">
        <v>-1.1203524561869951</v>
      </c>
      <c r="G83" s="2">
        <v>-1.0804003211258799</v>
      </c>
      <c r="H83" s="2">
        <v>-1.0893941708316579</v>
      </c>
      <c r="I83" s="2">
        <v>-1.0805531595107341</v>
      </c>
      <c r="J83" s="2">
        <v>-1.016795135824077</v>
      </c>
      <c r="K83" s="2">
        <v>-1.03471266864816</v>
      </c>
      <c r="L83" s="2">
        <v>-1.034779993568874</v>
      </c>
      <c r="M83" s="2">
        <v>-1.7571710369105491</v>
      </c>
      <c r="N83" s="2">
        <v>-1.1653973210681301</v>
      </c>
      <c r="O83" s="2">
        <v>-1.049214681604401</v>
      </c>
      <c r="P83" s="2">
        <v>-0.95145978802723186</v>
      </c>
      <c r="Q83" s="2">
        <v>-0.91387320980261677</v>
      </c>
      <c r="R83" s="2">
        <v>-0.92366947042524106</v>
      </c>
      <c r="S83" s="2">
        <v>-0.92852041469466651</v>
      </c>
      <c r="T83" s="2">
        <v>-0.9270220619464048</v>
      </c>
      <c r="U83" s="2">
        <v>-0.93258314210359772</v>
      </c>
      <c r="V83" s="2">
        <v>-0.90547734303297911</v>
      </c>
      <c r="W83" s="2">
        <v>-1.1830586376751591</v>
      </c>
      <c r="X83" s="2">
        <v>-0.98797887982771382</v>
      </c>
      <c r="Y83" s="2">
        <v>-0.96290561135564556</v>
      </c>
      <c r="Z83" s="2">
        <v>-0.92200574754545406</v>
      </c>
      <c r="AA83" s="2">
        <v>-0.91157725090620667</v>
      </c>
      <c r="AB83" s="2">
        <v>-0.96039596202982425</v>
      </c>
      <c r="AC83" s="2">
        <v>-0.98462822828008489</v>
      </c>
      <c r="AD83" s="2">
        <v>-1.0467750498047581</v>
      </c>
      <c r="AE83" s="2">
        <v>-1.1285726028937131</v>
      </c>
      <c r="AF83" s="2">
        <v>-1.194954783456122</v>
      </c>
      <c r="AG83" s="2">
        <v>-1.244597412301683</v>
      </c>
      <c r="AH83" s="2">
        <v>-1.2475032948515521</v>
      </c>
      <c r="AI83" s="2">
        <v>-1.298340795654527</v>
      </c>
      <c r="AJ83" s="2">
        <v>-1.2719802445942909</v>
      </c>
      <c r="AK83" s="2">
        <v>-1.2484896700954851</v>
      </c>
    </row>
    <row r="84" spans="3:37" x14ac:dyDescent="0.25">
      <c r="C84" s="3" t="s">
        <v>35</v>
      </c>
      <c r="D84" s="2">
        <v>-2.6186078877003349</v>
      </c>
      <c r="E84" s="2">
        <v>-2.6368858256250718</v>
      </c>
      <c r="F84" s="2">
        <v>-2.676190015508769</v>
      </c>
      <c r="G84" s="2">
        <v>-2.7180412034552779</v>
      </c>
      <c r="H84" s="2">
        <v>-2.8035514182657879</v>
      </c>
      <c r="I84" s="2">
        <v>-2.8429737992690809</v>
      </c>
      <c r="J84" s="2">
        <v>-2.8641315325057768</v>
      </c>
      <c r="K84" s="2">
        <v>-2.9157865638625662</v>
      </c>
      <c r="L84" s="2">
        <v>-2.932860945525483</v>
      </c>
      <c r="M84" s="2">
        <v>-2.994455676854614</v>
      </c>
      <c r="N84" s="2">
        <v>-3.0264578820709609</v>
      </c>
      <c r="O84" s="2">
        <v>-3.023403552278483</v>
      </c>
      <c r="P84" s="2">
        <v>-3.051984430770911</v>
      </c>
      <c r="Q84" s="2">
        <v>-3.102236023646026</v>
      </c>
      <c r="R84" s="2">
        <v>-3.117976963803105</v>
      </c>
      <c r="S84" s="2">
        <v>-3.1483829672805679</v>
      </c>
      <c r="T84" s="2">
        <v>-3.182261758323957</v>
      </c>
      <c r="U84" s="2">
        <v>-3.2464652859610599</v>
      </c>
      <c r="V84" s="2">
        <v>-3.2379331116475591</v>
      </c>
      <c r="W84" s="2">
        <v>-3.303602366069053</v>
      </c>
      <c r="X84" s="2">
        <v>-3.3798719999578268</v>
      </c>
      <c r="Y84" s="2">
        <v>-3.4545225049264872</v>
      </c>
      <c r="Z84" s="2">
        <v>-3.5783682239013608</v>
      </c>
      <c r="AA84" s="2">
        <v>-3.573702496462976</v>
      </c>
      <c r="AB84" s="2">
        <v>-3.608735653336181</v>
      </c>
      <c r="AC84" s="2">
        <v>-3.6703421194964529</v>
      </c>
      <c r="AD84" s="2">
        <v>-3.6612946068773011</v>
      </c>
      <c r="AE84" s="2">
        <v>-3.6783587510743772</v>
      </c>
      <c r="AF84" s="2">
        <v>-3.6957332510062471</v>
      </c>
      <c r="AG84" s="2">
        <v>-3.7240482083522819</v>
      </c>
      <c r="AH84" s="2">
        <v>-3.751011443108712</v>
      </c>
      <c r="AI84" s="2">
        <v>-3.78643675778663</v>
      </c>
      <c r="AJ84" s="2">
        <v>-3.8233180019514972</v>
      </c>
      <c r="AK84" s="2">
        <v>-3.858458823358264</v>
      </c>
    </row>
    <row r="85" spans="3:37" x14ac:dyDescent="0.25">
      <c r="C85" s="3" t="s">
        <v>36</v>
      </c>
      <c r="D85" s="2">
        <v>0</v>
      </c>
      <c r="E85" s="2">
        <v>0</v>
      </c>
      <c r="F85" s="2">
        <v>0</v>
      </c>
      <c r="G85" s="2">
        <v>0</v>
      </c>
      <c r="H85" s="2">
        <v>-9.3315658358177349E-4</v>
      </c>
      <c r="I85" s="2">
        <v>-2.001398732636727E-3</v>
      </c>
      <c r="J85" s="2">
        <v>-3.5527031361517361E-3</v>
      </c>
      <c r="K85" s="2">
        <v>-6.1599453695554704E-3</v>
      </c>
      <c r="L85" s="2">
        <v>-6.6770276104927088E-3</v>
      </c>
      <c r="M85" s="2">
        <v>-7.0313083602021971E-3</v>
      </c>
      <c r="N85" s="2">
        <v>-1.101722754843289E-2</v>
      </c>
      <c r="O85" s="2">
        <v>-1.0601121068815439E-2</v>
      </c>
      <c r="P85" s="2">
        <v>-8.773117138891345E-3</v>
      </c>
      <c r="Q85" s="2">
        <v>-1.204239274609098E-2</v>
      </c>
      <c r="R85" s="2">
        <v>-1.355899516417561E-2</v>
      </c>
      <c r="S85" s="2">
        <v>-1.2571741806651779E-2</v>
      </c>
      <c r="T85" s="2">
        <v>-1.342558469027552E-2</v>
      </c>
      <c r="U85" s="2">
        <v>-2.200259347163485E-2</v>
      </c>
      <c r="V85" s="2">
        <v>-1.574311755364818E-2</v>
      </c>
      <c r="W85" s="2">
        <v>-1.4722135038225011E-2</v>
      </c>
      <c r="X85" s="2">
        <v>-1.2129354844736579E-2</v>
      </c>
      <c r="Y85" s="2">
        <v>-1.3431677699865609E-2</v>
      </c>
      <c r="Z85" s="2">
        <v>-1.3746194733027579E-2</v>
      </c>
      <c r="AA85" s="2">
        <v>-1.220804224680478E-2</v>
      </c>
      <c r="AB85" s="2">
        <v>-1.0491374727427869E-2</v>
      </c>
      <c r="AC85" s="2">
        <v>-1.086587184107822E-2</v>
      </c>
      <c r="AD85" s="2">
        <v>-8.8158611512523088E-3</v>
      </c>
      <c r="AE85" s="2">
        <v>-9.3921648027412534E-3</v>
      </c>
      <c r="AF85" s="2">
        <v>-8.610486101571899E-3</v>
      </c>
      <c r="AG85" s="2">
        <v>-4.6618889936744842E-3</v>
      </c>
      <c r="AH85" s="2">
        <v>-4.0258679052484984E-3</v>
      </c>
      <c r="AI85" s="2">
        <v>-3.6605267714583589E-3</v>
      </c>
      <c r="AJ85" s="2">
        <v>-3.3369663164049528E-3</v>
      </c>
      <c r="AK85" s="2">
        <v>-2.4178917106434271E-3</v>
      </c>
    </row>
    <row r="86" spans="3:37" x14ac:dyDescent="0.25">
      <c r="C86" s="3" t="s">
        <v>37</v>
      </c>
      <c r="D86" s="2">
        <v>-0.77140415450235156</v>
      </c>
      <c r="E86" s="2">
        <v>-0.58993063702704573</v>
      </c>
      <c r="F86" s="2">
        <v>-0.56629696162339294</v>
      </c>
      <c r="G86" s="2">
        <v>-0.55075323892140438</v>
      </c>
      <c r="H86" s="2">
        <v>-0.58714039484073688</v>
      </c>
      <c r="I86" s="2">
        <v>-0.55392039197091936</v>
      </c>
      <c r="J86" s="2">
        <v>-0.59142565617982434</v>
      </c>
      <c r="K86" s="2">
        <v>-0.66186388860350176</v>
      </c>
      <c r="L86" s="2">
        <v>-0.67224591523894572</v>
      </c>
      <c r="M86" s="2">
        <v>-0.66716231882371813</v>
      </c>
      <c r="N86" s="2">
        <v>-0.70630879449191619</v>
      </c>
      <c r="O86" s="2">
        <v>-0.71325277726464109</v>
      </c>
      <c r="P86" s="2">
        <v>-0.71008289775546607</v>
      </c>
      <c r="Q86" s="2">
        <v>-0.75070630313925113</v>
      </c>
      <c r="R86" s="2">
        <v>-0.78243674439199273</v>
      </c>
      <c r="S86" s="2">
        <v>-0.78451885845142721</v>
      </c>
      <c r="T86" s="2">
        <v>-0.8101183011254347</v>
      </c>
      <c r="U86" s="2">
        <v>-0.86291033225746294</v>
      </c>
      <c r="V86" s="2">
        <v>-0.86856326649804261</v>
      </c>
      <c r="W86" s="2">
        <v>-0.82504913263572421</v>
      </c>
      <c r="X86" s="2">
        <v>-0.84143095346246422</v>
      </c>
      <c r="Y86" s="2">
        <v>-0.95126345939065193</v>
      </c>
      <c r="Z86" s="2">
        <v>-0.96327410921986634</v>
      </c>
      <c r="AA86" s="2">
        <v>-0.95581260543235014</v>
      </c>
      <c r="AB86" s="2">
        <v>-0.98354300232244485</v>
      </c>
      <c r="AC86" s="2">
        <v>-1.016398463954137</v>
      </c>
      <c r="AD86" s="2">
        <v>-1.028309061363363</v>
      </c>
      <c r="AE86" s="2">
        <v>-1.062803991939457</v>
      </c>
      <c r="AF86" s="2">
        <v>-1.081430298092074</v>
      </c>
      <c r="AG86" s="2">
        <v>-1.0627078281644819</v>
      </c>
      <c r="AH86" s="2">
        <v>-1.025788800974853</v>
      </c>
      <c r="AI86" s="2">
        <v>-1.0468557539752199</v>
      </c>
      <c r="AJ86" s="2">
        <v>-1.0708858898207601</v>
      </c>
      <c r="AK86" s="2">
        <v>-1.0514148292554231</v>
      </c>
    </row>
    <row r="87" spans="3:37" x14ac:dyDescent="0.25">
      <c r="C87" s="3" t="s">
        <v>38</v>
      </c>
      <c r="D87" s="2">
        <v>-4.0786353348076014</v>
      </c>
      <c r="E87" s="2">
        <v>-3.9722076045314081</v>
      </c>
      <c r="F87" s="2">
        <v>-4.3121132533030222</v>
      </c>
      <c r="G87" s="2">
        <v>-4.0116204426014512</v>
      </c>
      <c r="H87" s="2">
        <v>-4.1842320569797113</v>
      </c>
      <c r="I87" s="2">
        <v>-4.2727992050511041</v>
      </c>
      <c r="J87" s="2">
        <v>-4.300073260036438</v>
      </c>
      <c r="K87" s="2">
        <v>-3.924167862800783</v>
      </c>
      <c r="L87" s="2">
        <v>-4.288320609731854</v>
      </c>
      <c r="M87" s="2">
        <v>-4.3922149435196864</v>
      </c>
      <c r="N87" s="2">
        <v>-4.7576439719364627</v>
      </c>
      <c r="O87" s="2">
        <v>-4.8447071076865704</v>
      </c>
      <c r="P87" s="2">
        <v>-4.9395309179285514</v>
      </c>
      <c r="Q87" s="2">
        <v>-4.8120576852773009</v>
      </c>
      <c r="R87" s="2">
        <v>-4.5438391233692643</v>
      </c>
      <c r="S87" s="2">
        <v>-4.8488250253783969</v>
      </c>
      <c r="T87" s="2">
        <v>-4.5474530102036343</v>
      </c>
      <c r="U87" s="2">
        <v>-4.8601114618365902</v>
      </c>
      <c r="V87" s="2">
        <v>-4.5744561072636456</v>
      </c>
      <c r="W87" s="2">
        <v>-4.8306087267178404</v>
      </c>
      <c r="X87" s="2">
        <v>-5.1076989085839104</v>
      </c>
      <c r="Y87" s="2">
        <v>-5.1361124033709906</v>
      </c>
      <c r="Z87" s="2">
        <v>-5.1183450175154501</v>
      </c>
      <c r="AA87" s="2">
        <v>-5.1339574069651714</v>
      </c>
      <c r="AB87" s="2">
        <v>-5.4771677641284473</v>
      </c>
      <c r="AC87" s="2">
        <v>-5.3055801008244661</v>
      </c>
      <c r="AD87" s="2">
        <v>-5.4641631297537412</v>
      </c>
      <c r="AE87" s="2">
        <v>-6.1795082138911424</v>
      </c>
      <c r="AF87" s="2">
        <v>-6.2021665170077132</v>
      </c>
      <c r="AG87" s="2">
        <v>-6.4341519285990136</v>
      </c>
      <c r="AH87" s="2">
        <v>-6.2444422968894466</v>
      </c>
      <c r="AI87" s="2">
        <v>-6.5938457727935544</v>
      </c>
      <c r="AJ87" s="2">
        <v>-6.3898567204940084</v>
      </c>
      <c r="AK87" s="2">
        <v>-6.4761083929661973</v>
      </c>
    </row>
    <row r="88" spans="3:37" x14ac:dyDescent="0.25">
      <c r="C88" s="3" t="s">
        <v>39</v>
      </c>
      <c r="D88" s="2">
        <v>-1.9219358681026959</v>
      </c>
      <c r="E88" s="2">
        <v>-1.5173761563754571</v>
      </c>
      <c r="F88" s="2">
        <v>-1.5783726407981269</v>
      </c>
      <c r="G88" s="2">
        <v>-1.940876285424278</v>
      </c>
      <c r="H88" s="2">
        <v>-1.601142318571225</v>
      </c>
      <c r="I88" s="2">
        <v>-1.5121277042824111</v>
      </c>
      <c r="J88" s="2">
        <v>-1.53250506005711</v>
      </c>
      <c r="K88" s="2">
        <v>-1.7885857783267769</v>
      </c>
      <c r="L88" s="2">
        <v>-1.841981698332209</v>
      </c>
      <c r="M88" s="2">
        <v>-1.6740571515513409</v>
      </c>
      <c r="N88" s="2">
        <v>-1.71028589195764</v>
      </c>
      <c r="O88" s="2">
        <v>-1.5335467778956371</v>
      </c>
      <c r="P88" s="2">
        <v>-1.4324922658519941</v>
      </c>
      <c r="Q88" s="2">
        <v>-1.630247228217153</v>
      </c>
      <c r="R88" s="2">
        <v>-1.503021429105998</v>
      </c>
      <c r="S88" s="2">
        <v>-1.4814878239656319</v>
      </c>
      <c r="T88" s="2">
        <v>-1.489173456856032</v>
      </c>
      <c r="U88" s="2">
        <v>-1.96289447100758</v>
      </c>
      <c r="V88" s="2">
        <v>-1.585865394973881</v>
      </c>
      <c r="W88" s="2">
        <v>-1.5273545078861981</v>
      </c>
      <c r="X88" s="2">
        <v>-1.4405163305460409</v>
      </c>
      <c r="Y88" s="2">
        <v>-1.5412956389115759</v>
      </c>
      <c r="Z88" s="2">
        <v>-1.6787402236526809</v>
      </c>
      <c r="AA88" s="2">
        <v>-1.3803411862695549</v>
      </c>
      <c r="AB88" s="2">
        <v>-1.353426015866787</v>
      </c>
      <c r="AC88" s="2">
        <v>-1.3347558070447409</v>
      </c>
      <c r="AD88" s="2">
        <v>-1.344752065217647</v>
      </c>
      <c r="AE88" s="2">
        <v>-1.747627689807975</v>
      </c>
      <c r="AF88" s="2">
        <v>-1.2735993827133709</v>
      </c>
      <c r="AG88" s="2">
        <v>-1.400353401504524</v>
      </c>
      <c r="AH88" s="2">
        <v>-1.529524141528499</v>
      </c>
      <c r="AI88" s="2">
        <v>-1.522821830740831</v>
      </c>
      <c r="AJ88" s="2">
        <v>-1.4898874558624779</v>
      </c>
      <c r="AK88" s="2">
        <v>-1.2344041764918521</v>
      </c>
    </row>
    <row r="89" spans="3:37" x14ac:dyDescent="0.25">
      <c r="C89" s="3" t="s">
        <v>40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-0.20446660353900559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</row>
    <row r="90" spans="3:37" x14ac:dyDescent="0.25">
      <c r="C90" s="3" t="s">
        <v>41</v>
      </c>
      <c r="D90" s="2">
        <v>-1.1937281020342221</v>
      </c>
      <c r="E90" s="2">
        <v>-1.104726825617532</v>
      </c>
      <c r="F90" s="2">
        <v>-1.0492989365969529</v>
      </c>
      <c r="G90" s="2">
        <v>-1.156842572942903</v>
      </c>
      <c r="H90" s="2">
        <v>-1.3336270372001851</v>
      </c>
      <c r="I90" s="2">
        <v>-1.500980476261216</v>
      </c>
      <c r="J90" s="2">
        <v>-1.478560980038518</v>
      </c>
      <c r="K90" s="2">
        <v>-1.786498167060115</v>
      </c>
      <c r="L90" s="2">
        <v>-1.9409112096357251</v>
      </c>
      <c r="M90" s="2">
        <v>-2.4432053301558172</v>
      </c>
      <c r="N90" s="2">
        <v>-2.0554303732532482</v>
      </c>
      <c r="O90" s="2">
        <v>-1.9568289878147129</v>
      </c>
      <c r="P90" s="2">
        <v>-2.0671416867219858</v>
      </c>
      <c r="Q90" s="2">
        <v>-2.1228958989686828</v>
      </c>
      <c r="R90" s="2">
        <v>-2.025032969935352</v>
      </c>
      <c r="S90" s="2">
        <v>-2.088250805151215</v>
      </c>
      <c r="T90" s="2">
        <v>-1.8804177076873689</v>
      </c>
      <c r="U90" s="2">
        <v>-1.9250330675365139</v>
      </c>
      <c r="V90" s="2">
        <v>-1.763218476346293</v>
      </c>
      <c r="W90" s="2">
        <v>-2.2686347359101369</v>
      </c>
      <c r="X90" s="2">
        <v>-2.5731100386847992</v>
      </c>
      <c r="Y90" s="2">
        <v>-2.4549256668910551</v>
      </c>
      <c r="Z90" s="2">
        <v>-2.3217148708529329</v>
      </c>
      <c r="AA90" s="2">
        <v>-2.3520317094212979</v>
      </c>
      <c r="AB90" s="2">
        <v>-2.5349407885315638</v>
      </c>
      <c r="AC90" s="2">
        <v>-2.455522878927717</v>
      </c>
      <c r="AD90" s="2">
        <v>-2.543075769026522</v>
      </c>
      <c r="AE90" s="2">
        <v>-2.560601780375316</v>
      </c>
      <c r="AF90" s="2">
        <v>-2.5898561370771991</v>
      </c>
      <c r="AG90" s="2">
        <v>-2.4960635926696422</v>
      </c>
      <c r="AH90" s="2">
        <v>-2.5910639575237231</v>
      </c>
      <c r="AI90" s="2">
        <v>-2.59428684240395</v>
      </c>
      <c r="AJ90" s="2">
        <v>-2.7623614627079172</v>
      </c>
      <c r="AK90" s="2">
        <v>-2.802099317198258</v>
      </c>
    </row>
    <row r="91" spans="3:37" x14ac:dyDescent="0.25">
      <c r="C91" s="3" t="s">
        <v>42</v>
      </c>
      <c r="D91" s="2">
        <v>-0.60062267962477855</v>
      </c>
      <c r="E91" s="2">
        <v>-0.57750414259158267</v>
      </c>
      <c r="F91" s="2">
        <v>-0.58260750794139871</v>
      </c>
      <c r="G91" s="2">
        <v>-0.54921351543133823</v>
      </c>
      <c r="H91" s="2">
        <v>-0.58139676812809638</v>
      </c>
      <c r="I91" s="2">
        <v>-0.51272810304115424</v>
      </c>
      <c r="J91" s="2">
        <v>-0.59050256348724584</v>
      </c>
      <c r="K91" s="2">
        <v>-0.53053173686301969</v>
      </c>
      <c r="L91" s="2">
        <v>-0.51551349709279948</v>
      </c>
      <c r="M91" s="2">
        <v>-0.43484127337596362</v>
      </c>
      <c r="N91" s="2">
        <v>-0.52479845870260644</v>
      </c>
      <c r="O91" s="2">
        <v>-0.47547139912988751</v>
      </c>
      <c r="P91" s="2">
        <v>-0.48114304928355828</v>
      </c>
      <c r="Q91" s="2">
        <v>-0.5234788064783048</v>
      </c>
      <c r="R91" s="2">
        <v>-0.53937291394118059</v>
      </c>
      <c r="S91" s="2">
        <v>-0.50505630258071743</v>
      </c>
      <c r="T91" s="2">
        <v>-0.60480341201968224</v>
      </c>
      <c r="U91" s="2">
        <v>-0.57680458365780807</v>
      </c>
      <c r="V91" s="2">
        <v>-0.49036797465309567</v>
      </c>
      <c r="W91" s="2">
        <v>-0.54396663532534906</v>
      </c>
      <c r="X91" s="2">
        <v>-0.51385556169899449</v>
      </c>
      <c r="Y91" s="2">
        <v>-0.5446982805519418</v>
      </c>
      <c r="Z91" s="2">
        <v>-0.55853717026338623</v>
      </c>
      <c r="AA91" s="2">
        <v>-0.61254572115173656</v>
      </c>
      <c r="AB91" s="2">
        <v>-0.63421854205333272</v>
      </c>
      <c r="AC91" s="2">
        <v>-0.70892373421474164</v>
      </c>
      <c r="AD91" s="2">
        <v>-0.76283600109599936</v>
      </c>
      <c r="AE91" s="2">
        <v>-0.72392238979995094</v>
      </c>
      <c r="AF91" s="2">
        <v>-0.80878281695175158</v>
      </c>
      <c r="AG91" s="2">
        <v>-0.90189073041662626</v>
      </c>
      <c r="AH91" s="2">
        <v>-0.74712917224345032</v>
      </c>
      <c r="AI91" s="2">
        <v>-0.85079296941985949</v>
      </c>
      <c r="AJ91" s="2">
        <v>-0.88946027724190302</v>
      </c>
      <c r="AK91" s="2">
        <v>-0.73719153138189752</v>
      </c>
    </row>
    <row r="92" spans="3:37" x14ac:dyDescent="0.25">
      <c r="C92" s="3" t="s">
        <v>43</v>
      </c>
      <c r="D92" s="2">
        <v>-9.5498808844924777E-3</v>
      </c>
      <c r="E92" s="2">
        <v>-7.598409145957245E-3</v>
      </c>
      <c r="F92" s="2">
        <v>-7.3923709217553514E-3</v>
      </c>
      <c r="G92" s="2">
        <v>-3.4017990082414002E-4</v>
      </c>
      <c r="H92" s="2">
        <v>-5.8613257785770341E-3</v>
      </c>
      <c r="I92" s="2">
        <v>-1.050352112273252E-2</v>
      </c>
      <c r="J92" s="2">
        <v>-2.219512978336443E-2</v>
      </c>
      <c r="K92" s="2">
        <v>-1.8417022147519439E-2</v>
      </c>
      <c r="L92" s="2">
        <v>-3.0591196045250971E-2</v>
      </c>
      <c r="M92" s="2">
        <v>-9.5157353571678812E-3</v>
      </c>
      <c r="N92" s="2">
        <v>-1.579368836380525E-2</v>
      </c>
      <c r="O92" s="2">
        <v>-7.3242860374741941E-3</v>
      </c>
      <c r="P92" s="2">
        <v>-3.0598120884815019E-2</v>
      </c>
      <c r="Q92" s="2">
        <v>-3.6512500651914741E-2</v>
      </c>
      <c r="R92" s="2">
        <v>-4.321535804901297E-2</v>
      </c>
      <c r="S92" s="2">
        <v>-2.6621405553755889E-2</v>
      </c>
      <c r="T92" s="2">
        <v>-6.654585226412154E-3</v>
      </c>
      <c r="U92" s="2">
        <v>-3.4063883561666113E-2</v>
      </c>
      <c r="V92" s="2">
        <v>-1.5638521205918719E-2</v>
      </c>
      <c r="W92" s="2">
        <v>-1.398202125017141E-2</v>
      </c>
      <c r="X92" s="2">
        <v>-1.6447883400766559E-2</v>
      </c>
      <c r="Y92" s="2">
        <v>-1.3899224100737739E-2</v>
      </c>
      <c r="Z92" s="2">
        <v>-1.38810206323017E-2</v>
      </c>
      <c r="AA92" s="2">
        <v>-8.9444254879419739E-3</v>
      </c>
      <c r="AB92" s="2">
        <v>-7.7055226186235814E-3</v>
      </c>
      <c r="AC92" s="2">
        <v>-7.3542645471806733E-3</v>
      </c>
      <c r="AD92" s="2">
        <v>-2.4693608565953942E-4</v>
      </c>
      <c r="AE92" s="2">
        <v>-2.465872160564752E-2</v>
      </c>
      <c r="AF92" s="2">
        <v>-4.8593656953016514E-3</v>
      </c>
      <c r="AG92" s="2">
        <v>-3.058474082653027E-3</v>
      </c>
      <c r="AH92" s="2">
        <v>-2.2509548470095011E-3</v>
      </c>
      <c r="AI92" s="2">
        <v>-4.2077782781833701E-3</v>
      </c>
      <c r="AJ92" s="2">
        <v>-8.1627325388683499E-3</v>
      </c>
      <c r="AK92" s="2">
        <v>-3.5166647836403289E-4</v>
      </c>
    </row>
    <row r="93" spans="3:37" x14ac:dyDescent="0.25">
      <c r="C93" s="3" t="s">
        <v>44</v>
      </c>
      <c r="D93" s="2">
        <v>-1.4633964013125691</v>
      </c>
      <c r="E93" s="2">
        <v>-1.430958261964457</v>
      </c>
      <c r="F93" s="2">
        <v>-1.3823132109143621</v>
      </c>
      <c r="G93" s="2">
        <v>-1.3732528276408911</v>
      </c>
      <c r="H93" s="2">
        <v>-1.336429466544087</v>
      </c>
      <c r="I93" s="2">
        <v>-1.2903512016941669</v>
      </c>
      <c r="J93" s="2">
        <v>-1.3983967808989779</v>
      </c>
      <c r="K93" s="2">
        <v>-1.3934321027368</v>
      </c>
      <c r="L93" s="2">
        <v>-1.3488908333864209</v>
      </c>
      <c r="M93" s="2">
        <v>-1.3836965694968639</v>
      </c>
      <c r="N93" s="2">
        <v>-1.5400436610507879</v>
      </c>
      <c r="O93" s="2">
        <v>-1.375214639804851</v>
      </c>
      <c r="P93" s="2">
        <v>-1.358271856085848</v>
      </c>
      <c r="Q93" s="2">
        <v>-1.4352844184093181</v>
      </c>
      <c r="R93" s="2">
        <v>-1.527987477845393</v>
      </c>
      <c r="S93" s="2">
        <v>-1.5181312808837579</v>
      </c>
      <c r="T93" s="2">
        <v>-1.6441681361812941</v>
      </c>
      <c r="U93" s="2">
        <v>-1.63893508964074</v>
      </c>
      <c r="V93" s="2">
        <v>-1.4873876362187251</v>
      </c>
      <c r="W93" s="2">
        <v>-1.4307794791772339</v>
      </c>
      <c r="X93" s="2">
        <v>-1.432361278660329</v>
      </c>
      <c r="Y93" s="2">
        <v>-1.550423963432827</v>
      </c>
      <c r="Z93" s="2">
        <v>-1.5338287025752571</v>
      </c>
      <c r="AA93" s="2">
        <v>-1.5253361493242541</v>
      </c>
      <c r="AB93" s="2">
        <v>-1.57968026653225</v>
      </c>
      <c r="AC93" s="2">
        <v>-1.599972675604391</v>
      </c>
      <c r="AD93" s="2">
        <v>-1.5869177121750271</v>
      </c>
      <c r="AE93" s="2">
        <v>-1.6318058937383451</v>
      </c>
      <c r="AF93" s="2">
        <v>-1.583541566333595</v>
      </c>
      <c r="AG93" s="2">
        <v>-1.5995250787470541</v>
      </c>
      <c r="AH93" s="2">
        <v>-1.5110667608373141</v>
      </c>
      <c r="AI93" s="2">
        <v>-1.6107391891964229</v>
      </c>
      <c r="AJ93" s="2">
        <v>-1.6164604506926969</v>
      </c>
      <c r="AK93" s="2">
        <v>-1.611674860245168</v>
      </c>
    </row>
    <row r="94" spans="3:37" x14ac:dyDescent="0.25">
      <c r="C94" s="3" t="s">
        <v>45</v>
      </c>
      <c r="D94" s="2">
        <v>-0.8432581585957678</v>
      </c>
      <c r="E94" s="2">
        <v>-0.80372948221362239</v>
      </c>
      <c r="F94" s="2">
        <v>-0.77494227511734259</v>
      </c>
      <c r="G94" s="2">
        <v>-0.74083471994161298</v>
      </c>
      <c r="H94" s="2">
        <v>-0.72113606288069787</v>
      </c>
      <c r="I94" s="2">
        <v>-0.74572911805246156</v>
      </c>
      <c r="J94" s="2">
        <v>-0.77554582795209681</v>
      </c>
      <c r="K94" s="2">
        <v>-0.76336704234282349</v>
      </c>
      <c r="L94" s="2">
        <v>-0.69903642865931459</v>
      </c>
      <c r="M94" s="2">
        <v>-0.73624866298649627</v>
      </c>
      <c r="N94" s="2">
        <v>-0.7534316609847902</v>
      </c>
      <c r="O94" s="2">
        <v>-0.72541549542465089</v>
      </c>
      <c r="P94" s="2">
        <v>-0.8118372465666629</v>
      </c>
      <c r="Q94" s="2">
        <v>-0.82442916298662738</v>
      </c>
      <c r="R94" s="2">
        <v>-0.84829169107188684</v>
      </c>
      <c r="S94" s="2">
        <v>-0.79795975754014747</v>
      </c>
      <c r="T94" s="2">
        <v>-0.8019679145139319</v>
      </c>
      <c r="U94" s="2">
        <v>-0.83992757076656155</v>
      </c>
      <c r="V94" s="2">
        <v>-0.82922421476817221</v>
      </c>
      <c r="W94" s="2">
        <v>-0.82446815439718624</v>
      </c>
      <c r="X94" s="2">
        <v>-0.84026213166204822</v>
      </c>
      <c r="Y94" s="2">
        <v>-0.89669950256158149</v>
      </c>
      <c r="Z94" s="2">
        <v>-0.9214818286872074</v>
      </c>
      <c r="AA94" s="2">
        <v>-0.92551151538835308</v>
      </c>
      <c r="AB94" s="2">
        <v>-0.88123089530140752</v>
      </c>
      <c r="AC94" s="2">
        <v>-0.89090002011276281</v>
      </c>
      <c r="AD94" s="2">
        <v>-0.86061224891195476</v>
      </c>
      <c r="AE94" s="2">
        <v>-0.89831511130389907</v>
      </c>
      <c r="AF94" s="2">
        <v>-0.93601153650221725</v>
      </c>
      <c r="AG94" s="2">
        <v>-0.91719699471385518</v>
      </c>
      <c r="AH94" s="2">
        <v>-0.93141898091137376</v>
      </c>
      <c r="AI94" s="2">
        <v>-0.94561689577721941</v>
      </c>
      <c r="AJ94" s="2">
        <v>-0.96286619856249878</v>
      </c>
      <c r="AK94" s="2">
        <v>-0.882609669499542</v>
      </c>
    </row>
    <row r="95" spans="3:37" x14ac:dyDescent="0.25">
      <c r="C95" s="3" t="s">
        <v>46</v>
      </c>
      <c r="D95" s="2">
        <v>-1.2026589705482309</v>
      </c>
      <c r="E95" s="2">
        <v>-1.015014795568226</v>
      </c>
      <c r="F95" s="2">
        <v>-0.92087116397395852</v>
      </c>
      <c r="G95" s="2">
        <v>-0.94111169351607693</v>
      </c>
      <c r="H95" s="2">
        <v>-1.092787143309772</v>
      </c>
      <c r="I95" s="2">
        <v>-1.189073960123733</v>
      </c>
      <c r="J95" s="2">
        <v>-1.2135752527308781</v>
      </c>
      <c r="K95" s="2">
        <v>-1.318534743968744</v>
      </c>
      <c r="L95" s="2">
        <v>-1.2355836471268049</v>
      </c>
      <c r="M95" s="2">
        <v>-1.293584605245707</v>
      </c>
      <c r="N95" s="2">
        <v>-1.4062694557824269</v>
      </c>
      <c r="O95" s="2">
        <v>-1.4164205121468709</v>
      </c>
      <c r="P95" s="2">
        <v>-1.4253463568671061</v>
      </c>
      <c r="Q95" s="2">
        <v>-1.5077604649886109</v>
      </c>
      <c r="R95" s="2">
        <v>-1.63943211552304</v>
      </c>
      <c r="S95" s="2">
        <v>-2.248082150499453</v>
      </c>
      <c r="T95" s="2">
        <v>-1.859812309524745</v>
      </c>
      <c r="U95" s="2">
        <v>-1.899189375052085</v>
      </c>
      <c r="V95" s="2">
        <v>-2.086301228323848</v>
      </c>
      <c r="W95" s="2">
        <v>-2.030823368870855</v>
      </c>
      <c r="X95" s="2">
        <v>-2.1798300194135072</v>
      </c>
      <c r="Y95" s="2">
        <v>-2.112666632073037</v>
      </c>
      <c r="Z95" s="2">
        <v>-1.8484972115255329</v>
      </c>
      <c r="AA95" s="2">
        <v>-1.763806268201058</v>
      </c>
      <c r="AB95" s="2">
        <v>-2.1052333542651112</v>
      </c>
      <c r="AC95" s="2">
        <v>-2.0559701149270881</v>
      </c>
      <c r="AD95" s="2">
        <v>-2.0877395318538752</v>
      </c>
      <c r="AE95" s="2">
        <v>-2.0875212464029902</v>
      </c>
      <c r="AF95" s="2">
        <v>-2.1841341750745888</v>
      </c>
      <c r="AG95" s="2">
        <v>-2.044174573015948</v>
      </c>
      <c r="AH95" s="2">
        <v>-1.685869136679226</v>
      </c>
      <c r="AI95" s="2">
        <v>-1.722243609536767</v>
      </c>
      <c r="AJ95" s="2">
        <v>-1.727229877420454</v>
      </c>
      <c r="AK95" s="2">
        <v>-1.6190662532502189</v>
      </c>
    </row>
    <row r="96" spans="3:37" x14ac:dyDescent="0.25">
      <c r="C96" s="3" t="s">
        <v>47</v>
      </c>
      <c r="D96" s="2">
        <v>-6.0345674631353652E-2</v>
      </c>
      <c r="E96" s="2">
        <v>-8.0615619177102874E-2</v>
      </c>
      <c r="F96" s="2">
        <v>-0.10026325594046739</v>
      </c>
      <c r="G96" s="2">
        <v>-0.1193420847162406</v>
      </c>
      <c r="H96" s="2">
        <v>-0.13787645392895351</v>
      </c>
      <c r="I96" s="2">
        <v>-0.15588934187317269</v>
      </c>
      <c r="J96" s="2">
        <v>-0.17317270320359571</v>
      </c>
      <c r="K96" s="2">
        <v>-0.19004959249275291</v>
      </c>
      <c r="L96" s="2">
        <v>-0.20647064237173621</v>
      </c>
      <c r="M96" s="2">
        <v>-0.2224540748710814</v>
      </c>
      <c r="N96" s="2">
        <v>-0.23801715356639239</v>
      </c>
      <c r="O96" s="2">
        <v>-0.25317624577728792</v>
      </c>
      <c r="P96" s="2">
        <v>-0.26794687998472588</v>
      </c>
      <c r="Q96" s="2">
        <v>-0.26633298714960701</v>
      </c>
      <c r="R96" s="2">
        <v>-0.26463849772592901</v>
      </c>
      <c r="S96" s="2">
        <v>-0.26294148266902728</v>
      </c>
      <c r="T96" s="2">
        <v>-0.26124193632801329</v>
      </c>
      <c r="U96" s="2">
        <v>-0.25962627041573699</v>
      </c>
      <c r="V96" s="2">
        <v>-0.2580887866054859</v>
      </c>
      <c r="W96" s="2">
        <v>-0.25655117537240962</v>
      </c>
      <c r="X96" s="2">
        <v>-0.25501343670066651</v>
      </c>
      <c r="Y96" s="2">
        <v>-0.2352546052943025</v>
      </c>
      <c r="Z96" s="2">
        <v>-0.21549413612164831</v>
      </c>
      <c r="AA96" s="2">
        <v>-0.19581700377053299</v>
      </c>
      <c r="AB96" s="2">
        <v>-0.64715416085525046</v>
      </c>
      <c r="AC96" s="2">
        <v>-0.63436475736672737</v>
      </c>
      <c r="AD96" s="2">
        <v>-0.62168065422811225</v>
      </c>
      <c r="AE96" s="2">
        <v>-0.60847558986146388</v>
      </c>
      <c r="AF96" s="2">
        <v>-0.5952634165898476</v>
      </c>
      <c r="AG96" s="2">
        <v>-0.1108912213442609</v>
      </c>
      <c r="AH96" s="2">
        <v>-9.1056517745342958E-2</v>
      </c>
      <c r="AI96" s="2">
        <v>-7.1211127566372989E-2</v>
      </c>
      <c r="AJ96" s="2">
        <v>-5.1355042168422668E-2</v>
      </c>
      <c r="AK96" s="2">
        <v>-5.0988688762793159E-2</v>
      </c>
    </row>
    <row r="97" spans="3:37" x14ac:dyDescent="0.25">
      <c r="C97" s="3" t="s">
        <v>48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-1.5318891578384829E-4</v>
      </c>
      <c r="AG97" s="2">
        <v>0</v>
      </c>
      <c r="AH97" s="2">
        <v>0</v>
      </c>
      <c r="AI97" s="2">
        <v>0</v>
      </c>
      <c r="AJ97" s="2">
        <v>0</v>
      </c>
      <c r="AK97" s="2">
        <v>-1.3141494368965149E-4</v>
      </c>
    </row>
    <row r="98" spans="3:37" x14ac:dyDescent="0.25">
      <c r="C98" s="3" t="s">
        <v>74</v>
      </c>
      <c r="D98" s="2">
        <v>-23.014257881598311</v>
      </c>
      <c r="E98" s="2">
        <v>-20.498761019114269</v>
      </c>
      <c r="F98" s="2">
        <v>-20.818542032244906</v>
      </c>
      <c r="G98" s="2">
        <v>-20.96667653464673</v>
      </c>
      <c r="H98" s="2">
        <v>-21.958990207797875</v>
      </c>
      <c r="I98" s="2">
        <v>-22.188267398707804</v>
      </c>
      <c r="J98" s="2">
        <v>-22.826034780977665</v>
      </c>
      <c r="K98" s="2">
        <v>-23.443083713733362</v>
      </c>
      <c r="L98" s="2">
        <v>-24.144840686400876</v>
      </c>
      <c r="M98" s="2">
        <v>-25.545538957510146</v>
      </c>
      <c r="N98" s="2">
        <v>-27.125433634980173</v>
      </c>
      <c r="O98" s="2">
        <v>-25.524785465946234</v>
      </c>
      <c r="P98" s="2">
        <v>-25.866606928187192</v>
      </c>
      <c r="Q98" s="2">
        <v>-26.542900579332098</v>
      </c>
      <c r="R98" s="2">
        <v>-26.31030743441374</v>
      </c>
      <c r="S98" s="2">
        <v>-26.986443653278741</v>
      </c>
      <c r="T98" s="2">
        <v>-26.998818083329379</v>
      </c>
      <c r="U98" s="2">
        <v>-28.370497276095314</v>
      </c>
      <c r="V98" s="2">
        <v>-26.958943358595683</v>
      </c>
      <c r="W98" s="2">
        <v>-26.947872531401135</v>
      </c>
      <c r="X98" s="2">
        <v>-28.250924475485085</v>
      </c>
      <c r="Y98" s="2">
        <v>-28.730875926008316</v>
      </c>
      <c r="Z98" s="2">
        <v>-28.383595434215479</v>
      </c>
      <c r="AA98" s="2">
        <v>-28.228563420727831</v>
      </c>
      <c r="AB98" s="2">
        <v>-29.675837596880211</v>
      </c>
      <c r="AC98" s="2">
        <v>-29.663228610825705</v>
      </c>
      <c r="AD98" s="2">
        <v>-30.133747623313081</v>
      </c>
      <c r="AE98" s="2">
        <v>-31.9322554067111</v>
      </c>
      <c r="AF98" s="2">
        <v>-34.103267023807369</v>
      </c>
      <c r="AG98" s="2">
        <v>-34.566043352433624</v>
      </c>
      <c r="AH98" s="2">
        <v>-33.927420713642803</v>
      </c>
      <c r="AI98" s="2">
        <v>-34.26086301459339</v>
      </c>
      <c r="AJ98" s="2">
        <v>-33.761897059440649</v>
      </c>
      <c r="AK98" s="2">
        <v>-32.36244146745522</v>
      </c>
    </row>
    <row r="104" spans="3:37" x14ac:dyDescent="0.25">
      <c r="C104" s="4" t="s">
        <v>77</v>
      </c>
      <c r="D104" s="4" t="s">
        <v>72</v>
      </c>
    </row>
    <row r="105" spans="3:37" x14ac:dyDescent="0.25">
      <c r="C105" s="4" t="s">
        <v>73</v>
      </c>
      <c r="D105">
        <v>1990</v>
      </c>
      <c r="E105">
        <v>1991</v>
      </c>
      <c r="F105">
        <v>1992</v>
      </c>
      <c r="G105">
        <v>1993</v>
      </c>
      <c r="H105">
        <v>1994</v>
      </c>
      <c r="I105">
        <v>1995</v>
      </c>
      <c r="J105">
        <v>1996</v>
      </c>
      <c r="K105">
        <v>1997</v>
      </c>
      <c r="L105">
        <v>1998</v>
      </c>
      <c r="M105">
        <v>1999</v>
      </c>
      <c r="N105">
        <v>2000</v>
      </c>
      <c r="O105">
        <v>2001</v>
      </c>
      <c r="P105">
        <v>2002</v>
      </c>
      <c r="Q105">
        <v>2003</v>
      </c>
      <c r="R105">
        <v>2004</v>
      </c>
      <c r="S105">
        <v>2005</v>
      </c>
      <c r="T105">
        <v>2006</v>
      </c>
      <c r="U105">
        <v>2007</v>
      </c>
      <c r="V105">
        <v>2008</v>
      </c>
      <c r="W105">
        <v>2009</v>
      </c>
      <c r="X105">
        <v>2010</v>
      </c>
      <c r="Y105">
        <v>2011</v>
      </c>
      <c r="Z105">
        <v>2012</v>
      </c>
      <c r="AA105">
        <v>2013</v>
      </c>
      <c r="AB105">
        <v>2014</v>
      </c>
      <c r="AC105">
        <v>2015</v>
      </c>
      <c r="AD105">
        <v>2016</v>
      </c>
      <c r="AE105">
        <v>2017</v>
      </c>
      <c r="AF105">
        <v>2018</v>
      </c>
      <c r="AG105">
        <v>2019</v>
      </c>
      <c r="AH105">
        <v>2020</v>
      </c>
      <c r="AI105">
        <v>2021</v>
      </c>
      <c r="AJ105">
        <v>2022</v>
      </c>
      <c r="AK105">
        <v>2023</v>
      </c>
    </row>
    <row r="106" spans="3:37" x14ac:dyDescent="0.25">
      <c r="C106" s="3" t="s">
        <v>24</v>
      </c>
      <c r="D106" s="2">
        <v>-6976.4548600137568</v>
      </c>
      <c r="E106" s="2">
        <v>-5109.0566092431063</v>
      </c>
      <c r="F106" s="2">
        <v>-5458.7910400022429</v>
      </c>
      <c r="G106" s="2">
        <v>-5440.9023034183128</v>
      </c>
      <c r="H106" s="2">
        <v>-6351.2919413820646</v>
      </c>
      <c r="I106" s="2">
        <v>-5727.7127938185322</v>
      </c>
      <c r="J106" s="2">
        <v>-6197.4496797667543</v>
      </c>
      <c r="K106" s="2">
        <v>-6089.2939171628586</v>
      </c>
      <c r="L106" s="2">
        <v>-5804.8253685919099</v>
      </c>
      <c r="M106" s="2">
        <v>-5822.7692360040464</v>
      </c>
      <c r="N106" s="2">
        <v>-5486.4917198277817</v>
      </c>
      <c r="O106" s="2">
        <v>-5569.0312672572491</v>
      </c>
      <c r="P106" s="2">
        <v>-6734.1939127144888</v>
      </c>
      <c r="Q106" s="2">
        <v>-7685.4408881082036</v>
      </c>
      <c r="R106" s="2">
        <v>-7452.7406574924762</v>
      </c>
      <c r="S106" s="2">
        <v>-7447.6500135752458</v>
      </c>
      <c r="T106" s="2">
        <v>-8632.370933480719</v>
      </c>
      <c r="U106" s="2">
        <v>-9550.9640401217639</v>
      </c>
      <c r="V106" s="2">
        <v>-9789.2273934519599</v>
      </c>
      <c r="W106" s="2">
        <v>-7661.3277295719863</v>
      </c>
      <c r="X106" s="2">
        <v>-8125.4908498282048</v>
      </c>
      <c r="Y106" s="2">
        <v>-8579.4052377980897</v>
      </c>
      <c r="Z106" s="2">
        <v>-8305.0480243989623</v>
      </c>
      <c r="AA106" s="2">
        <v>-8011.1028853243688</v>
      </c>
      <c r="AB106" s="2">
        <v>-7916.3610662926021</v>
      </c>
      <c r="AC106" s="2">
        <v>-8220.2211404366044</v>
      </c>
      <c r="AD106" s="2">
        <v>-7860.2299365700655</v>
      </c>
      <c r="AE106" s="2">
        <v>-8278.3118462861785</v>
      </c>
      <c r="AF106" s="2">
        <v>-8985.2107494548418</v>
      </c>
      <c r="AG106" s="2">
        <v>-9893.4005584403967</v>
      </c>
      <c r="AH106" s="2">
        <v>-8826.6390608557904</v>
      </c>
      <c r="AI106" s="2">
        <v>-9620.072009815427</v>
      </c>
      <c r="AJ106" s="2">
        <v>-10165.476415536359</v>
      </c>
      <c r="AK106" s="2">
        <v>-10000.194349430611</v>
      </c>
    </row>
    <row r="107" spans="3:37" x14ac:dyDescent="0.25">
      <c r="C107" s="3" t="s">
        <v>25</v>
      </c>
      <c r="D107" s="2">
        <v>-1.411794761834551</v>
      </c>
      <c r="E107" s="2">
        <v>-1.413047572738467</v>
      </c>
      <c r="F107" s="2">
        <v>-1.414696821524617</v>
      </c>
      <c r="G107" s="2">
        <v>-1.415742144566174</v>
      </c>
      <c r="H107" s="2">
        <v>-1.416571713472238</v>
      </c>
      <c r="I107" s="2">
        <v>-1.4172198376084419</v>
      </c>
      <c r="J107" s="2">
        <v>-1.4178762209660081</v>
      </c>
      <c r="K107" s="2">
        <v>-1.4189397274950151</v>
      </c>
      <c r="L107" s="2">
        <v>-1.4206939043655751</v>
      </c>
      <c r="M107" s="2">
        <v>-1.4211225278998521</v>
      </c>
      <c r="N107" s="2">
        <v>-1.42114470033638</v>
      </c>
      <c r="O107" s="2">
        <v>-1.421369118349372</v>
      </c>
      <c r="P107" s="2">
        <v>-1.422070818851257</v>
      </c>
      <c r="Q107" s="2">
        <v>-1.422585398771878</v>
      </c>
      <c r="R107" s="2">
        <v>-1.4229516174112109</v>
      </c>
      <c r="S107" s="2">
        <v>-1.422207358063162</v>
      </c>
      <c r="T107" s="2">
        <v>-1.421831703483478</v>
      </c>
      <c r="U107" s="2">
        <v>-1.4221593011785949</v>
      </c>
      <c r="V107" s="2">
        <v>-1.4231108348253869</v>
      </c>
      <c r="W107" s="2">
        <v>-1.4236535119406091</v>
      </c>
      <c r="X107" s="2">
        <v>-5.7338855571386542</v>
      </c>
      <c r="Y107" s="2">
        <v>-5.733927816282951</v>
      </c>
      <c r="Z107" s="2">
        <v>-5.7338117469511749</v>
      </c>
      <c r="AA107" s="2">
        <v>-5.7336978711619322</v>
      </c>
      <c r="AB107" s="2">
        <v>-5.7338694572399866</v>
      </c>
      <c r="AC107" s="2">
        <v>-5.7336092863695782</v>
      </c>
      <c r="AD107" s="2">
        <v>-5.7340591420177676</v>
      </c>
      <c r="AE107" s="2">
        <v>-5.734041977847335</v>
      </c>
      <c r="AF107" s="2">
        <v>-5.734041977847335</v>
      </c>
      <c r="AG107" s="2">
        <v>-5.7340419778473253</v>
      </c>
      <c r="AH107" s="2">
        <v>-5.7340419778473253</v>
      </c>
      <c r="AI107" s="2">
        <v>-5.7340419778473146</v>
      </c>
      <c r="AJ107" s="2">
        <v>-5.7340419778473253</v>
      </c>
      <c r="AK107" s="2">
        <v>-5.7340419778473164</v>
      </c>
    </row>
    <row r="108" spans="3:37" x14ac:dyDescent="0.25">
      <c r="C108" s="3" t="s">
        <v>26</v>
      </c>
      <c r="D108" s="2">
        <v>-25.634675868865141</v>
      </c>
      <c r="E108" s="2">
        <v>-26.295097432956709</v>
      </c>
      <c r="F108" s="2">
        <v>-26.937082951669879</v>
      </c>
      <c r="G108" s="2">
        <v>-25.278120782908239</v>
      </c>
      <c r="H108" s="2">
        <v>-25.3561234899048</v>
      </c>
      <c r="I108" s="2">
        <v>-24.598756666360899</v>
      </c>
      <c r="J108" s="2">
        <v>-24.53440973289965</v>
      </c>
      <c r="K108" s="2">
        <v>-24.39200845549669</v>
      </c>
      <c r="L108" s="2">
        <v>-24.698070398452838</v>
      </c>
      <c r="M108" s="2">
        <v>-25.442361531584289</v>
      </c>
      <c r="N108" s="2">
        <v>-25.131870019676761</v>
      </c>
      <c r="O108" s="2">
        <v>-24.477136495689908</v>
      </c>
      <c r="P108" s="2">
        <v>-25.04755071896987</v>
      </c>
      <c r="Q108" s="2">
        <v>-24.749294403745441</v>
      </c>
      <c r="R108" s="2">
        <v>-24.74831583115472</v>
      </c>
      <c r="S108" s="2">
        <v>-25.511626213572079</v>
      </c>
      <c r="T108" s="2">
        <v>-25.166753897179699</v>
      </c>
      <c r="U108" s="2">
        <v>-26.06984100076486</v>
      </c>
      <c r="V108" s="2">
        <v>-29.852202310091251</v>
      </c>
      <c r="W108" s="2">
        <v>-24.482054099330512</v>
      </c>
      <c r="X108" s="2">
        <v>-25.94851770808652</v>
      </c>
      <c r="Y108" s="2">
        <v>-24.622241141956561</v>
      </c>
      <c r="Z108" s="2">
        <v>-25.475623377781648</v>
      </c>
      <c r="AA108" s="2">
        <v>-27.114711824894069</v>
      </c>
      <c r="AB108" s="2">
        <v>-24.79395234693072</v>
      </c>
      <c r="AC108" s="2">
        <v>-28.048543177677011</v>
      </c>
      <c r="AD108" s="2">
        <v>-27.157420962152511</v>
      </c>
      <c r="AE108" s="2">
        <v>-27.370987388613528</v>
      </c>
      <c r="AF108" s="2">
        <v>-24.785298950318118</v>
      </c>
      <c r="AG108" s="2">
        <v>-28.605294310150281</v>
      </c>
      <c r="AH108" s="2">
        <v>-25.4778544847094</v>
      </c>
      <c r="AI108" s="2">
        <v>-14.304394222594469</v>
      </c>
      <c r="AJ108" s="2">
        <v>-42.500601463385998</v>
      </c>
      <c r="AK108" s="2">
        <v>-76.453976869873614</v>
      </c>
    </row>
    <row r="109" spans="3:37" x14ac:dyDescent="0.25">
      <c r="C109" s="3" t="s">
        <v>27</v>
      </c>
      <c r="D109" s="2">
        <v>-3063.86154562</v>
      </c>
      <c r="E109" s="2">
        <v>-2384.36338897</v>
      </c>
      <c r="F109" s="2">
        <v>-2371.5054526150002</v>
      </c>
      <c r="G109" s="2">
        <v>-2331.3513449850002</v>
      </c>
      <c r="H109" s="2">
        <v>-2437.17078528</v>
      </c>
      <c r="I109" s="2">
        <v>-2477.4694118150001</v>
      </c>
      <c r="J109" s="2">
        <v>-2496.480981445</v>
      </c>
      <c r="K109" s="2">
        <v>-2661.9352142849998</v>
      </c>
      <c r="L109" s="2">
        <v>-2876.1587681699998</v>
      </c>
      <c r="M109" s="2">
        <v>-2821.6772785849998</v>
      </c>
      <c r="N109" s="2">
        <v>-4724.0282698599995</v>
      </c>
      <c r="O109" s="2">
        <v>-3183.2988719949999</v>
      </c>
      <c r="P109" s="2">
        <v>-2709.26899843</v>
      </c>
      <c r="Q109" s="2">
        <v>-2945.1848944499998</v>
      </c>
      <c r="R109" s="2">
        <v>-2966.1726912150002</v>
      </c>
      <c r="S109" s="2">
        <v>-3048.10267217</v>
      </c>
      <c r="T109" s="2">
        <v>-3326.1056581600001</v>
      </c>
      <c r="U109" s="2">
        <v>-3324.1303518549998</v>
      </c>
      <c r="V109" s="2">
        <v>-3126.8624362649998</v>
      </c>
      <c r="W109" s="2">
        <v>-2948.2093175499999</v>
      </c>
      <c r="X109" s="2">
        <v>-3072.580172240001</v>
      </c>
      <c r="Y109" s="2">
        <v>-3051.7771101650001</v>
      </c>
      <c r="Z109" s="2">
        <v>-2854.076542155</v>
      </c>
      <c r="AA109" s="2">
        <v>-2917.5522974199998</v>
      </c>
      <c r="AB109" s="2">
        <v>-2986.3791825099988</v>
      </c>
      <c r="AC109" s="2">
        <v>-2815.3449165500001</v>
      </c>
      <c r="AD109" s="2">
        <v>-2774.1695938950002</v>
      </c>
      <c r="AE109" s="2">
        <v>-2886.37245149</v>
      </c>
      <c r="AF109" s="2">
        <v>-3342.3243481899999</v>
      </c>
      <c r="AG109" s="2">
        <v>-3080.1291197700002</v>
      </c>
      <c r="AH109" s="2">
        <v>-3155.5930671350002</v>
      </c>
      <c r="AI109" s="2">
        <v>-3257.9511344099992</v>
      </c>
      <c r="AJ109" s="2">
        <v>-3362.11677199</v>
      </c>
      <c r="AK109" s="2">
        <v>-3237.7261531899999</v>
      </c>
    </row>
    <row r="110" spans="3:37" x14ac:dyDescent="0.25">
      <c r="C110" s="3" t="s">
        <v>28</v>
      </c>
      <c r="D110" s="2">
        <v>-4724.3547836570024</v>
      </c>
      <c r="E110" s="2">
        <v>-3844.9856398398229</v>
      </c>
      <c r="F110" s="2">
        <v>-3577.8405922046591</v>
      </c>
      <c r="G110" s="2">
        <v>-3584.5240578915168</v>
      </c>
      <c r="H110" s="2">
        <v>-4167.7518289420714</v>
      </c>
      <c r="I110" s="2">
        <v>-4390.3166097194726</v>
      </c>
      <c r="J110" s="2">
        <v>-4457.4796743253992</v>
      </c>
      <c r="K110" s="2">
        <v>-4850.7673820161936</v>
      </c>
      <c r="L110" s="2">
        <v>-4920.5491211209619</v>
      </c>
      <c r="M110" s="2">
        <v>-5012.9453159711866</v>
      </c>
      <c r="N110" s="2">
        <v>-5111.582328892785</v>
      </c>
      <c r="O110" s="2">
        <v>-5066.3884870945776</v>
      </c>
      <c r="P110" s="2">
        <v>-5086.1845205139407</v>
      </c>
      <c r="Q110" s="2">
        <v>-5253.5452545666694</v>
      </c>
      <c r="R110" s="2">
        <v>-5409.5567479299834</v>
      </c>
      <c r="S110" s="2">
        <v>-5364.2177291173293</v>
      </c>
      <c r="T110" s="2">
        <v>-6106.741695496059</v>
      </c>
      <c r="U110" s="2">
        <v>-6345.3641136319638</v>
      </c>
      <c r="V110" s="2">
        <v>-5564.8186953791464</v>
      </c>
      <c r="W110" s="2">
        <v>-5328.496587323918</v>
      </c>
      <c r="X110" s="2">
        <v>-5752.2401152698831</v>
      </c>
      <c r="Y110" s="2">
        <v>-5215.8012740004506</v>
      </c>
      <c r="Z110" s="2">
        <v>-5164.2700055143696</v>
      </c>
      <c r="AA110" s="2">
        <v>-5243.9099685692127</v>
      </c>
      <c r="AB110" s="2">
        <v>-5276.9639692470801</v>
      </c>
      <c r="AC110" s="2">
        <v>-5487.8975288513038</v>
      </c>
      <c r="AD110" s="2">
        <v>-5928.3751360850792</v>
      </c>
      <c r="AE110" s="2">
        <v>-6493.0150615574366</v>
      </c>
      <c r="AF110" s="2">
        <v>-8550.6534970517296</v>
      </c>
      <c r="AG110" s="2">
        <v>-10742.255227866521</v>
      </c>
      <c r="AH110" s="2">
        <v>-11684.01965798675</v>
      </c>
      <c r="AI110" s="2">
        <v>-9932.9095914150403</v>
      </c>
      <c r="AJ110" s="2">
        <v>-8370.8170025374748</v>
      </c>
      <c r="AK110" s="2">
        <v>-6256.899484158037</v>
      </c>
    </row>
    <row r="111" spans="3:37" x14ac:dyDescent="0.25">
      <c r="C111" s="3" t="s">
        <v>29</v>
      </c>
      <c r="D111" s="2">
        <v>-294.8715388</v>
      </c>
      <c r="E111" s="2">
        <v>-290.94526148</v>
      </c>
      <c r="F111" s="2">
        <v>-292.51961167000002</v>
      </c>
      <c r="G111" s="2">
        <v>-296.28431511999997</v>
      </c>
      <c r="H111" s="2">
        <v>-294.35745718999999</v>
      </c>
      <c r="I111" s="2">
        <v>-297.28738055999997</v>
      </c>
      <c r="J111" s="2">
        <v>-296.70434673</v>
      </c>
      <c r="K111" s="2">
        <v>-296.89926000000003</v>
      </c>
      <c r="L111" s="2">
        <v>-296.64174035999997</v>
      </c>
      <c r="M111" s="2">
        <v>-295.16098763999997</v>
      </c>
      <c r="N111" s="2">
        <v>-297.08535060999998</v>
      </c>
      <c r="O111" s="2">
        <v>-310.45120682999999</v>
      </c>
      <c r="P111" s="2">
        <v>-312.12671415</v>
      </c>
      <c r="Q111" s="2">
        <v>-307.77881694000001</v>
      </c>
      <c r="R111" s="2">
        <v>-312.28116491999998</v>
      </c>
      <c r="S111" s="2">
        <v>-313.31624241999992</v>
      </c>
      <c r="T111" s="2">
        <v>-259.12916439999998</v>
      </c>
      <c r="U111" s="2">
        <v>-265.89251509000002</v>
      </c>
      <c r="V111" s="2">
        <v>-275.34540057999999</v>
      </c>
      <c r="W111" s="2">
        <v>-291.86754474999998</v>
      </c>
      <c r="X111" s="2">
        <v>-305.85415446000002</v>
      </c>
      <c r="Y111" s="2">
        <v>-214.70527250999999</v>
      </c>
      <c r="Z111" s="2">
        <v>-232.75347556</v>
      </c>
      <c r="AA111" s="2">
        <v>-246.87461052</v>
      </c>
      <c r="AB111" s="2">
        <v>-254.01623332</v>
      </c>
      <c r="AC111" s="2">
        <v>-265.71935021000002</v>
      </c>
      <c r="AD111" s="2">
        <v>-479.87628609000001</v>
      </c>
      <c r="AE111" s="2">
        <v>-496.26615978000001</v>
      </c>
      <c r="AF111" s="2">
        <v>-9157.0421376400009</v>
      </c>
      <c r="AG111" s="2">
        <v>-8909.3781646799998</v>
      </c>
      <c r="AH111" s="2">
        <v>-9910.8937346799994</v>
      </c>
      <c r="AI111" s="2">
        <v>-9051.0438842999993</v>
      </c>
      <c r="AJ111" s="2">
        <v>-8717.5974801499997</v>
      </c>
      <c r="AK111" s="2">
        <v>-7233.33318805</v>
      </c>
    </row>
    <row r="112" spans="3:37" x14ac:dyDescent="0.25">
      <c r="C112" s="3" t="s">
        <v>30</v>
      </c>
      <c r="D112" s="2">
        <v>-30.095466856200002</v>
      </c>
      <c r="E112" s="2">
        <v>-17.843677129585</v>
      </c>
      <c r="F112" s="2">
        <v>-17.836723129585</v>
      </c>
      <c r="G112" s="2">
        <v>-17.829769129584999</v>
      </c>
      <c r="H112" s="2">
        <v>-17.343616129585001</v>
      </c>
      <c r="I112" s="2">
        <v>-16.284584624585001</v>
      </c>
      <c r="J112" s="2">
        <v>-16.284584624585001</v>
      </c>
      <c r="K112" s="2">
        <v>-16.284584624585001</v>
      </c>
      <c r="L112" s="2">
        <v>-16.284584624585001</v>
      </c>
      <c r="M112" s="2">
        <v>-16.284584624585001</v>
      </c>
      <c r="N112" s="2">
        <v>-16.383758178284999</v>
      </c>
      <c r="O112" s="2">
        <v>-16.383758178284999</v>
      </c>
      <c r="P112" s="2">
        <v>-16.383758178284999</v>
      </c>
      <c r="Q112" s="2">
        <v>-16.383758178284999</v>
      </c>
      <c r="R112" s="2">
        <v>-16.383758178284999</v>
      </c>
      <c r="S112" s="2">
        <v>-17.049705321585002</v>
      </c>
      <c r="T112" s="2">
        <v>-23.22414459935333</v>
      </c>
      <c r="U112" s="2">
        <v>-28.713532128353329</v>
      </c>
      <c r="V112" s="2">
        <v>-34.202919657353327</v>
      </c>
      <c r="W112" s="2">
        <v>-39.692307186353332</v>
      </c>
      <c r="X112" s="2">
        <v>-44.515747572353327</v>
      </c>
      <c r="Y112" s="2">
        <v>-44.515747572353327</v>
      </c>
      <c r="Z112" s="2">
        <v>-49.54788888142</v>
      </c>
      <c r="AA112" s="2">
        <v>-41.958319346499998</v>
      </c>
      <c r="AB112" s="2">
        <v>-39.173276961029998</v>
      </c>
      <c r="AC112" s="2">
        <v>-47.220122893150013</v>
      </c>
      <c r="AD112" s="2">
        <v>-44.136253433379999</v>
      </c>
      <c r="AE112" s="2">
        <v>-42.029576038024999</v>
      </c>
      <c r="AF112" s="2">
        <v>-43.563264420229999</v>
      </c>
      <c r="AG112" s="2">
        <v>-40.491534935479997</v>
      </c>
      <c r="AH112" s="2">
        <v>-46.631226175480002</v>
      </c>
      <c r="AI112" s="2">
        <v>-53.388978712579998</v>
      </c>
      <c r="AJ112" s="2">
        <v>-44.300126330579999</v>
      </c>
      <c r="AK112" s="2">
        <v>-48.365678146999997</v>
      </c>
    </row>
    <row r="113" spans="3:37" x14ac:dyDescent="0.25">
      <c r="C113" s="3" t="s">
        <v>31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</row>
    <row r="114" spans="3:37" x14ac:dyDescent="0.25">
      <c r="C114" s="3" t="s">
        <v>32</v>
      </c>
      <c r="D114" s="2">
        <v>-192.72315134179371</v>
      </c>
      <c r="E114" s="2">
        <v>-243.0195178106664</v>
      </c>
      <c r="F114" s="2">
        <v>-306.44209388309991</v>
      </c>
      <c r="G114" s="2">
        <v>-386.41652221785853</v>
      </c>
      <c r="H114" s="2">
        <v>-487.26246042394467</v>
      </c>
      <c r="I114" s="2">
        <v>-614.42689866283229</v>
      </c>
      <c r="J114" s="2">
        <v>-774.77836784710109</v>
      </c>
      <c r="K114" s="2">
        <v>-976.9779294985309</v>
      </c>
      <c r="L114" s="2">
        <v>-1231.946985535352</v>
      </c>
      <c r="M114" s="2">
        <v>-1553.457175791732</v>
      </c>
      <c r="N114" s="2">
        <v>-1958.874225395452</v>
      </c>
      <c r="O114" s="2">
        <v>-2470.09591942113</v>
      </c>
      <c r="P114" s="2">
        <v>-3114.7348676299971</v>
      </c>
      <c r="Q114" s="2">
        <v>-2567.2550002726548</v>
      </c>
      <c r="R114" s="2">
        <v>-2376.527231894986</v>
      </c>
      <c r="S114" s="2">
        <v>-1870.7274290486389</v>
      </c>
      <c r="T114" s="2">
        <v>-1540.749717366228</v>
      </c>
      <c r="U114" s="2">
        <v>-1280.654835311735</v>
      </c>
      <c r="V114" s="2">
        <v>-1282.2183732463429</v>
      </c>
      <c r="W114" s="2">
        <v>-1278.8175715231009</v>
      </c>
      <c r="X114" s="2">
        <v>-1754.9008115424169</v>
      </c>
      <c r="Y114" s="2">
        <v>-2495.8332180327652</v>
      </c>
      <c r="Z114" s="2">
        <v>-2719.496924962099</v>
      </c>
      <c r="AA114" s="2">
        <v>-2939.247569539983</v>
      </c>
      <c r="AB114" s="2">
        <v>-2904.269113542216</v>
      </c>
      <c r="AC114" s="2">
        <v>-2960.050711863274</v>
      </c>
      <c r="AD114" s="2">
        <v>-3060.7933109248502</v>
      </c>
      <c r="AE114" s="2">
        <v>-3180.7886990675288</v>
      </c>
      <c r="AF114" s="2">
        <v>-3573.864771967334</v>
      </c>
      <c r="AG114" s="2">
        <v>-3499.4485907936669</v>
      </c>
      <c r="AH114" s="2">
        <v>-2946.139434102447</v>
      </c>
      <c r="AI114" s="2">
        <v>-2866.164377878265</v>
      </c>
      <c r="AJ114" s="2">
        <v>-2657.7288983723602</v>
      </c>
      <c r="AK114" s="2">
        <v>-3124.0438777993909</v>
      </c>
    </row>
    <row r="115" spans="3:37" x14ac:dyDescent="0.25">
      <c r="C115" s="3" t="s">
        <v>33</v>
      </c>
      <c r="D115" s="2">
        <v>-20331.181</v>
      </c>
      <c r="E115" s="2">
        <v>-16569.37</v>
      </c>
      <c r="F115" s="2">
        <v>-18750.891</v>
      </c>
      <c r="G115" s="2">
        <v>-19735.591</v>
      </c>
      <c r="H115" s="2">
        <v>-22493.893</v>
      </c>
      <c r="I115" s="2">
        <v>-23185.588</v>
      </c>
      <c r="J115" s="2">
        <v>-21441.603999999999</v>
      </c>
      <c r="K115" s="2">
        <v>-23989.691999999999</v>
      </c>
      <c r="L115" s="2">
        <v>-25139.687000000002</v>
      </c>
      <c r="M115" s="2">
        <v>-25501.02</v>
      </c>
      <c r="N115" s="2">
        <v>-26105.974999999999</v>
      </c>
      <c r="O115" s="2">
        <v>-25397.377</v>
      </c>
      <c r="P115" s="2">
        <v>-25706.742999999999</v>
      </c>
      <c r="Q115" s="2">
        <v>-25997.241000000002</v>
      </c>
      <c r="R115" s="2">
        <v>-25986.260999999999</v>
      </c>
      <c r="S115" s="2">
        <v>-25145.595000000001</v>
      </c>
      <c r="T115" s="2">
        <v>-24466.9</v>
      </c>
      <c r="U115" s="2">
        <v>-27203.93</v>
      </c>
      <c r="V115" s="2">
        <v>-25452.438999999998</v>
      </c>
      <c r="W115" s="2">
        <v>-21465.821</v>
      </c>
      <c r="X115" s="2">
        <v>-25791.516</v>
      </c>
      <c r="Y115" s="2">
        <v>-26013.351999999999</v>
      </c>
      <c r="Z115" s="2">
        <v>-25681.023000000001</v>
      </c>
      <c r="AA115" s="2">
        <v>-27886.781999999999</v>
      </c>
      <c r="AB115" s="2">
        <v>-27805.458999999999</v>
      </c>
      <c r="AC115" s="2">
        <v>-28829.708999999999</v>
      </c>
      <c r="AD115" s="2">
        <v>-29628.847000000002</v>
      </c>
      <c r="AE115" s="2">
        <v>-30243.723999999998</v>
      </c>
      <c r="AF115" s="2">
        <v>-32256.871999999999</v>
      </c>
      <c r="AG115" s="2">
        <v>-30211.734</v>
      </c>
      <c r="AH115" s="2">
        <v>-28667.498</v>
      </c>
      <c r="AI115" s="2">
        <v>-31554.488000000001</v>
      </c>
      <c r="AJ115" s="2">
        <v>-31099.381000000001</v>
      </c>
      <c r="AK115" s="2">
        <v>-30172.134999999998</v>
      </c>
    </row>
    <row r="116" spans="3:37" x14ac:dyDescent="0.25">
      <c r="C116" s="3" t="s">
        <v>34</v>
      </c>
      <c r="D116" s="2">
        <v>-24735.10918792204</v>
      </c>
      <c r="E116" s="2">
        <v>-26318.260103669301</v>
      </c>
      <c r="F116" s="2">
        <v>-26619.54828252878</v>
      </c>
      <c r="G116" s="2">
        <v>-25744.014722543761</v>
      </c>
      <c r="H116" s="2">
        <v>-26033.150273893731</v>
      </c>
      <c r="I116" s="2">
        <v>-25895.697167546481</v>
      </c>
      <c r="J116" s="2">
        <v>-24437.38316640606</v>
      </c>
      <c r="K116" s="2">
        <v>-24938.157074083141</v>
      </c>
      <c r="L116" s="2">
        <v>-25010.97640104228</v>
      </c>
      <c r="M116" s="2">
        <v>-42592.330752478359</v>
      </c>
      <c r="N116" s="2">
        <v>-28328.597006983629</v>
      </c>
      <c r="O116" s="2">
        <v>-25577.522265873569</v>
      </c>
      <c r="P116" s="2">
        <v>-23261.10512267872</v>
      </c>
      <c r="Q116" s="2">
        <v>-22406.136823148041</v>
      </c>
      <c r="R116" s="2">
        <v>-22711.187619113429</v>
      </c>
      <c r="S116" s="2">
        <v>-22895.956442884559</v>
      </c>
      <c r="T116" s="2">
        <v>-22924.187434543179</v>
      </c>
      <c r="U116" s="2">
        <v>-23121.112739165801</v>
      </c>
      <c r="V116" s="2">
        <v>-22506.825225329139</v>
      </c>
      <c r="W116" s="2">
        <v>-29483.017765292159</v>
      </c>
      <c r="X116" s="2">
        <v>-24684.295247147271</v>
      </c>
      <c r="Y116" s="2">
        <v>-24119.074777164511</v>
      </c>
      <c r="Z116" s="2">
        <v>-23152.844087670961</v>
      </c>
      <c r="AA116" s="2">
        <v>-22949.888915343709</v>
      </c>
      <c r="AB116" s="2">
        <v>-24241.559482196539</v>
      </c>
      <c r="AC116" s="2">
        <v>-24917.274367547328</v>
      </c>
      <c r="AD116" s="2">
        <v>-26558.8740142844</v>
      </c>
      <c r="AE116" s="2">
        <v>-28709.15891039183</v>
      </c>
      <c r="AF116" s="2">
        <v>-30478.022518611891</v>
      </c>
      <c r="AG116" s="2">
        <v>-31832.485989665402</v>
      </c>
      <c r="AH116" s="2">
        <v>-31995.1730034012</v>
      </c>
      <c r="AI116" s="2">
        <v>-33391.020320665142</v>
      </c>
      <c r="AJ116" s="2">
        <v>-32803.535926270997</v>
      </c>
      <c r="AK116" s="2">
        <v>-32286.270287967989</v>
      </c>
    </row>
    <row r="117" spans="3:37" x14ac:dyDescent="0.25">
      <c r="C117" s="3" t="s">
        <v>35</v>
      </c>
      <c r="D117" s="2">
        <v>-8257.5457332084225</v>
      </c>
      <c r="E117" s="2">
        <v>-8383.5547215568931</v>
      </c>
      <c r="F117" s="2">
        <v>-8578.040740583132</v>
      </c>
      <c r="G117" s="2">
        <v>-8785.919170917914</v>
      </c>
      <c r="H117" s="2">
        <v>-9153.5309285138537</v>
      </c>
      <c r="I117" s="2">
        <v>-9362.2294887300231</v>
      </c>
      <c r="J117" s="2">
        <v>-9510.4106763106174</v>
      </c>
      <c r="K117" s="2">
        <v>-9760.9819993417186</v>
      </c>
      <c r="L117" s="2">
        <v>-9898.4441266156173</v>
      </c>
      <c r="M117" s="2">
        <v>-10190.168258997021</v>
      </c>
      <c r="N117" s="2">
        <v>-10379.099664912361</v>
      </c>
      <c r="O117" s="2">
        <v>-10427.340958535669</v>
      </c>
      <c r="P117" s="2">
        <v>-10583.867819722351</v>
      </c>
      <c r="Q117" s="2">
        <v>-10809.092583070091</v>
      </c>
      <c r="R117" s="2">
        <v>-10905.725992289161</v>
      </c>
      <c r="S117" s="2">
        <v>-11047.400382689881</v>
      </c>
      <c r="T117" s="2">
        <v>-11208.060538077511</v>
      </c>
      <c r="U117" s="2">
        <v>-11461.998214987911</v>
      </c>
      <c r="V117" s="2">
        <v>-11454.179661551299</v>
      </c>
      <c r="W117" s="2">
        <v>-11706.190823254619</v>
      </c>
      <c r="X117" s="2">
        <v>-12005.758934246091</v>
      </c>
      <c r="Y117" s="2">
        <v>-12321.297571439971</v>
      </c>
      <c r="Z117" s="2">
        <v>-12802.625259489259</v>
      </c>
      <c r="AA117" s="2">
        <v>-12827.09197091555</v>
      </c>
      <c r="AB117" s="2">
        <v>-12985.790530425749</v>
      </c>
      <c r="AC117" s="2">
        <v>-13222.27248885524</v>
      </c>
      <c r="AD117" s="2">
        <v>-13201.98782990753</v>
      </c>
      <c r="AE117" s="2">
        <v>-13285.02391747386</v>
      </c>
      <c r="AF117" s="2">
        <v>-13378.44388397389</v>
      </c>
      <c r="AG117" s="2">
        <v>-13519.08026160613</v>
      </c>
      <c r="AH117" s="2">
        <v>-13656.44144069162</v>
      </c>
      <c r="AI117" s="2">
        <v>-13824.166394886561</v>
      </c>
      <c r="AJ117" s="2">
        <v>-13995.602306416689</v>
      </c>
      <c r="AK117" s="2">
        <v>-14180.268294658321</v>
      </c>
    </row>
    <row r="118" spans="3:37" x14ac:dyDescent="0.25">
      <c r="C118" s="3" t="s">
        <v>36</v>
      </c>
      <c r="D118" s="2">
        <v>0</v>
      </c>
      <c r="E118" s="2">
        <v>0</v>
      </c>
      <c r="F118" s="2">
        <v>0</v>
      </c>
      <c r="G118" s="2">
        <v>0</v>
      </c>
      <c r="H118" s="2">
        <v>-3.1527433092598498</v>
      </c>
      <c r="I118" s="2">
        <v>-6.76965297150495</v>
      </c>
      <c r="J118" s="2">
        <v>-12.030674342977999</v>
      </c>
      <c r="K118" s="2">
        <v>-20.895790271813901</v>
      </c>
      <c r="L118" s="2">
        <v>-22.662465935749029</v>
      </c>
      <c r="M118" s="2">
        <v>-23.892209928496388</v>
      </c>
      <c r="N118" s="2">
        <v>-37.479032086186884</v>
      </c>
      <c r="O118" s="2">
        <v>-36.104621891014268</v>
      </c>
      <c r="P118" s="2">
        <v>-29.91287292353211</v>
      </c>
      <c r="Q118" s="2">
        <v>-41.106560616118408</v>
      </c>
      <c r="R118" s="2">
        <v>-46.336040243836727</v>
      </c>
      <c r="S118" s="2">
        <v>-43.011039515906042</v>
      </c>
      <c r="T118" s="2">
        <v>-45.984241249650623</v>
      </c>
      <c r="U118" s="2">
        <v>-75.446961523971225</v>
      </c>
      <c r="V118" s="2">
        <v>-54.044227762793717</v>
      </c>
      <c r="W118" s="2">
        <v>-50.5964108399628</v>
      </c>
      <c r="X118" s="2">
        <v>-41.732732948559658</v>
      </c>
      <c r="Y118" s="2">
        <v>-46.265713524013108</v>
      </c>
      <c r="Z118" s="2">
        <v>-47.402328667999441</v>
      </c>
      <c r="AA118" s="2">
        <v>-42.145498564701633</v>
      </c>
      <c r="AB118" s="2">
        <v>-36.259772061233249</v>
      </c>
      <c r="AC118" s="2">
        <v>-37.5962831216887</v>
      </c>
      <c r="AD118" s="2">
        <v>-30.537315593604468</v>
      </c>
      <c r="AE118" s="2">
        <v>-32.570024837312332</v>
      </c>
      <c r="AF118" s="2">
        <v>-29.892177326994769</v>
      </c>
      <c r="AG118" s="2">
        <v>-16.202706145511549</v>
      </c>
      <c r="AH118" s="2">
        <v>-14.0073631942868</v>
      </c>
      <c r="AI118" s="2">
        <v>-12.754241223223371</v>
      </c>
      <c r="AJ118" s="2">
        <v>-11.649236620294939</v>
      </c>
      <c r="AK118" s="2">
        <v>-8.4508246697609462</v>
      </c>
    </row>
    <row r="119" spans="3:37" x14ac:dyDescent="0.25">
      <c r="C119" s="3" t="s">
        <v>37</v>
      </c>
      <c r="D119" s="2">
        <v>-1821.8306468300491</v>
      </c>
      <c r="E119" s="2">
        <v>-1393.3692189830299</v>
      </c>
      <c r="F119" s="2">
        <v>-1337.640432630209</v>
      </c>
      <c r="G119" s="2">
        <v>-1301.0889882548699</v>
      </c>
      <c r="H119" s="2">
        <v>-1387.1663546710499</v>
      </c>
      <c r="I119" s="2">
        <v>-1308.8080385234621</v>
      </c>
      <c r="J119" s="2">
        <v>-1397.59583999397</v>
      </c>
      <c r="K119" s="2">
        <v>-1564.12608157508</v>
      </c>
      <c r="L119" s="2">
        <v>-1588.7655340555721</v>
      </c>
      <c r="M119" s="2">
        <v>-1576.9508120491059</v>
      </c>
      <c r="N119" s="2">
        <v>-1669.533528281898</v>
      </c>
      <c r="O119" s="2">
        <v>-1685.875590404683</v>
      </c>
      <c r="P119" s="2">
        <v>-1678.434199054107</v>
      </c>
      <c r="Q119" s="2">
        <v>-1774.5980607186821</v>
      </c>
      <c r="R119" s="2">
        <v>-1849.8434766139981</v>
      </c>
      <c r="S119" s="2">
        <v>-1856.869189729447</v>
      </c>
      <c r="T119" s="2">
        <v>-1919.50190159627</v>
      </c>
      <c r="U119" s="2">
        <v>-2047.8128850546329</v>
      </c>
      <c r="V119" s="2">
        <v>-2062.4653440610759</v>
      </c>
      <c r="W119" s="2">
        <v>-1962.3097195767859</v>
      </c>
      <c r="X119" s="2">
        <v>-2005.023824000584</v>
      </c>
      <c r="Y119" s="2">
        <v>-2272.308833224105</v>
      </c>
      <c r="Z119" s="2">
        <v>-2305.6053076811809</v>
      </c>
      <c r="AA119" s="2">
        <v>-2294.4128185480399</v>
      </c>
      <c r="AB119" s="2">
        <v>-2369.1457257958659</v>
      </c>
      <c r="AC119" s="2">
        <v>-2454.5268736832181</v>
      </c>
      <c r="AD119" s="2">
        <v>-2484.7228359584578</v>
      </c>
      <c r="AE119" s="2">
        <v>-2572.2426890108982</v>
      </c>
      <c r="AF119" s="2">
        <v>-2619.1882027929878</v>
      </c>
      <c r="AG119" s="2">
        <v>-2574.377875001926</v>
      </c>
      <c r="AH119" s="2">
        <v>-2485.2720800604252</v>
      </c>
      <c r="AI119" s="2">
        <v>-2536.7175495551119</v>
      </c>
      <c r="AJ119" s="2">
        <v>-2595.0601393120419</v>
      </c>
      <c r="AK119" s="2">
        <v>-2548.9495231901328</v>
      </c>
    </row>
    <row r="120" spans="3:37" x14ac:dyDescent="0.25">
      <c r="C120" s="3" t="s">
        <v>38</v>
      </c>
      <c r="D120" s="2">
        <v>-1962.1270465113651</v>
      </c>
      <c r="E120" s="2">
        <v>-1986.901421552692</v>
      </c>
      <c r="F120" s="2">
        <v>-2228.841648676661</v>
      </c>
      <c r="G120" s="2">
        <v>-2137.6184295351059</v>
      </c>
      <c r="H120" s="2">
        <v>-2310.9304439096099</v>
      </c>
      <c r="I120" s="2">
        <v>-2459.7295821304178</v>
      </c>
      <c r="J120" s="2">
        <v>-2564.2171063809742</v>
      </c>
      <c r="K120" s="2">
        <v>-2383.6184356392368</v>
      </c>
      <c r="L120" s="2">
        <v>-2658.822245178771</v>
      </c>
      <c r="M120" s="2">
        <v>-2777.4149234272022</v>
      </c>
      <c r="N120" s="2">
        <v>-3079.0877080876298</v>
      </c>
      <c r="O120" s="2">
        <v>-3206.205362684987</v>
      </c>
      <c r="P120" s="2">
        <v>-3339.0858540378172</v>
      </c>
      <c r="Q120" s="2">
        <v>-3292.566260141502</v>
      </c>
      <c r="R120" s="2">
        <v>-3149.400782074526</v>
      </c>
      <c r="S120" s="2">
        <v>-3405.5892274621078</v>
      </c>
      <c r="T120" s="2">
        <v>-3221.3725116246578</v>
      </c>
      <c r="U120" s="2">
        <v>-3469.9519099058921</v>
      </c>
      <c r="V120" s="2">
        <v>-3285.440705850307</v>
      </c>
      <c r="W120" s="2">
        <v>-3497.6617133734799</v>
      </c>
      <c r="X120" s="2">
        <v>-3736.671520132842</v>
      </c>
      <c r="Y120" s="2">
        <v>-3783.4109357776169</v>
      </c>
      <c r="Z120" s="2">
        <v>-3800.2755136368442</v>
      </c>
      <c r="AA120" s="2">
        <v>-3835.7508989023509</v>
      </c>
      <c r="AB120" s="2">
        <v>-4123.7036329577577</v>
      </c>
      <c r="AC120" s="2">
        <v>-4023.6595783157218</v>
      </c>
      <c r="AD120" s="2">
        <v>-4172.8851582802135</v>
      </c>
      <c r="AE120" s="2">
        <v>-4750.9180111185124</v>
      </c>
      <c r="AF120" s="2">
        <v>-4785.8622230266228</v>
      </c>
      <c r="AG120" s="2">
        <v>-4985.1391566324992</v>
      </c>
      <c r="AH120" s="2">
        <v>-4848.3587821340934</v>
      </c>
      <c r="AI120" s="2">
        <v>-5132.9417228486927</v>
      </c>
      <c r="AJ120" s="2">
        <v>-4987.5144831588532</v>
      </c>
      <c r="AK120" s="2">
        <v>-5064.8598497494004</v>
      </c>
    </row>
    <row r="121" spans="3:37" x14ac:dyDescent="0.25">
      <c r="C121" s="3" t="s">
        <v>39</v>
      </c>
      <c r="D121" s="2">
        <v>-14587.115537893569</v>
      </c>
      <c r="E121" s="2">
        <v>-11634.881175052231</v>
      </c>
      <c r="F121" s="2">
        <v>-12225.637397050299</v>
      </c>
      <c r="G121" s="2">
        <v>-15184.80057564551</v>
      </c>
      <c r="H121" s="2">
        <v>-12651.65449186934</v>
      </c>
      <c r="I121" s="2">
        <v>-12066.17799221819</v>
      </c>
      <c r="J121" s="2">
        <v>-12348.25498204171</v>
      </c>
      <c r="K121" s="2">
        <v>-14551.079113968441</v>
      </c>
      <c r="L121" s="2">
        <v>-15129.083329224421</v>
      </c>
      <c r="M121" s="2">
        <v>-13880.34726859094</v>
      </c>
      <c r="N121" s="2">
        <v>-14314.069306822919</v>
      </c>
      <c r="O121" s="2">
        <v>-12954.423703856961</v>
      </c>
      <c r="P121" s="2">
        <v>-12212.456542937911</v>
      </c>
      <c r="Q121" s="2">
        <v>-14025.474847716659</v>
      </c>
      <c r="R121" s="2">
        <v>-13048.090812638809</v>
      </c>
      <c r="S121" s="2">
        <v>-12976.648900493359</v>
      </c>
      <c r="T121" s="2">
        <v>-13111.634632459831</v>
      </c>
      <c r="U121" s="2">
        <v>-17371.768009242489</v>
      </c>
      <c r="V121" s="2">
        <v>-14107.0907660007</v>
      </c>
      <c r="W121" s="2">
        <v>-13656.006862375491</v>
      </c>
      <c r="X121" s="2">
        <v>-12945.045514943489</v>
      </c>
      <c r="Y121" s="2">
        <v>-13920.722044968281</v>
      </c>
      <c r="Z121" s="2">
        <v>-15238.3776864997</v>
      </c>
      <c r="AA121" s="2">
        <v>-12592.449722994001</v>
      </c>
      <c r="AB121" s="2">
        <v>-12408.40805915196</v>
      </c>
      <c r="AC121" s="2">
        <v>-12297.886082450321</v>
      </c>
      <c r="AD121" s="2">
        <v>-12638.515231325469</v>
      </c>
      <c r="AE121" s="2">
        <v>-16747.88518961049</v>
      </c>
      <c r="AF121" s="2">
        <v>-12440.54965236013</v>
      </c>
      <c r="AG121" s="2">
        <v>-13937.489610294961</v>
      </c>
      <c r="AH121" s="2">
        <v>-15505.781045125539</v>
      </c>
      <c r="AI121" s="2">
        <v>-15798.413980892579</v>
      </c>
      <c r="AJ121" s="2">
        <v>-15809.51880823469</v>
      </c>
      <c r="AK121" s="2">
        <v>-13390.816506583609</v>
      </c>
    </row>
    <row r="122" spans="3:37" x14ac:dyDescent="0.25">
      <c r="C122" s="3" t="s">
        <v>40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-425.47645866124981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</row>
    <row r="123" spans="3:37" x14ac:dyDescent="0.25">
      <c r="C123" s="3" t="s">
        <v>41</v>
      </c>
      <c r="D123" s="2">
        <v>-3793.1034789999999</v>
      </c>
      <c r="E123" s="2">
        <v>-3511.8429000000001</v>
      </c>
      <c r="F123" s="2">
        <v>-3337.107798</v>
      </c>
      <c r="G123" s="2">
        <v>-3680.7473279999999</v>
      </c>
      <c r="H123" s="2">
        <v>-4245.0889040000002</v>
      </c>
      <c r="I123" s="2">
        <v>-4779.8912270000001</v>
      </c>
      <c r="J123" s="2">
        <v>-4721.2936769999997</v>
      </c>
      <c r="K123" s="2">
        <v>-5720.0518140000004</v>
      </c>
      <c r="L123" s="2">
        <v>-6231.254594</v>
      </c>
      <c r="M123" s="2">
        <v>-7865.0063490000002</v>
      </c>
      <c r="N123" s="2">
        <v>-6634.497327</v>
      </c>
      <c r="O123" s="2">
        <v>-6316.6987129999998</v>
      </c>
      <c r="P123" s="2">
        <v>-6673.2833959999998</v>
      </c>
      <c r="Q123" s="2">
        <v>-6853.7783090000003</v>
      </c>
      <c r="R123" s="2">
        <v>-6538.3096150000001</v>
      </c>
      <c r="S123" s="2">
        <v>-6742.9209410000003</v>
      </c>
      <c r="T123" s="2">
        <v>-6072.2796870000002</v>
      </c>
      <c r="U123" s="2">
        <v>-6216.8108009999996</v>
      </c>
      <c r="V123" s="2">
        <v>-5694.6574350000001</v>
      </c>
      <c r="W123" s="2">
        <v>-7336.9088259999999</v>
      </c>
      <c r="X123" s="2">
        <v>-8332.8426350000009</v>
      </c>
      <c r="Y123" s="2">
        <v>-7960.835572</v>
      </c>
      <c r="Z123" s="2">
        <v>-7539.0025150000001</v>
      </c>
      <c r="AA123" s="2">
        <v>-7647.7219409999998</v>
      </c>
      <c r="AB123" s="2">
        <v>-8239.1037359999991</v>
      </c>
      <c r="AC123" s="2">
        <v>-7977.7293639999998</v>
      </c>
      <c r="AD123" s="2">
        <v>-8258.8143779999991</v>
      </c>
      <c r="AE123" s="2">
        <v>-8312.343218</v>
      </c>
      <c r="AF123" s="2">
        <v>-8403.8832590000002</v>
      </c>
      <c r="AG123" s="2">
        <v>-8120.9646169999996</v>
      </c>
      <c r="AH123" s="2">
        <v>-8452.2957129999995</v>
      </c>
      <c r="AI123" s="2">
        <v>-8485.0833220000004</v>
      </c>
      <c r="AJ123" s="2">
        <v>-9066.0450450000008</v>
      </c>
      <c r="AK123" s="2">
        <v>-9216.4964550000004</v>
      </c>
    </row>
    <row r="124" spans="3:37" x14ac:dyDescent="0.25">
      <c r="C124" s="3" t="s">
        <v>42</v>
      </c>
      <c r="D124" s="2">
        <v>-7331.8529486099014</v>
      </c>
      <c r="E124" s="2">
        <v>-7048.4267663068003</v>
      </c>
      <c r="F124" s="2">
        <v>-7109.4862899724003</v>
      </c>
      <c r="G124" s="2">
        <v>-6700.8269669495003</v>
      </c>
      <c r="H124" s="2">
        <v>-7092.2629823048001</v>
      </c>
      <c r="I124" s="2">
        <v>-6253.1291663877</v>
      </c>
      <c r="J124" s="2">
        <v>-7199.8520738438001</v>
      </c>
      <c r="K124" s="2">
        <v>-6466.6931160829008</v>
      </c>
      <c r="L124" s="2">
        <v>-6281.9238472035004</v>
      </c>
      <c r="M124" s="2">
        <v>-5297.3744347458996</v>
      </c>
      <c r="N124" s="2">
        <v>-6391.5776565462002</v>
      </c>
      <c r="O124" s="2">
        <v>-5789.3096536304001</v>
      </c>
      <c r="P124" s="2">
        <v>-5857.1531585099001</v>
      </c>
      <c r="Q124" s="2">
        <v>-6370.7499359561998</v>
      </c>
      <c r="R124" s="2">
        <v>-6562.4316421561998</v>
      </c>
      <c r="S124" s="2">
        <v>-6143.0518597503997</v>
      </c>
      <c r="T124" s="2">
        <v>-7353.9315216130999</v>
      </c>
      <c r="U124" s="2">
        <v>-7011.5841256325002</v>
      </c>
      <c r="V124" s="2">
        <v>-5959.4356898023998</v>
      </c>
      <c r="W124" s="2">
        <v>-6609.8379406642998</v>
      </c>
      <c r="X124" s="2">
        <v>-6242.6087418984998</v>
      </c>
      <c r="Y124" s="2">
        <v>-6617.6661443123003</v>
      </c>
      <c r="Z124" s="2">
        <v>-6786.3018144644002</v>
      </c>
      <c r="AA124" s="2">
        <v>-7443.0544307593</v>
      </c>
      <c r="AB124" s="2">
        <v>-7705.9787683960003</v>
      </c>
      <c r="AC124" s="2">
        <v>-8612.5749004917016</v>
      </c>
      <c r="AD124" s="2">
        <v>-9265.2483229816989</v>
      </c>
      <c r="AE124" s="2">
        <v>-8790.7849896153984</v>
      </c>
      <c r="AF124" s="2">
        <v>-9819.4448100217996</v>
      </c>
      <c r="AG124" s="2">
        <v>-10948.2427025324</v>
      </c>
      <c r="AH124" s="2">
        <v>-9068.5416224718992</v>
      </c>
      <c r="AI124" s="2">
        <v>-10326.259666144801</v>
      </c>
      <c r="AJ124" s="2">
        <v>-10794.794791173699</v>
      </c>
      <c r="AK124" s="2">
        <v>-8946.0648056333994</v>
      </c>
    </row>
    <row r="125" spans="3:37" x14ac:dyDescent="0.25">
      <c r="C125" s="3" t="s">
        <v>43</v>
      </c>
      <c r="D125" s="2">
        <v>-82.995379</v>
      </c>
      <c r="E125" s="2">
        <v>-66.129897</v>
      </c>
      <c r="F125" s="2">
        <v>-64.424689999999998</v>
      </c>
      <c r="G125" s="2">
        <v>-2.9646759999999999</v>
      </c>
      <c r="H125" s="2">
        <v>-51.135477999999999</v>
      </c>
      <c r="I125" s="2">
        <v>-91.816845000000001</v>
      </c>
      <c r="J125" s="2">
        <v>-194.84451899999999</v>
      </c>
      <c r="K125" s="2">
        <v>-162.243449</v>
      </c>
      <c r="L125" s="2">
        <v>-271.07608299999998</v>
      </c>
      <c r="M125" s="2">
        <v>-84.472533999999996</v>
      </c>
      <c r="N125" s="2">
        <v>-140.61997299999999</v>
      </c>
      <c r="O125" s="2">
        <v>-65.300617000000003</v>
      </c>
      <c r="P125" s="2">
        <v>-274.40875199999999</v>
      </c>
      <c r="Q125" s="2">
        <v>-329.74764299999998</v>
      </c>
      <c r="R125" s="2">
        <v>-393.53482400000001</v>
      </c>
      <c r="S125" s="2">
        <v>-243.663196</v>
      </c>
      <c r="T125" s="2">
        <v>-60.983178000000002</v>
      </c>
      <c r="U125" s="2">
        <v>-314.20900899999998</v>
      </c>
      <c r="V125" s="2">
        <v>-144.67826199999999</v>
      </c>
      <c r="W125" s="2">
        <v>-129.694209</v>
      </c>
      <c r="X125" s="2">
        <v>-153.04362399999999</v>
      </c>
      <c r="Y125" s="2">
        <v>-129.668294</v>
      </c>
      <c r="Z125" s="2">
        <v>-129.83933300000001</v>
      </c>
      <c r="AA125" s="2">
        <v>-83.803927000000002</v>
      </c>
      <c r="AB125" s="2">
        <v>-72.297667000000004</v>
      </c>
      <c r="AC125" s="2">
        <v>-69.094572999999997</v>
      </c>
      <c r="AD125" s="2">
        <v>-2.31674917</v>
      </c>
      <c r="AE125" s="2">
        <v>-232.42645200000001</v>
      </c>
      <c r="AF125" s="2">
        <v>-45.843635000000013</v>
      </c>
      <c r="AG125" s="2">
        <v>-28.869309999999999</v>
      </c>
      <c r="AH125" s="2">
        <v>-21.255483000000002</v>
      </c>
      <c r="AI125" s="2">
        <v>-39.763976</v>
      </c>
      <c r="AJ125" s="2">
        <v>-77.252614999999992</v>
      </c>
      <c r="AK125" s="2">
        <v>-3.3179492800000001</v>
      </c>
    </row>
    <row r="126" spans="3:37" x14ac:dyDescent="0.25">
      <c r="C126" s="3" t="s">
        <v>44</v>
      </c>
      <c r="D126" s="2">
        <v>-6070.160352392234</v>
      </c>
      <c r="E126" s="2">
        <v>-5948.2963838718442</v>
      </c>
      <c r="F126" s="2">
        <v>-5758.3434973324074</v>
      </c>
      <c r="G126" s="2">
        <v>-5732.7779331659358</v>
      </c>
      <c r="H126" s="2">
        <v>-5590.9062272647834</v>
      </c>
      <c r="I126" s="2">
        <v>-5409.5818093414919</v>
      </c>
      <c r="J126" s="2">
        <v>-5879.3657340898744</v>
      </c>
      <c r="K126" s="2">
        <v>-5875.2536004312724</v>
      </c>
      <c r="L126" s="2">
        <v>-5703.6756197139493</v>
      </c>
      <c r="M126" s="2">
        <v>-5867.4929181930484</v>
      </c>
      <c r="N126" s="2">
        <v>-6548.9992951870472</v>
      </c>
      <c r="O126" s="2">
        <v>-5864.5782122831524</v>
      </c>
      <c r="P126" s="2">
        <v>-5808.6330411077024</v>
      </c>
      <c r="Q126" s="2">
        <v>-6155.2079431001848</v>
      </c>
      <c r="R126" s="2">
        <v>-6571.1089980756169</v>
      </c>
      <c r="S126" s="2">
        <v>-6546.9486840625896</v>
      </c>
      <c r="T126" s="2">
        <v>-7110.2226644569218</v>
      </c>
      <c r="U126" s="2">
        <v>-7107.5148809962993</v>
      </c>
      <c r="V126" s="2">
        <v>-6450.4197027526434</v>
      </c>
      <c r="W126" s="2">
        <v>-6205.0357916067851</v>
      </c>
      <c r="X126" s="2">
        <v>-6212.0070826903766</v>
      </c>
      <c r="Y126" s="2">
        <v>-6726.8973298789579</v>
      </c>
      <c r="Z126" s="2">
        <v>-6657.7282682910409</v>
      </c>
      <c r="AA126" s="2">
        <v>-6622.3657966056408</v>
      </c>
      <c r="AB126" s="2">
        <v>-6859.8587257120307</v>
      </c>
      <c r="AC126" s="2">
        <v>-6949.5534270618346</v>
      </c>
      <c r="AD126" s="2">
        <v>-6891.9873405882372</v>
      </c>
      <c r="AE126" s="2">
        <v>-7086.0511917486501</v>
      </c>
      <c r="AF126" s="2">
        <v>-6875.6058670835391</v>
      </c>
      <c r="AG126" s="2">
        <v>-6944.1368427331126</v>
      </c>
      <c r="AH126" s="2">
        <v>-6559.2860892469926</v>
      </c>
      <c r="AI126" s="2">
        <v>-6991.0731060255812</v>
      </c>
      <c r="AJ126" s="2">
        <v>-7015.0277345642371</v>
      </c>
      <c r="AK126" s="2">
        <v>-6993.3847868556113</v>
      </c>
    </row>
    <row r="127" spans="3:37" x14ac:dyDescent="0.25">
      <c r="C127" s="3" t="s">
        <v>45</v>
      </c>
      <c r="D127" s="2">
        <v>-5792.537930025248</v>
      </c>
      <c r="E127" s="2">
        <v>-5525.0316163013395</v>
      </c>
      <c r="F127" s="2">
        <v>-5331.0226147788217</v>
      </c>
      <c r="G127" s="2">
        <v>-5100.0985975943977</v>
      </c>
      <c r="H127" s="2">
        <v>-4968.0996917919874</v>
      </c>
      <c r="I127" s="2">
        <v>-5141.2627805628817</v>
      </c>
      <c r="J127" s="2">
        <v>-5350.7116976024827</v>
      </c>
      <c r="K127" s="2">
        <v>-5270.5100608513421</v>
      </c>
      <c r="L127" s="2">
        <v>-4829.8537072291074</v>
      </c>
      <c r="M127" s="2">
        <v>-5090.6517230518702</v>
      </c>
      <c r="N127" s="2">
        <v>-5213.233818695704</v>
      </c>
      <c r="O127" s="2">
        <v>-5023.014237202693</v>
      </c>
      <c r="P127" s="2">
        <v>-5625.4927543362874</v>
      </c>
      <c r="Q127" s="2">
        <v>-5716.8754713081653</v>
      </c>
      <c r="R127" s="2">
        <v>-5886.5950671689261</v>
      </c>
      <c r="S127" s="2">
        <v>-5541.3205699587716</v>
      </c>
      <c r="T127" s="2">
        <v>-5573.1712648557368</v>
      </c>
      <c r="U127" s="2">
        <v>-5841.1736622459994</v>
      </c>
      <c r="V127" s="2">
        <v>-5770.8915984246642</v>
      </c>
      <c r="W127" s="2">
        <v>-5741.9216344966926</v>
      </c>
      <c r="X127" s="2">
        <v>-5856.1255262246405</v>
      </c>
      <c r="Y127" s="2">
        <v>-6253.9513787534906</v>
      </c>
      <c r="Z127" s="2">
        <v>-6431.4087047760677</v>
      </c>
      <c r="AA127" s="2">
        <v>-6460.6960231951052</v>
      </c>
      <c r="AB127" s="2">
        <v>-6152.694187293544</v>
      </c>
      <c r="AC127" s="2">
        <v>-6221.3223296512006</v>
      </c>
      <c r="AD127" s="2">
        <v>-6010.8980582396052</v>
      </c>
      <c r="AE127" s="2">
        <v>-6275.3598730356434</v>
      </c>
      <c r="AF127" s="2">
        <v>-6539.871421033381</v>
      </c>
      <c r="AG127" s="2">
        <v>-6409.5670448232941</v>
      </c>
      <c r="AH127" s="2">
        <v>-6510.1231616726518</v>
      </c>
      <c r="AI127" s="2">
        <v>-6610.5467281152996</v>
      </c>
      <c r="AJ127" s="2">
        <v>-6732.3412030250129</v>
      </c>
      <c r="AK127" s="2">
        <v>-6172.2977146922904</v>
      </c>
    </row>
    <row r="128" spans="3:37" x14ac:dyDescent="0.25">
      <c r="C128" s="3" t="s">
        <v>46</v>
      </c>
      <c r="D128" s="2">
        <v>-2392.0754631717559</v>
      </c>
      <c r="E128" s="2">
        <v>-2019.842902648129</v>
      </c>
      <c r="F128" s="2">
        <v>-1833.553020686697</v>
      </c>
      <c r="G128" s="2">
        <v>-1874.189116504607</v>
      </c>
      <c r="H128" s="2">
        <v>-2176.4724625029162</v>
      </c>
      <c r="I128" s="2">
        <v>-2368.9409205742281</v>
      </c>
      <c r="J128" s="2">
        <v>-2419.0996472351389</v>
      </c>
      <c r="K128" s="2">
        <v>-2632.287162421113</v>
      </c>
      <c r="L128" s="2">
        <v>-2469.0457971314941</v>
      </c>
      <c r="M128" s="2">
        <v>-2587.283045936676</v>
      </c>
      <c r="N128" s="2">
        <v>-2814.3009671929499</v>
      </c>
      <c r="O128" s="2">
        <v>-2835.856583564102</v>
      </c>
      <c r="P128" s="2">
        <v>-2854.6451991818039</v>
      </c>
      <c r="Q128" s="2">
        <v>-3021.7027478836758</v>
      </c>
      <c r="R128" s="2">
        <v>-3286.940073647148</v>
      </c>
      <c r="S128" s="2">
        <v>-4507.9307629746199</v>
      </c>
      <c r="T128" s="2">
        <v>-3732.531716477592</v>
      </c>
      <c r="U128" s="2">
        <v>-3811.9427606207919</v>
      </c>
      <c r="V128" s="2">
        <v>-4189.8290458899664</v>
      </c>
      <c r="W128" s="2">
        <v>-4079.6053087926348</v>
      </c>
      <c r="X128" s="2">
        <v>-4384.1809467153962</v>
      </c>
      <c r="Y128" s="2">
        <v>-4251.3951197193282</v>
      </c>
      <c r="Z128" s="2">
        <v>-3722.9824453479032</v>
      </c>
      <c r="AA128" s="2">
        <v>-3554.7187111318308</v>
      </c>
      <c r="AB128" s="2">
        <v>-4246.4767250549257</v>
      </c>
      <c r="AC128" s="2">
        <v>-4153.29812468605</v>
      </c>
      <c r="AD128" s="2">
        <v>-4222.4991334441629</v>
      </c>
      <c r="AE128" s="2">
        <v>-4225.9237356658068</v>
      </c>
      <c r="AF128" s="2">
        <v>-4425.1148103238438</v>
      </c>
      <c r="AG128" s="2">
        <v>-4143.7442327860554</v>
      </c>
      <c r="AH128" s="2">
        <v>-3418.693100553241</v>
      </c>
      <c r="AI128" s="2">
        <v>-3493.5866621378168</v>
      </c>
      <c r="AJ128" s="2">
        <v>-3504.6098743318112</v>
      </c>
      <c r="AK128" s="2">
        <v>-3287.3893591230699</v>
      </c>
    </row>
    <row r="129" spans="3:37" x14ac:dyDescent="0.25">
      <c r="C129" s="3" t="s">
        <v>47</v>
      </c>
      <c r="D129" s="2">
        <v>-61.811771798359118</v>
      </c>
      <c r="E129" s="2">
        <v>-83.823716408812132</v>
      </c>
      <c r="F129" s="2">
        <v>-105.8073110192651</v>
      </c>
      <c r="G129" s="2">
        <v>-127.7909056297181</v>
      </c>
      <c r="H129" s="2">
        <v>-149.77450024017119</v>
      </c>
      <c r="I129" s="2">
        <v>-171.75809485062419</v>
      </c>
      <c r="J129" s="2">
        <v>-193.48635361332251</v>
      </c>
      <c r="K129" s="2">
        <v>-215.290212376021</v>
      </c>
      <c r="L129" s="2">
        <v>-237.09407113871941</v>
      </c>
      <c r="M129" s="2">
        <v>-258.8979299014178</v>
      </c>
      <c r="N129" s="2">
        <v>-280.70178866411618</v>
      </c>
      <c r="O129" s="2">
        <v>-302.50564742681462</v>
      </c>
      <c r="P129" s="2">
        <v>-324.30950618951289</v>
      </c>
      <c r="Q129" s="2">
        <v>-322.11643130809222</v>
      </c>
      <c r="R129" s="2">
        <v>-319.82885642667151</v>
      </c>
      <c r="S129" s="2">
        <v>-317.5412815452508</v>
      </c>
      <c r="T129" s="2">
        <v>-315.25370666382997</v>
      </c>
      <c r="U129" s="2">
        <v>-313.29102051066991</v>
      </c>
      <c r="V129" s="2">
        <v>-311.42283435750949</v>
      </c>
      <c r="W129" s="2">
        <v>-309.55464820434929</v>
      </c>
      <c r="X129" s="2">
        <v>-307.6864620511891</v>
      </c>
      <c r="Y129" s="2">
        <v>-283.8346812875759</v>
      </c>
      <c r="Z129" s="2">
        <v>-259.9829005239626</v>
      </c>
      <c r="AA129" s="2">
        <v>-236.3217510004678</v>
      </c>
      <c r="AB129" s="2">
        <v>-781.27686069250103</v>
      </c>
      <c r="AC129" s="2">
        <v>-766.0905992339284</v>
      </c>
      <c r="AD129" s="2">
        <v>-751.02131434027092</v>
      </c>
      <c r="AE129" s="2">
        <v>-734.8711817654364</v>
      </c>
      <c r="AF129" s="2">
        <v>-718.72104919058199</v>
      </c>
      <c r="AG129" s="2">
        <v>-133.85402100412381</v>
      </c>
      <c r="AH129" s="2">
        <v>-109.8824527891926</v>
      </c>
      <c r="AI129" s="2">
        <v>-85.91088457426153</v>
      </c>
      <c r="AJ129" s="2">
        <v>-61.939316359334583</v>
      </c>
      <c r="AK129" s="2">
        <v>-61.480886192956923</v>
      </c>
    </row>
    <row r="130" spans="3:37" x14ac:dyDescent="0.25">
      <c r="C130" s="3" t="s">
        <v>48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-4.309825</v>
      </c>
      <c r="AG130" s="2">
        <v>0</v>
      </c>
      <c r="AH130" s="2">
        <v>0</v>
      </c>
      <c r="AI130" s="2">
        <v>0</v>
      </c>
      <c r="AJ130" s="2">
        <v>0</v>
      </c>
      <c r="AK130" s="2">
        <v>-3.698823</v>
      </c>
    </row>
    <row r="131" spans="3:37" x14ac:dyDescent="0.25">
      <c r="C131" s="3" t="s">
        <v>74</v>
      </c>
      <c r="D131" s="2">
        <v>-112528.85429328239</v>
      </c>
      <c r="E131" s="2">
        <v>-102407.65306282995</v>
      </c>
      <c r="F131" s="2">
        <v>-105333.63201653646</v>
      </c>
      <c r="G131" s="2">
        <v>-108192.43058643109</v>
      </c>
      <c r="H131" s="2">
        <v>-112089.16926682254</v>
      </c>
      <c r="I131" s="2">
        <v>-112050.89442154138</v>
      </c>
      <c r="J131" s="2">
        <v>-112360.75652721489</v>
      </c>
      <c r="K131" s="2">
        <v>-118468.84914581224</v>
      </c>
      <c r="L131" s="2">
        <v>-120644.89015417483</v>
      </c>
      <c r="M131" s="2">
        <v>-139142.46122297607</v>
      </c>
      <c r="N131" s="2">
        <v>-129558.77074094495</v>
      </c>
      <c r="O131" s="2">
        <v>-122123.66118374435</v>
      </c>
      <c r="P131" s="2">
        <v>-122228.89361183418</v>
      </c>
      <c r="Q131" s="2">
        <v>-125918.15510928576</v>
      </c>
      <c r="R131" s="2">
        <v>-125815.42831852764</v>
      </c>
      <c r="S131" s="2">
        <v>-125502.44510329132</v>
      </c>
      <c r="T131" s="2">
        <v>-127030.92489772128</v>
      </c>
      <c r="U131" s="2">
        <v>-136191.75836832769</v>
      </c>
      <c r="V131" s="2">
        <v>-127547.77003050722</v>
      </c>
      <c r="W131" s="2">
        <v>-129808.47941899388</v>
      </c>
      <c r="X131" s="2">
        <v>-131785.80304617702</v>
      </c>
      <c r="Y131" s="2">
        <v>-134333.07442508705</v>
      </c>
      <c r="Z131" s="2">
        <v>-133911.80146164593</v>
      </c>
      <c r="AA131" s="2">
        <v>-133910.69846637678</v>
      </c>
      <c r="AB131" s="2">
        <v>-137435.70353641524</v>
      </c>
      <c r="AC131" s="2">
        <v>-140362.82391536664</v>
      </c>
      <c r="AD131" s="2">
        <v>-144299.62667921619</v>
      </c>
      <c r="AE131" s="2">
        <v>-153409.17220785943</v>
      </c>
      <c r="AF131" s="2">
        <v>-166504.80344439796</v>
      </c>
      <c r="AG131" s="2">
        <v>-170005.33090299947</v>
      </c>
      <c r="AH131" s="2">
        <v>-167913.73741473915</v>
      </c>
      <c r="AI131" s="2">
        <v>-173084.29496780079</v>
      </c>
      <c r="AJ131" s="2">
        <v>-171920.5438178257</v>
      </c>
      <c r="AK131" s="2">
        <v>-162318.63181621928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C8B9-05FD-4EB2-BC8A-E9E603613A75}">
  <dimension ref="A1:T1225"/>
  <sheetViews>
    <sheetView workbookViewId="0">
      <selection activeCell="M2" sqref="M2"/>
    </sheetView>
  </sheetViews>
  <sheetFormatPr baseColWidth="10" defaultColWidth="9.140625" defaultRowHeight="15" x14ac:dyDescent="0.25"/>
  <cols>
    <col min="3" max="3" width="14.140625" bestFit="1" customWidth="1"/>
    <col min="4" max="4" width="15.85546875" bestFit="1" customWidth="1"/>
    <col min="5" max="5" width="15.5703125" bestFit="1" customWidth="1"/>
    <col min="6" max="6" width="20.5703125" bestFit="1" customWidth="1"/>
    <col min="7" max="7" width="20.28515625" bestFit="1" customWidth="1"/>
    <col min="8" max="8" width="25.5703125" bestFit="1" customWidth="1"/>
    <col min="9" max="9" width="27.5703125" bestFit="1" customWidth="1"/>
    <col min="10" max="10" width="22.140625" bestFit="1" customWidth="1"/>
    <col min="11" max="11" width="28.7109375" bestFit="1" customWidth="1"/>
    <col min="12" max="12" width="28.42578125" bestFit="1" customWidth="1"/>
    <col min="13" max="13" width="18.5703125" bestFit="1" customWidth="1"/>
    <col min="14" max="14" width="19.28515625" bestFit="1" customWidth="1"/>
    <col min="15" max="15" width="23.5703125" bestFit="1" customWidth="1"/>
    <col min="16" max="16" width="25" bestFit="1" customWidth="1"/>
    <col min="17" max="17" width="20" bestFit="1" customWidth="1"/>
    <col min="18" max="18" width="26.7109375" bestFit="1" customWidth="1"/>
    <col min="19" max="19" width="26.42578125" bestFit="1" customWidth="1"/>
    <col min="20" max="20" width="14.5703125" bestFit="1" customWidth="1"/>
  </cols>
  <sheetData>
    <row r="1" spans="1:20" x14ac:dyDescent="0.25">
      <c r="A1" s="1" t="s">
        <v>12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67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</row>
    <row r="2" spans="1:20" x14ac:dyDescent="0.25">
      <c r="A2" s="1" t="s">
        <v>24</v>
      </c>
      <c r="B2">
        <v>1990</v>
      </c>
      <c r="C2">
        <v>3892.517859733437</v>
      </c>
      <c r="D2">
        <v>3850.9468597334371</v>
      </c>
      <c r="E2">
        <v>41.570999999999998</v>
      </c>
      <c r="F2">
        <v>2.565409710196751</v>
      </c>
      <c r="G2">
        <v>-1.7922730508657221</v>
      </c>
      <c r="H2">
        <v>0.77313665933102893</v>
      </c>
      <c r="I2">
        <v>1.7979689439123991E-2</v>
      </c>
      <c r="J2">
        <v>8.3187054577186476E-2</v>
      </c>
      <c r="K2">
        <v>9.3983565259811441E-2</v>
      </c>
      <c r="L2" t="s">
        <v>96</v>
      </c>
      <c r="M2">
        <v>9985.9031144744331</v>
      </c>
      <c r="N2">
        <v>-6976.4548600137568</v>
      </c>
      <c r="O2">
        <v>3009.4482544606758</v>
      </c>
      <c r="P2">
        <v>69.986262254250803</v>
      </c>
      <c r="Q2">
        <v>323.80709564031849</v>
      </c>
      <c r="R2">
        <v>361.92571550382343</v>
      </c>
      <c r="S2" t="s">
        <v>96</v>
      </c>
      <c r="T2">
        <v>-13805.61353548451</v>
      </c>
    </row>
    <row r="3" spans="1:20" x14ac:dyDescent="0.25">
      <c r="A3" s="1" t="s">
        <v>24</v>
      </c>
      <c r="B3">
        <v>1991</v>
      </c>
      <c r="C3">
        <v>3900.1819139415288</v>
      </c>
      <c r="D3">
        <v>3858.6109139415289</v>
      </c>
      <c r="E3">
        <v>41.570999999999998</v>
      </c>
      <c r="F3">
        <v>2.450496334476314</v>
      </c>
      <c r="G3">
        <v>-1.309953412937062</v>
      </c>
      <c r="H3">
        <v>1.1405429215392531</v>
      </c>
      <c r="I3">
        <v>1.8069548157335771E-2</v>
      </c>
      <c r="J3">
        <v>8.6044741037527989E-2</v>
      </c>
      <c r="K3">
        <v>0.16624265595413609</v>
      </c>
      <c r="L3" t="s">
        <v>96</v>
      </c>
      <c r="M3">
        <v>9557.3814839045317</v>
      </c>
      <c r="N3">
        <v>-5109.0566092431063</v>
      </c>
      <c r="O3">
        <v>4448.3248746614254</v>
      </c>
      <c r="P3">
        <v>70.474524916336463</v>
      </c>
      <c r="Q3">
        <v>335.5901427843491</v>
      </c>
      <c r="R3">
        <v>641.46572662725634</v>
      </c>
      <c r="S3" t="s">
        <v>96</v>
      </c>
      <c r="T3">
        <v>-20151.469319629508</v>
      </c>
    </row>
    <row r="4" spans="1:20" x14ac:dyDescent="0.25">
      <c r="A4" s="1" t="s">
        <v>24</v>
      </c>
      <c r="B4">
        <v>1992</v>
      </c>
      <c r="C4">
        <v>3907.845968149622</v>
      </c>
      <c r="D4">
        <v>3866.2749681496221</v>
      </c>
      <c r="E4">
        <v>41.570999999999998</v>
      </c>
      <c r="F4">
        <v>2.292588053519061</v>
      </c>
      <c r="G4">
        <v>-1.396879786074833</v>
      </c>
      <c r="H4">
        <v>0.89570826744422738</v>
      </c>
      <c r="I4">
        <v>1.8113975405550261E-2</v>
      </c>
      <c r="J4">
        <v>8.8891218527955979E-2</v>
      </c>
      <c r="K4">
        <v>3.4719619602724509E-2</v>
      </c>
      <c r="L4" t="s">
        <v>96</v>
      </c>
      <c r="M4">
        <v>8959.0809815724497</v>
      </c>
      <c r="N4">
        <v>-5458.7910400022429</v>
      </c>
      <c r="O4">
        <v>3500.2899415702068</v>
      </c>
      <c r="P4">
        <v>70.786625755740985</v>
      </c>
      <c r="Q4">
        <v>347.3731899283797</v>
      </c>
      <c r="R4">
        <v>134.23559617369071</v>
      </c>
      <c r="S4" t="s">
        <v>96</v>
      </c>
      <c r="T4">
        <v>-14859.84629590409</v>
      </c>
    </row>
    <row r="5" spans="1:20" x14ac:dyDescent="0.25">
      <c r="A5" s="1" t="s">
        <v>24</v>
      </c>
      <c r="B5">
        <v>1993</v>
      </c>
      <c r="C5">
        <v>3915.5100223577142</v>
      </c>
      <c r="D5">
        <v>3873.9390223577138</v>
      </c>
      <c r="E5">
        <v>41.570999999999998</v>
      </c>
      <c r="F5">
        <v>2.2731187557480821</v>
      </c>
      <c r="G5">
        <v>-1.3895769062907639</v>
      </c>
      <c r="H5">
        <v>0.88354184945731762</v>
      </c>
      <c r="I5">
        <v>1.8118512125369069E-2</v>
      </c>
      <c r="J5">
        <v>9.1726552868365646E-2</v>
      </c>
      <c r="K5">
        <v>0.20803516131732899</v>
      </c>
      <c r="L5" t="s">
        <v>96</v>
      </c>
      <c r="M5">
        <v>8900.4192701409102</v>
      </c>
      <c r="N5">
        <v>-5440.9023034183128</v>
      </c>
      <c r="O5">
        <v>3459.5169667225969</v>
      </c>
      <c r="P5">
        <v>70.943215817092351</v>
      </c>
      <c r="Q5">
        <v>359.15623707241042</v>
      </c>
      <c r="R5">
        <v>805.91552944968271</v>
      </c>
      <c r="S5" t="s">
        <v>96</v>
      </c>
      <c r="T5">
        <v>-17216.950479894771</v>
      </c>
    </row>
    <row r="6" spans="1:20" x14ac:dyDescent="0.25">
      <c r="A6" s="1" t="s">
        <v>24</v>
      </c>
      <c r="B6">
        <v>1994</v>
      </c>
      <c r="C6">
        <v>3923.174076565806</v>
      </c>
      <c r="D6">
        <v>3881.6030765658061</v>
      </c>
      <c r="E6">
        <v>41.570999999999998</v>
      </c>
      <c r="F6">
        <v>2.4269782082013922</v>
      </c>
      <c r="G6">
        <v>-1.6189166775239661</v>
      </c>
      <c r="H6">
        <v>0.80806153067742648</v>
      </c>
      <c r="I6">
        <v>1.8176417148795702E-2</v>
      </c>
      <c r="J6">
        <v>8.7846173809254191E-2</v>
      </c>
      <c r="K6">
        <v>4.2287785805459263E-2</v>
      </c>
      <c r="L6" t="s">
        <v>96</v>
      </c>
      <c r="M6">
        <v>9521.4579908058295</v>
      </c>
      <c r="N6">
        <v>-6351.2919413820646</v>
      </c>
      <c r="O6">
        <v>3170.166049423764</v>
      </c>
      <c r="P6">
        <v>71.309248563001432</v>
      </c>
      <c r="Q6">
        <v>344.63583181396012</v>
      </c>
      <c r="R6">
        <v>164.14439948362639</v>
      </c>
      <c r="S6" t="s">
        <v>96</v>
      </c>
      <c r="T6">
        <v>-13750.936940710541</v>
      </c>
    </row>
    <row r="7" spans="1:20" x14ac:dyDescent="0.25">
      <c r="A7" s="1" t="s">
        <v>24</v>
      </c>
      <c r="B7">
        <v>1995</v>
      </c>
      <c r="C7">
        <v>3928.450098284497</v>
      </c>
      <c r="D7">
        <v>3886.8790982844971</v>
      </c>
      <c r="E7">
        <v>41.570999999999998</v>
      </c>
      <c r="F7">
        <v>2.4250504316224708</v>
      </c>
      <c r="G7">
        <v>-1.458008285842743</v>
      </c>
      <c r="H7">
        <v>0.96704214577972847</v>
      </c>
      <c r="I7">
        <v>4.4755631811956957E-2</v>
      </c>
      <c r="J7">
        <v>8.2828306183144657E-2</v>
      </c>
      <c r="K7">
        <v>0.2048255705326634</v>
      </c>
      <c r="L7" t="s">
        <v>96</v>
      </c>
      <c r="M7">
        <v>9526.689606452157</v>
      </c>
      <c r="N7">
        <v>-5727.7127938185322</v>
      </c>
      <c r="O7">
        <v>3798.9768126336248</v>
      </c>
      <c r="P7">
        <v>175.82026619046709</v>
      </c>
      <c r="Q7">
        <v>325.38686756591301</v>
      </c>
      <c r="R7">
        <v>796.1322288976063</v>
      </c>
      <c r="S7" t="s">
        <v>96</v>
      </c>
      <c r="T7">
        <v>-18686.49264272294</v>
      </c>
    </row>
    <row r="8" spans="1:20" x14ac:dyDescent="0.25">
      <c r="A8" s="1" t="s">
        <v>24</v>
      </c>
      <c r="B8">
        <v>1996</v>
      </c>
      <c r="C8">
        <v>3933.7261200031871</v>
      </c>
      <c r="D8">
        <v>3892.1551200031872</v>
      </c>
      <c r="E8">
        <v>41.570999999999998</v>
      </c>
      <c r="F8">
        <v>2.2180108091454258</v>
      </c>
      <c r="G8">
        <v>-1.575465472355186</v>
      </c>
      <c r="H8">
        <v>0.6425453367902404</v>
      </c>
      <c r="I8">
        <v>4.4817512815000522E-2</v>
      </c>
      <c r="J8">
        <v>7.7823898761314361E-2</v>
      </c>
      <c r="K8">
        <v>0.26602703735031891</v>
      </c>
      <c r="L8" t="s">
        <v>96</v>
      </c>
      <c r="M8">
        <v>8725.0470543847678</v>
      </c>
      <c r="N8">
        <v>-6197.4496797667543</v>
      </c>
      <c r="O8">
        <v>2527.597374618013</v>
      </c>
      <c r="P8">
        <v>176.29982079394509</v>
      </c>
      <c r="Q8">
        <v>306.13790331786601</v>
      </c>
      <c r="R8">
        <v>1035.4184954823229</v>
      </c>
      <c r="S8" t="s">
        <v>96</v>
      </c>
      <c r="T8">
        <v>-14833.329845445891</v>
      </c>
    </row>
    <row r="9" spans="1:20" x14ac:dyDescent="0.25">
      <c r="A9" s="1" t="s">
        <v>24</v>
      </c>
      <c r="B9">
        <v>1997</v>
      </c>
      <c r="C9">
        <v>3939.0021417218782</v>
      </c>
      <c r="D9">
        <v>3897.4311417218778</v>
      </c>
      <c r="E9">
        <v>41.570999999999998</v>
      </c>
      <c r="F9">
        <v>2.8079679896529912</v>
      </c>
      <c r="G9">
        <v>-1.5458975898147169</v>
      </c>
      <c r="H9">
        <v>1.2620703998382741</v>
      </c>
      <c r="I9">
        <v>4.475654704570043E-2</v>
      </c>
      <c r="J9">
        <v>7.2832897456717172E-2</v>
      </c>
      <c r="K9">
        <v>0.1770239877349398</v>
      </c>
      <c r="L9" t="s">
        <v>96</v>
      </c>
      <c r="M9">
        <v>11060.591925129611</v>
      </c>
      <c r="N9">
        <v>-6089.2939171628586</v>
      </c>
      <c r="O9">
        <v>4971.2980079667486</v>
      </c>
      <c r="P9">
        <v>176.29613466909001</v>
      </c>
      <c r="Q9">
        <v>286.88893906981889</v>
      </c>
      <c r="R9">
        <v>689.93880262994605</v>
      </c>
      <c r="S9" t="s">
        <v>96</v>
      </c>
      <c r="T9">
        <v>-22456.213575899252</v>
      </c>
    </row>
    <row r="10" spans="1:20" x14ac:dyDescent="0.25">
      <c r="A10" s="1" t="s">
        <v>24</v>
      </c>
      <c r="B10">
        <v>1998</v>
      </c>
      <c r="C10">
        <v>3944.2781634405678</v>
      </c>
      <c r="D10">
        <v>3902.7071634405679</v>
      </c>
      <c r="E10">
        <v>41.570999999999998</v>
      </c>
      <c r="F10">
        <v>2.6739364251929101</v>
      </c>
      <c r="G10">
        <v>-1.4717079090406739</v>
      </c>
      <c r="H10">
        <v>1.2022285161522359</v>
      </c>
      <c r="I10">
        <v>4.4765654064331667E-2</v>
      </c>
      <c r="J10">
        <v>6.7855248471702934E-2</v>
      </c>
      <c r="K10">
        <v>0.127060942933898</v>
      </c>
      <c r="L10" t="s">
        <v>96</v>
      </c>
      <c r="M10">
        <v>10546.749052316731</v>
      </c>
      <c r="N10">
        <v>-5804.8253685919099</v>
      </c>
      <c r="O10">
        <v>4741.9236837248209</v>
      </c>
      <c r="P10">
        <v>176.56819179807789</v>
      </c>
      <c r="Q10">
        <v>267.63997482177189</v>
      </c>
      <c r="R10">
        <v>495.88165218163692</v>
      </c>
      <c r="S10" t="s">
        <v>96</v>
      </c>
      <c r="T10">
        <v>-20834.04950926502</v>
      </c>
    </row>
    <row r="11" spans="1:20" x14ac:dyDescent="0.25">
      <c r="A11" s="1" t="s">
        <v>24</v>
      </c>
      <c r="B11">
        <v>1999</v>
      </c>
      <c r="C11">
        <v>3949.5541851592589</v>
      </c>
      <c r="D11">
        <v>3907.9831851592589</v>
      </c>
      <c r="E11">
        <v>41.570999999999998</v>
      </c>
      <c r="F11">
        <v>2.8129846264920899</v>
      </c>
      <c r="G11">
        <v>-1.474285188410259</v>
      </c>
      <c r="H11">
        <v>1.3386994380818309</v>
      </c>
      <c r="I11">
        <v>4.487525995905773E-2</v>
      </c>
      <c r="J11">
        <v>6.606046031850045E-2</v>
      </c>
      <c r="K11">
        <v>0.12626607240711191</v>
      </c>
      <c r="L11" t="s">
        <v>96</v>
      </c>
      <c r="M11">
        <v>11110.03520435049</v>
      </c>
      <c r="N11">
        <v>-5822.7692360040464</v>
      </c>
      <c r="O11">
        <v>5287.2659683464444</v>
      </c>
      <c r="P11">
        <v>177.23727078140621</v>
      </c>
      <c r="Q11">
        <v>260.90936752448061</v>
      </c>
      <c r="R11">
        <v>493.44568782309472</v>
      </c>
      <c r="S11" t="s">
        <v>96</v>
      </c>
      <c r="T11">
        <v>-22802.48041307864</v>
      </c>
    </row>
    <row r="12" spans="1:20" x14ac:dyDescent="0.25">
      <c r="A12" s="1" t="s">
        <v>24</v>
      </c>
      <c r="B12">
        <v>2000</v>
      </c>
      <c r="C12">
        <v>3954.830206877949</v>
      </c>
      <c r="D12">
        <v>3913.25920687795</v>
      </c>
      <c r="E12">
        <v>41.570999999999998</v>
      </c>
      <c r="F12">
        <v>2.545443320981998</v>
      </c>
      <c r="G12">
        <v>-1.3872888171750279</v>
      </c>
      <c r="H12">
        <v>1.15815450380697</v>
      </c>
      <c r="I12">
        <v>4.4923607763930062E-2</v>
      </c>
      <c r="J12">
        <v>6.4270460912617774E-2</v>
      </c>
      <c r="K12">
        <v>3.7430997005796093E-2</v>
      </c>
      <c r="L12" t="s">
        <v>96</v>
      </c>
      <c r="M12">
        <v>10066.796135715331</v>
      </c>
      <c r="N12">
        <v>-5486.4917198277817</v>
      </c>
      <c r="O12">
        <v>4580.3044158875473</v>
      </c>
      <c r="P12">
        <v>177.66524098672741</v>
      </c>
      <c r="Q12">
        <v>254.17876022718929</v>
      </c>
      <c r="R12">
        <v>146.4771936555525</v>
      </c>
      <c r="S12" t="s">
        <v>96</v>
      </c>
      <c r="T12">
        <v>-18914.960572777451</v>
      </c>
    </row>
    <row r="13" spans="1:20" x14ac:dyDescent="0.25">
      <c r="A13" s="1" t="s">
        <v>24</v>
      </c>
      <c r="B13">
        <v>2001</v>
      </c>
      <c r="C13">
        <v>3960.10622859664</v>
      </c>
      <c r="D13">
        <v>3918.535228596641</v>
      </c>
      <c r="E13">
        <v>41.570999999999998</v>
      </c>
      <c r="F13">
        <v>2.6894532941133549</v>
      </c>
      <c r="G13">
        <v>-1.40628330296856</v>
      </c>
      <c r="H13">
        <v>1.283169991144796</v>
      </c>
      <c r="I13">
        <v>4.4949496499068861E-2</v>
      </c>
      <c r="J13">
        <v>6.2485231114011643E-2</v>
      </c>
      <c r="K13">
        <v>0.29304425570689002</v>
      </c>
      <c r="L13" t="s">
        <v>96</v>
      </c>
      <c r="M13">
        <v>10650.52074153805</v>
      </c>
      <c r="N13">
        <v>-5569.0312672572491</v>
      </c>
      <c r="O13">
        <v>5081.489474280801</v>
      </c>
      <c r="P13">
        <v>178.0047810582455</v>
      </c>
      <c r="Q13">
        <v>247.4481529298981</v>
      </c>
      <c r="R13">
        <v>1148.304239525331</v>
      </c>
      <c r="S13" t="s">
        <v>96</v>
      </c>
      <c r="T13">
        <v>-24402.571041914562</v>
      </c>
    </row>
    <row r="14" spans="1:20" x14ac:dyDescent="0.25">
      <c r="A14" s="1" t="s">
        <v>24</v>
      </c>
      <c r="B14">
        <v>2002</v>
      </c>
      <c r="C14">
        <v>3964.3636925386172</v>
      </c>
      <c r="D14">
        <v>3922.7926925386168</v>
      </c>
      <c r="E14">
        <v>41.570999999999998</v>
      </c>
      <c r="F14">
        <v>2.5408643047900679</v>
      </c>
      <c r="G14">
        <v>-1.698682168184773</v>
      </c>
      <c r="H14">
        <v>0.84218213660529528</v>
      </c>
      <c r="I14">
        <v>6.4015826548687163E-2</v>
      </c>
      <c r="J14">
        <v>6.0699096310827337E-2</v>
      </c>
      <c r="K14">
        <v>8.3451030209991006E-2</v>
      </c>
      <c r="L14" t="s">
        <v>96</v>
      </c>
      <c r="M14">
        <v>10072.910197577119</v>
      </c>
      <c r="N14">
        <v>-6734.1939127144888</v>
      </c>
      <c r="O14">
        <v>3338.7162848626299</v>
      </c>
      <c r="P14">
        <v>253.7820185174651</v>
      </c>
      <c r="Q14">
        <v>240.6332935845486</v>
      </c>
      <c r="R14">
        <v>327.36109149257209</v>
      </c>
      <c r="S14" t="s">
        <v>96</v>
      </c>
      <c r="T14">
        <v>-15255.139857677839</v>
      </c>
    </row>
    <row r="15" spans="1:20" x14ac:dyDescent="0.25">
      <c r="A15" s="1" t="s">
        <v>24</v>
      </c>
      <c r="B15">
        <v>2003</v>
      </c>
      <c r="C15">
        <v>3968.621156480594</v>
      </c>
      <c r="D15">
        <v>3927.0501564805941</v>
      </c>
      <c r="E15">
        <v>41.570999999999998</v>
      </c>
      <c r="F15">
        <v>2.1946621222790288</v>
      </c>
      <c r="G15">
        <v>-1.93655191187957</v>
      </c>
      <c r="H15">
        <v>0.25811021039945931</v>
      </c>
      <c r="I15">
        <v>6.3995436312746262E-2</v>
      </c>
      <c r="J15">
        <v>5.8916793772916157E-2</v>
      </c>
      <c r="K15">
        <v>0.29178640223142538</v>
      </c>
      <c r="L15" t="s">
        <v>96</v>
      </c>
      <c r="M15">
        <v>8709.7825298031548</v>
      </c>
      <c r="N15">
        <v>-7685.4408881082036</v>
      </c>
      <c r="O15">
        <v>1024.341641694951</v>
      </c>
      <c r="P15">
        <v>253.97364246897121</v>
      </c>
      <c r="Q15">
        <v>233.81843423919909</v>
      </c>
      <c r="R15">
        <v>1145.8598365418279</v>
      </c>
      <c r="S15" t="s">
        <v>96</v>
      </c>
      <c r="T15">
        <v>-9745.9763681323693</v>
      </c>
    </row>
    <row r="16" spans="1:20" x14ac:dyDescent="0.25">
      <c r="A16" s="1" t="s">
        <v>24</v>
      </c>
      <c r="B16">
        <v>2004</v>
      </c>
      <c r="C16">
        <v>3972.8786204225698</v>
      </c>
      <c r="D16">
        <v>3931.3076204225699</v>
      </c>
      <c r="E16">
        <v>41.570999999999998</v>
      </c>
      <c r="F16">
        <v>2.4400646858746251</v>
      </c>
      <c r="G16">
        <v>-1.875904443488831</v>
      </c>
      <c r="H16">
        <v>0.56416024238579376</v>
      </c>
      <c r="I16">
        <v>6.3974666126927426E-2</v>
      </c>
      <c r="J16">
        <v>5.8232887567568892E-2</v>
      </c>
      <c r="K16">
        <v>0.37218621809063301</v>
      </c>
      <c r="L16" t="s">
        <v>96</v>
      </c>
      <c r="M16">
        <v>9694.0808229594113</v>
      </c>
      <c r="N16">
        <v>-7452.7406574924762</v>
      </c>
      <c r="O16">
        <v>2241.3401654669351</v>
      </c>
      <c r="P16">
        <v>254.16358330434201</v>
      </c>
      <c r="Q16">
        <v>231.35219402266571</v>
      </c>
      <c r="R16">
        <v>1463.178515395962</v>
      </c>
      <c r="S16" t="s">
        <v>96</v>
      </c>
      <c r="T16">
        <v>-15363.45968003105</v>
      </c>
    </row>
    <row r="17" spans="1:20" x14ac:dyDescent="0.25">
      <c r="A17" s="1" t="s">
        <v>24</v>
      </c>
      <c r="B17">
        <v>2005</v>
      </c>
      <c r="C17">
        <v>3977.1360843645471</v>
      </c>
      <c r="D17">
        <v>3935.5650843645471</v>
      </c>
      <c r="E17">
        <v>41.570999999999998</v>
      </c>
      <c r="F17">
        <v>2.4922876721170342</v>
      </c>
      <c r="G17">
        <v>-1.8726163388913071</v>
      </c>
      <c r="H17">
        <v>0.61967133322572687</v>
      </c>
      <c r="I17">
        <v>6.3941170957914725E-2</v>
      </c>
      <c r="J17">
        <v>5.7550445584690871E-2</v>
      </c>
      <c r="K17">
        <v>0.27506916280120269</v>
      </c>
      <c r="L17" t="s">
        <v>96</v>
      </c>
      <c r="M17">
        <v>9912.1672333935712</v>
      </c>
      <c r="N17">
        <v>-7447.6500135752458</v>
      </c>
      <c r="O17">
        <v>2464.517219818325</v>
      </c>
      <c r="P17">
        <v>254.30273829324511</v>
      </c>
      <c r="Q17">
        <v>228.88595380613239</v>
      </c>
      <c r="R17">
        <v>1082.552592905801</v>
      </c>
      <c r="S17" t="s">
        <v>96</v>
      </c>
      <c r="T17">
        <v>-14777.61451768752</v>
      </c>
    </row>
    <row r="18" spans="1:20" x14ac:dyDescent="0.25">
      <c r="A18" s="1" t="s">
        <v>24</v>
      </c>
      <c r="B18">
        <v>2006</v>
      </c>
      <c r="C18">
        <v>3981.3935483065238</v>
      </c>
      <c r="D18">
        <v>3939.8225483065239</v>
      </c>
      <c r="E18">
        <v>41.570999999999998</v>
      </c>
      <c r="F18">
        <v>2.3817163922820241</v>
      </c>
      <c r="G18">
        <v>-2.168178259381687</v>
      </c>
      <c r="H18">
        <v>0.2135381329003368</v>
      </c>
      <c r="I18">
        <v>6.3864585599046481E-2</v>
      </c>
      <c r="J18">
        <v>5.6869463127026468E-2</v>
      </c>
      <c r="K18">
        <v>0.193867372176105</v>
      </c>
      <c r="L18" t="s">
        <v>96</v>
      </c>
      <c r="M18">
        <v>9482.5502781275409</v>
      </c>
      <c r="N18">
        <v>-8632.370933480719</v>
      </c>
      <c r="O18">
        <v>850.17934464682185</v>
      </c>
      <c r="P18">
        <v>254.27004906931339</v>
      </c>
      <c r="Q18">
        <v>226.41971358959901</v>
      </c>
      <c r="R18">
        <v>763.8030442803514</v>
      </c>
      <c r="S18" t="s">
        <v>96</v>
      </c>
      <c r="T18">
        <v>-7680.4645558163465</v>
      </c>
    </row>
    <row r="19" spans="1:20" x14ac:dyDescent="0.25">
      <c r="A19" s="1" t="s">
        <v>24</v>
      </c>
      <c r="B19">
        <v>2007</v>
      </c>
      <c r="C19">
        <v>3985.651012248501</v>
      </c>
      <c r="D19">
        <v>3944.0800122485011</v>
      </c>
      <c r="E19">
        <v>41.570999999999998</v>
      </c>
      <c r="F19">
        <v>2.585913913247218</v>
      </c>
      <c r="G19">
        <v>-2.396337263541195</v>
      </c>
      <c r="H19">
        <v>0.18957664970602309</v>
      </c>
      <c r="I19">
        <v>6.3812449221369555E-2</v>
      </c>
      <c r="J19">
        <v>5.6189935517390537E-2</v>
      </c>
      <c r="K19">
        <v>9.6243358605352797E-2</v>
      </c>
      <c r="L19" t="s">
        <v>96</v>
      </c>
      <c r="M19">
        <v>10306.550405921251</v>
      </c>
      <c r="N19">
        <v>-9550.9640401217639</v>
      </c>
      <c r="O19">
        <v>755.58636579949052</v>
      </c>
      <c r="P19">
        <v>254.33415283320761</v>
      </c>
      <c r="Q19">
        <v>223.95347337306561</v>
      </c>
      <c r="R19">
        <v>379.59150698703672</v>
      </c>
      <c r="S19" t="s">
        <v>96</v>
      </c>
      <c r="T19">
        <v>-5916.0401629741391</v>
      </c>
    </row>
    <row r="20" spans="1:20" x14ac:dyDescent="0.25">
      <c r="A20" s="1" t="s">
        <v>24</v>
      </c>
      <c r="B20">
        <v>2008</v>
      </c>
      <c r="C20">
        <v>3989.9084761904769</v>
      </c>
      <c r="D20">
        <v>3948.337476190477</v>
      </c>
      <c r="E20">
        <v>41.570999999999998</v>
      </c>
      <c r="F20">
        <v>2.6248017608631091</v>
      </c>
      <c r="G20">
        <v>-2.4534967285261171</v>
      </c>
      <c r="H20">
        <v>0.17130503233699229</v>
      </c>
      <c r="I20">
        <v>6.3732815981595997E-2</v>
      </c>
      <c r="J20">
        <v>5.551185809856117E-2</v>
      </c>
      <c r="K20">
        <v>0.26605664626538172</v>
      </c>
      <c r="L20" t="s">
        <v>96</v>
      </c>
      <c r="M20">
        <v>10472.718793987409</v>
      </c>
      <c r="N20">
        <v>-9789.2273934519599</v>
      </c>
      <c r="O20">
        <v>683.49140053544943</v>
      </c>
      <c r="P20">
        <v>254.2881026964578</v>
      </c>
      <c r="Q20">
        <v>221.4872331565322</v>
      </c>
      <c r="R20">
        <v>1050.48142723916</v>
      </c>
      <c r="S20" t="s">
        <v>96</v>
      </c>
      <c r="T20">
        <v>-8102.409933301934</v>
      </c>
    </row>
    <row r="21" spans="1:20" x14ac:dyDescent="0.25">
      <c r="A21" s="1" t="s">
        <v>24</v>
      </c>
      <c r="B21">
        <v>2009</v>
      </c>
      <c r="C21">
        <v>3992.1895238095249</v>
      </c>
      <c r="D21">
        <v>3950.618523809525</v>
      </c>
      <c r="E21">
        <v>41.570999999999998</v>
      </c>
      <c r="F21">
        <v>2.4758472016149722</v>
      </c>
      <c r="G21">
        <v>-1.9190791629204029</v>
      </c>
      <c r="H21">
        <v>0.55676803869456848</v>
      </c>
      <c r="I21">
        <v>2.662065422084732E-2</v>
      </c>
      <c r="J21">
        <v>5.353729823067032E-2</v>
      </c>
      <c r="K21">
        <v>0.1435170744883941</v>
      </c>
      <c r="L21" t="s">
        <v>96</v>
      </c>
      <c r="M21">
        <v>9884.0512608404188</v>
      </c>
      <c r="N21">
        <v>-7661.3277295719863</v>
      </c>
      <c r="O21">
        <v>2222.723531268432</v>
      </c>
      <c r="P21">
        <v>106.2746968974225</v>
      </c>
      <c r="Q21">
        <v>213.73104112954829</v>
      </c>
      <c r="R21">
        <v>566.98121295680107</v>
      </c>
      <c r="S21" t="s">
        <v>96</v>
      </c>
      <c r="T21">
        <v>-11402.271768259119</v>
      </c>
    </row>
    <row r="22" spans="1:20" x14ac:dyDescent="0.25">
      <c r="A22" s="1" t="s">
        <v>24</v>
      </c>
      <c r="B22">
        <v>2010</v>
      </c>
      <c r="C22">
        <v>3994.4705714285719</v>
      </c>
      <c r="D22">
        <v>3952.899571428572</v>
      </c>
      <c r="E22">
        <v>41.570999999999998</v>
      </c>
      <c r="F22">
        <v>2.372578437876236</v>
      </c>
      <c r="G22">
        <v>-2.0341846821823562</v>
      </c>
      <c r="H22">
        <v>0.33839375569387981</v>
      </c>
      <c r="I22">
        <v>2.656228043186766E-2</v>
      </c>
      <c r="J22">
        <v>5.1679166299945942E-2</v>
      </c>
      <c r="K22">
        <v>0.42735325913508049</v>
      </c>
      <c r="L22" t="s">
        <v>96</v>
      </c>
      <c r="M22">
        <v>9477.1947485025976</v>
      </c>
      <c r="N22">
        <v>-8125.4908498282048</v>
      </c>
      <c r="O22">
        <v>1351.703898674393</v>
      </c>
      <c r="P22">
        <v>106.1022474951284</v>
      </c>
      <c r="Q22">
        <v>206.4309089410973</v>
      </c>
      <c r="R22">
        <v>1689.284514883663</v>
      </c>
      <c r="S22" t="s">
        <v>96</v>
      </c>
      <c r="T22">
        <v>-12296.24575664682</v>
      </c>
    </row>
    <row r="23" spans="1:20" x14ac:dyDescent="0.25">
      <c r="A23" s="1" t="s">
        <v>24</v>
      </c>
      <c r="B23">
        <v>2011</v>
      </c>
      <c r="C23">
        <v>3996.751619047619</v>
      </c>
      <c r="D23">
        <v>3955.18061904762</v>
      </c>
      <c r="E23">
        <v>41.570999999999998</v>
      </c>
      <c r="F23">
        <v>2.5258402947297012</v>
      </c>
      <c r="G23">
        <v>-2.1465945486606111</v>
      </c>
      <c r="H23">
        <v>0.37924574606909067</v>
      </c>
      <c r="I23">
        <v>2.658717677079531E-2</v>
      </c>
      <c r="J23">
        <v>4.9823155335356292E-2</v>
      </c>
      <c r="K23">
        <v>0.32104113541522927</v>
      </c>
      <c r="L23" t="s">
        <v>96</v>
      </c>
      <c r="M23">
        <v>10095.15628741665</v>
      </c>
      <c r="N23">
        <v>-8579.4052377980897</v>
      </c>
      <c r="O23">
        <v>1515.751049618561</v>
      </c>
      <c r="P23">
        <v>106.2623418045814</v>
      </c>
      <c r="Q23">
        <v>199.13077675264631</v>
      </c>
      <c r="R23">
        <v>1269.7756767113569</v>
      </c>
      <c r="S23" t="s">
        <v>96</v>
      </c>
      <c r="T23">
        <v>-11333.37276458723</v>
      </c>
    </row>
    <row r="24" spans="1:20" x14ac:dyDescent="0.25">
      <c r="A24" s="1" t="s">
        <v>24</v>
      </c>
      <c r="B24">
        <v>2012</v>
      </c>
      <c r="C24">
        <v>3999.032666666667</v>
      </c>
      <c r="D24">
        <v>3957.461666666667</v>
      </c>
      <c r="E24">
        <v>41.570999999999998</v>
      </c>
      <c r="F24">
        <v>2.573565492304104</v>
      </c>
      <c r="G24">
        <v>-2.0767642369177022</v>
      </c>
      <c r="H24">
        <v>0.4968012553864023</v>
      </c>
      <c r="I24">
        <v>2.6515948198071911E-2</v>
      </c>
      <c r="J24">
        <v>4.7969261707505102E-2</v>
      </c>
      <c r="K24">
        <v>0.1166514962984621</v>
      </c>
      <c r="L24" t="s">
        <v>96</v>
      </c>
      <c r="M24">
        <v>10291.772473530191</v>
      </c>
      <c r="N24">
        <v>-8305.0480243989623</v>
      </c>
      <c r="O24">
        <v>1986.7244491312319</v>
      </c>
      <c r="P24">
        <v>106.0381430317307</v>
      </c>
      <c r="Q24">
        <v>191.8306445641953</v>
      </c>
      <c r="R24">
        <v>461.64382496047227</v>
      </c>
      <c r="S24" t="s">
        <v>96</v>
      </c>
      <c r="T24">
        <v>-10069.53589285556</v>
      </c>
    </row>
    <row r="25" spans="1:20" x14ac:dyDescent="0.25">
      <c r="A25" s="1" t="s">
        <v>24</v>
      </c>
      <c r="B25">
        <v>2013</v>
      </c>
      <c r="C25">
        <v>4001.313714285714</v>
      </c>
      <c r="D25">
        <v>3959.7427142857141</v>
      </c>
      <c r="E25">
        <v>41.570999999999998</v>
      </c>
      <c r="F25">
        <v>2.1519286279853</v>
      </c>
      <c r="G25">
        <v>-2.0021181685211742</v>
      </c>
      <c r="H25">
        <v>0.14981045946412641</v>
      </c>
      <c r="I25">
        <v>2.654517449505768E-2</v>
      </c>
      <c r="J25">
        <v>4.611748179527219E-2</v>
      </c>
      <c r="K25">
        <v>0.24640978463818219</v>
      </c>
      <c r="L25" t="s">
        <v>96</v>
      </c>
      <c r="M25">
        <v>8610.5415313216217</v>
      </c>
      <c r="N25">
        <v>-8011.1028853243688</v>
      </c>
      <c r="O25">
        <v>599.43864599725293</v>
      </c>
      <c r="P25">
        <v>106.2155707551816</v>
      </c>
      <c r="Q25">
        <v>184.53051237574439</v>
      </c>
      <c r="R25">
        <v>975.71934944975374</v>
      </c>
      <c r="S25" t="s">
        <v>96</v>
      </c>
      <c r="T25">
        <v>-6841.648288119708</v>
      </c>
    </row>
    <row r="26" spans="1:20" x14ac:dyDescent="0.25">
      <c r="A26" s="1" t="s">
        <v>24</v>
      </c>
      <c r="B26">
        <v>2014</v>
      </c>
      <c r="C26">
        <v>4003.594761904762</v>
      </c>
      <c r="D26">
        <v>3962.0237619047621</v>
      </c>
      <c r="E26">
        <v>41.570999999999998</v>
      </c>
      <c r="F26">
        <v>2.5611947609280961</v>
      </c>
      <c r="G26">
        <v>-1.9773132739653929</v>
      </c>
      <c r="H26">
        <v>0.58388148696270314</v>
      </c>
      <c r="I26">
        <v>2.6526692431636158E-2</v>
      </c>
      <c r="J26">
        <v>4.4267811985789933E-2</v>
      </c>
      <c r="K26">
        <v>0.12316304915781601</v>
      </c>
      <c r="L26" t="s">
        <v>96</v>
      </c>
      <c r="M26">
        <v>10253.98592906964</v>
      </c>
      <c r="N26">
        <v>-7916.3610662926021</v>
      </c>
      <c r="O26">
        <v>2337.6248627770419</v>
      </c>
      <c r="P26">
        <v>106.2021268699572</v>
      </c>
      <c r="Q26">
        <v>177.23038018729341</v>
      </c>
      <c r="R26">
        <v>487.97492735191139</v>
      </c>
      <c r="S26" t="s">
        <v>96</v>
      </c>
      <c r="T26">
        <v>-11399.785089683781</v>
      </c>
    </row>
    <row r="27" spans="1:20" x14ac:dyDescent="0.25">
      <c r="A27" s="1" t="s">
        <v>24</v>
      </c>
      <c r="B27">
        <v>2015</v>
      </c>
      <c r="C27">
        <v>4005.875809523809</v>
      </c>
      <c r="D27">
        <v>3964.3048095238091</v>
      </c>
      <c r="E27">
        <v>41.570999999999998</v>
      </c>
      <c r="F27">
        <v>2.141525151938322</v>
      </c>
      <c r="G27">
        <v>-2.052040934692323</v>
      </c>
      <c r="H27">
        <v>8.9484217245999101E-2</v>
      </c>
      <c r="I27">
        <v>2.658663212644103E-2</v>
      </c>
      <c r="J27">
        <v>4.3600654461926867E-2</v>
      </c>
      <c r="K27">
        <v>0.2370172892273921</v>
      </c>
      <c r="L27" t="s">
        <v>96</v>
      </c>
      <c r="M27">
        <v>8578.6838016365255</v>
      </c>
      <c r="N27">
        <v>-8220.2211404366044</v>
      </c>
      <c r="O27">
        <v>358.46266119992111</v>
      </c>
      <c r="P27">
        <v>106.5027464920187</v>
      </c>
      <c r="Q27">
        <v>174.65880698843921</v>
      </c>
      <c r="R27">
        <v>939.60877962444613</v>
      </c>
      <c r="S27" t="s">
        <v>96</v>
      </c>
      <c r="T27">
        <v>-5790.5209791182187</v>
      </c>
    </row>
    <row r="28" spans="1:20" x14ac:dyDescent="0.25">
      <c r="A28" s="1" t="s">
        <v>24</v>
      </c>
      <c r="B28">
        <v>2016</v>
      </c>
      <c r="C28">
        <v>4008.156857142857</v>
      </c>
      <c r="D28">
        <v>3966.5858571428571</v>
      </c>
      <c r="E28">
        <v>41.570999999999998</v>
      </c>
      <c r="F28">
        <v>2.4421603453511911</v>
      </c>
      <c r="G28">
        <v>-1.9610584657041319</v>
      </c>
      <c r="H28">
        <v>0.48110187964705869</v>
      </c>
      <c r="I28">
        <v>2.6534704391872829E-2</v>
      </c>
      <c r="J28">
        <v>4.2934256298605609E-2</v>
      </c>
      <c r="K28">
        <v>0.13032849773868921</v>
      </c>
      <c r="L28" t="s">
        <v>96</v>
      </c>
      <c r="M28">
        <v>9788.5617344617422</v>
      </c>
      <c r="N28">
        <v>-7860.2299365700655</v>
      </c>
      <c r="O28">
        <v>1928.3317978916759</v>
      </c>
      <c r="P28">
        <v>106.3552573605438</v>
      </c>
      <c r="Q28">
        <v>172.08723378958501</v>
      </c>
      <c r="R28">
        <v>516.95917591295949</v>
      </c>
      <c r="S28" t="s">
        <v>96</v>
      </c>
      <c r="T28">
        <v>-9987.0227048350425</v>
      </c>
    </row>
    <row r="29" spans="1:20" x14ac:dyDescent="0.25">
      <c r="A29" s="1" t="s">
        <v>24</v>
      </c>
      <c r="B29">
        <v>2017</v>
      </c>
      <c r="C29">
        <v>4010.437904761905</v>
      </c>
      <c r="D29">
        <v>3968.8669047619051</v>
      </c>
      <c r="E29">
        <v>41.570999999999998</v>
      </c>
      <c r="F29">
        <v>2.2559129821999311</v>
      </c>
      <c r="G29">
        <v>-2.0641915029919038</v>
      </c>
      <c r="H29">
        <v>0.19172147920802679</v>
      </c>
      <c r="I29">
        <v>2.6590994557842779E-2</v>
      </c>
      <c r="J29">
        <v>4.226861620010413E-2</v>
      </c>
      <c r="K29">
        <v>0.1298263324822273</v>
      </c>
      <c r="L29" t="s">
        <v>96</v>
      </c>
      <c r="M29">
        <v>9047.1989336590705</v>
      </c>
      <c r="N29">
        <v>-8278.3118462861785</v>
      </c>
      <c r="O29">
        <v>768.88708737289198</v>
      </c>
      <c r="P29">
        <v>106.64153250009019</v>
      </c>
      <c r="Q29">
        <v>169.5156605907307</v>
      </c>
      <c r="R29">
        <v>515.26343435532726</v>
      </c>
      <c r="S29" t="s">
        <v>96</v>
      </c>
      <c r="T29">
        <v>-5721.1282876703344</v>
      </c>
    </row>
    <row r="30" spans="1:20" x14ac:dyDescent="0.25">
      <c r="A30" s="1" t="s">
        <v>24</v>
      </c>
      <c r="B30">
        <v>2018</v>
      </c>
      <c r="C30">
        <v>4012.7189523809511</v>
      </c>
      <c r="D30">
        <v>3971.1479523809512</v>
      </c>
      <c r="E30">
        <v>41.570999999999998</v>
      </c>
      <c r="F30">
        <v>2.1255416500275039</v>
      </c>
      <c r="G30">
        <v>-2.2391826729164421</v>
      </c>
      <c r="H30">
        <v>-0.1136410228889379</v>
      </c>
      <c r="I30">
        <v>2.655890891828544E-2</v>
      </c>
      <c r="J30">
        <v>4.1603732873646687E-2</v>
      </c>
      <c r="K30">
        <v>-9.3631619565741429E-3</v>
      </c>
      <c r="L30" t="s">
        <v>96</v>
      </c>
      <c r="M30">
        <v>8529.2012631404432</v>
      </c>
      <c r="N30">
        <v>-8985.2107494548418</v>
      </c>
      <c r="O30">
        <v>-456.0094863143986</v>
      </c>
      <c r="P30">
        <v>106.5734371709634</v>
      </c>
      <c r="Q30">
        <v>166.94408739187651</v>
      </c>
      <c r="R30">
        <v>-37.182501431660633</v>
      </c>
      <c r="S30" t="s">
        <v>96</v>
      </c>
      <c r="T30">
        <v>805.47303167187749</v>
      </c>
    </row>
    <row r="31" spans="1:20" x14ac:dyDescent="0.25">
      <c r="A31" s="1" t="s">
        <v>24</v>
      </c>
      <c r="B31">
        <v>2019</v>
      </c>
      <c r="C31">
        <v>4015</v>
      </c>
      <c r="D31">
        <v>3973.4290000000001</v>
      </c>
      <c r="E31">
        <v>41.570999999999998</v>
      </c>
      <c r="F31">
        <v>1.991136475353614</v>
      </c>
      <c r="G31">
        <v>-2.464109728129614</v>
      </c>
      <c r="H31">
        <v>-0.47297325277599889</v>
      </c>
      <c r="I31">
        <v>6.6862055316545363E-2</v>
      </c>
      <c r="J31">
        <v>4.0939605029395337E-2</v>
      </c>
      <c r="K31">
        <v>6.3585561011653344E-2</v>
      </c>
      <c r="L31" t="s">
        <v>96</v>
      </c>
      <c r="M31">
        <v>7994.4129485447611</v>
      </c>
      <c r="N31">
        <v>-9893.4005584403967</v>
      </c>
      <c r="O31">
        <v>-1898.9876098956361</v>
      </c>
      <c r="P31">
        <v>268.45115209592961</v>
      </c>
      <c r="Q31">
        <v>164.37251419302231</v>
      </c>
      <c r="R31">
        <v>252.65271210497269</v>
      </c>
      <c r="S31" t="s">
        <v>96</v>
      </c>
      <c r="T31">
        <v>4449.541182173346</v>
      </c>
    </row>
    <row r="32" spans="1:20" x14ac:dyDescent="0.25">
      <c r="A32" s="1" t="s">
        <v>24</v>
      </c>
      <c r="B32">
        <v>2020</v>
      </c>
      <c r="C32">
        <v>4017.281047619048</v>
      </c>
      <c r="D32">
        <v>3975.7100476190481</v>
      </c>
      <c r="E32">
        <v>41.570999999999998</v>
      </c>
      <c r="F32">
        <v>2.2428041359543691</v>
      </c>
      <c r="G32">
        <v>-2.1971674264829302</v>
      </c>
      <c r="H32">
        <v>4.5636709471439572E-2</v>
      </c>
      <c r="I32">
        <v>6.6900176578842854E-2</v>
      </c>
      <c r="J32">
        <v>4.0276231380441709E-2</v>
      </c>
      <c r="K32">
        <v>0.1120204253524628</v>
      </c>
      <c r="L32" t="s">
        <v>96</v>
      </c>
      <c r="M32">
        <v>9009.9745488911012</v>
      </c>
      <c r="N32">
        <v>-8826.6390608557904</v>
      </c>
      <c r="O32">
        <v>183.33548803531079</v>
      </c>
      <c r="P32">
        <v>268.75681145255311</v>
      </c>
      <c r="Q32">
        <v>161.800940994168</v>
      </c>
      <c r="R32">
        <v>445.36073061234572</v>
      </c>
      <c r="S32" t="s">
        <v>96</v>
      </c>
      <c r="T32">
        <v>-3883.9312273464052</v>
      </c>
    </row>
    <row r="33" spans="1:20" x14ac:dyDescent="0.25">
      <c r="A33" s="1" t="s">
        <v>24</v>
      </c>
      <c r="B33">
        <v>2021</v>
      </c>
      <c r="C33">
        <v>4019.5620952380941</v>
      </c>
      <c r="D33">
        <v>3977.9910952380942</v>
      </c>
      <c r="E33">
        <v>41.570999999999998</v>
      </c>
      <c r="F33">
        <v>2.3499262780377399</v>
      </c>
      <c r="G33">
        <v>-2.3933134460622369</v>
      </c>
      <c r="H33">
        <v>-4.3387168024496839E-2</v>
      </c>
      <c r="I33">
        <v>6.6948491693192627E-2</v>
      </c>
      <c r="J33">
        <v>3.9613610642798648E-2</v>
      </c>
      <c r="K33">
        <v>0.25004494906637209</v>
      </c>
      <c r="L33" t="s">
        <v>96</v>
      </c>
      <c r="M33">
        <v>9445.6745938044332</v>
      </c>
      <c r="N33">
        <v>-9620.072009815427</v>
      </c>
      <c r="O33">
        <v>-174.39741601099379</v>
      </c>
      <c r="P33">
        <v>269.1036195433195</v>
      </c>
      <c r="Q33">
        <v>159.22936779531381</v>
      </c>
      <c r="R33">
        <v>994.67658079529099</v>
      </c>
      <c r="S33" t="s">
        <v>96</v>
      </c>
      <c r="T33">
        <v>-4578.2445577844956</v>
      </c>
    </row>
    <row r="34" spans="1:20" x14ac:dyDescent="0.25">
      <c r="A34" s="1" t="s">
        <v>24</v>
      </c>
      <c r="B34">
        <v>2022</v>
      </c>
      <c r="C34">
        <v>4021.843142857143</v>
      </c>
      <c r="D34">
        <v>3980.2721428571431</v>
      </c>
      <c r="E34">
        <v>41.570999999999998</v>
      </c>
      <c r="F34">
        <v>2.5147401524864672</v>
      </c>
      <c r="G34">
        <v>-2.5275666042795342</v>
      </c>
      <c r="H34">
        <v>-1.2826451793066639E-2</v>
      </c>
      <c r="I34">
        <v>6.6981057145680353E-2</v>
      </c>
      <c r="J34">
        <v>3.8972690151502842E-2</v>
      </c>
      <c r="K34">
        <v>-2.6368521821107179E-3</v>
      </c>
      <c r="L34" t="s">
        <v>96</v>
      </c>
      <c r="M34">
        <v>10113.890438345221</v>
      </c>
      <c r="N34">
        <v>-10165.476415536359</v>
      </c>
      <c r="O34">
        <v>-51.58597719113277</v>
      </c>
      <c r="P34">
        <v>269.38730538267691</v>
      </c>
      <c r="Q34">
        <v>156.74204664451781</v>
      </c>
      <c r="R34">
        <v>-10.495389285287359</v>
      </c>
      <c r="S34" t="s">
        <v>96</v>
      </c>
      <c r="T34">
        <v>-1334.842613686295</v>
      </c>
    </row>
    <row r="35" spans="1:20" x14ac:dyDescent="0.25">
      <c r="A35" s="1" t="s">
        <v>24</v>
      </c>
      <c r="B35">
        <v>2023</v>
      </c>
      <c r="C35">
        <v>4024.1241904761901</v>
      </c>
      <c r="D35">
        <v>3982.5531904761901</v>
      </c>
      <c r="E35">
        <v>41.570999999999998</v>
      </c>
      <c r="F35">
        <v>2.2751360416702759</v>
      </c>
      <c r="G35">
        <v>-2.4850610657339711</v>
      </c>
      <c r="H35">
        <v>-0.20992502406369451</v>
      </c>
      <c r="I35">
        <v>6.6988539796271077E-2</v>
      </c>
      <c r="J35">
        <v>3.8332496263110659E-2</v>
      </c>
      <c r="K35">
        <v>-0.24621374295436549</v>
      </c>
      <c r="L35" t="s">
        <v>96</v>
      </c>
      <c r="M35">
        <v>9155.429981909605</v>
      </c>
      <c r="N35">
        <v>-10000.194349430611</v>
      </c>
      <c r="O35">
        <v>-844.76436752100926</v>
      </c>
      <c r="P35">
        <v>269.5702034788514</v>
      </c>
      <c r="Q35">
        <v>154.25472549372179</v>
      </c>
      <c r="R35">
        <v>-980.55932754199284</v>
      </c>
      <c r="S35" t="s">
        <v>96</v>
      </c>
      <c r="T35">
        <v>5138.8288089987063</v>
      </c>
    </row>
    <row r="36" spans="1:20" x14ac:dyDescent="0.25">
      <c r="A36" s="1" t="s">
        <v>25</v>
      </c>
      <c r="B36">
        <v>1990</v>
      </c>
      <c r="C36">
        <v>708.60066251415901</v>
      </c>
      <c r="D36">
        <v>708.60066251415901</v>
      </c>
      <c r="E36" t="s">
        <v>96</v>
      </c>
      <c r="F36">
        <v>0.73469273367406063</v>
      </c>
      <c r="G36">
        <v>-1.9923700844780689E-3</v>
      </c>
      <c r="H36">
        <v>0.73270036358958257</v>
      </c>
      <c r="I36">
        <v>3.0877843351602572E-5</v>
      </c>
      <c r="J36">
        <v>1.2286131354637901E-4</v>
      </c>
      <c r="K36">
        <v>7.3529376630901931E-4</v>
      </c>
      <c r="L36" t="s">
        <v>96</v>
      </c>
      <c r="M36">
        <v>520.60375782577796</v>
      </c>
      <c r="N36">
        <v>-1.411794761834551</v>
      </c>
      <c r="O36">
        <v>519.19196306394338</v>
      </c>
      <c r="P36">
        <v>2.1880060255954001E-2</v>
      </c>
      <c r="Q36">
        <v>8.7059608176323994E-2</v>
      </c>
      <c r="R36">
        <v>0.52102964994910228</v>
      </c>
      <c r="S36" t="s">
        <v>96</v>
      </c>
      <c r="T36">
        <v>-1906.0137520686981</v>
      </c>
    </row>
    <row r="37" spans="1:20" x14ac:dyDescent="0.25">
      <c r="A37" s="1" t="s">
        <v>25</v>
      </c>
      <c r="B37">
        <v>1991</v>
      </c>
      <c r="C37">
        <v>708.93428971985395</v>
      </c>
      <c r="D37">
        <v>708.93428971985395</v>
      </c>
      <c r="E37" t="s">
        <v>96</v>
      </c>
      <c r="F37">
        <v>0.73419532507847818</v>
      </c>
      <c r="G37">
        <v>-1.993199642377087E-3</v>
      </c>
      <c r="H37">
        <v>0.73220212543610108</v>
      </c>
      <c r="I37">
        <v>6.172662423932333E-5</v>
      </c>
      <c r="J37">
        <v>2.4560698907857148E-4</v>
      </c>
      <c r="K37">
        <v>1.4626021965605631E-3</v>
      </c>
      <c r="L37" t="s">
        <v>96</v>
      </c>
      <c r="M37">
        <v>520.4962413001482</v>
      </c>
      <c r="N37">
        <v>-1.413047572738467</v>
      </c>
      <c r="O37">
        <v>519.08319372740971</v>
      </c>
      <c r="P37">
        <v>4.3760120511909001E-2</v>
      </c>
      <c r="Q37">
        <v>0.17411921635264899</v>
      </c>
      <c r="R37">
        <v>1.0368888493613611</v>
      </c>
      <c r="S37" t="s">
        <v>96</v>
      </c>
      <c r="T37">
        <v>-1907.905860350171</v>
      </c>
    </row>
    <row r="38" spans="1:20" x14ac:dyDescent="0.25">
      <c r="A38" s="1" t="s">
        <v>25</v>
      </c>
      <c r="B38">
        <v>1992</v>
      </c>
      <c r="C38">
        <v>709.26791692555014</v>
      </c>
      <c r="D38">
        <v>709.26791692555014</v>
      </c>
      <c r="E38" t="s">
        <v>96</v>
      </c>
      <c r="F38">
        <v>0.73369623946625007</v>
      </c>
      <c r="G38">
        <v>-1.9945873593956941E-3</v>
      </c>
      <c r="H38">
        <v>0.73170165210685434</v>
      </c>
      <c r="I38">
        <v>9.2546383674582683E-5</v>
      </c>
      <c r="J38">
        <v>3.6823718977886351E-4</v>
      </c>
      <c r="K38">
        <v>2.1819365592412958E-3</v>
      </c>
      <c r="L38" t="s">
        <v>96</v>
      </c>
      <c r="M38">
        <v>520.38720342233682</v>
      </c>
      <c r="N38">
        <v>-1.414696821524617</v>
      </c>
      <c r="O38">
        <v>518.97250660081215</v>
      </c>
      <c r="P38">
        <v>6.5640180767864001E-2</v>
      </c>
      <c r="Q38">
        <v>0.26117882452897301</v>
      </c>
      <c r="R38">
        <v>1.5475775982367761</v>
      </c>
      <c r="S38" t="s">
        <v>96</v>
      </c>
      <c r="T38">
        <v>-1909.7719784161079</v>
      </c>
    </row>
    <row r="39" spans="1:20" x14ac:dyDescent="0.25">
      <c r="A39" s="1" t="s">
        <v>25</v>
      </c>
      <c r="B39">
        <v>1993</v>
      </c>
      <c r="C39">
        <v>709.60154413124508</v>
      </c>
      <c r="D39">
        <v>709.60154413124508</v>
      </c>
      <c r="E39" t="s">
        <v>96</v>
      </c>
      <c r="F39">
        <v>0.73319547493048165</v>
      </c>
      <c r="G39">
        <v>-1.9951226942430721E-3</v>
      </c>
      <c r="H39">
        <v>0.73120035223623869</v>
      </c>
      <c r="I39">
        <v>1.2333716259167361E-4</v>
      </c>
      <c r="J39">
        <v>4.9075207852265778E-4</v>
      </c>
      <c r="K39">
        <v>2.8933081016458639E-3</v>
      </c>
      <c r="L39" t="s">
        <v>96</v>
      </c>
      <c r="M39">
        <v>520.27664116071139</v>
      </c>
      <c r="N39">
        <v>-1.415742144566174</v>
      </c>
      <c r="O39">
        <v>518.86089901614525</v>
      </c>
      <c r="P39">
        <v>8.7520241023818002E-2</v>
      </c>
      <c r="Q39">
        <v>0.34823843270529597</v>
      </c>
      <c r="R39">
        <v>2.0530958965753459</v>
      </c>
      <c r="S39" t="s">
        <v>96</v>
      </c>
      <c r="T39">
        <v>-1911.61576315049</v>
      </c>
    </row>
    <row r="40" spans="1:20" x14ac:dyDescent="0.25">
      <c r="A40" s="1" t="s">
        <v>25</v>
      </c>
      <c r="B40">
        <v>1994</v>
      </c>
      <c r="C40">
        <v>709.93517133694093</v>
      </c>
      <c r="D40">
        <v>709.93517133694093</v>
      </c>
      <c r="E40" t="s">
        <v>96</v>
      </c>
      <c r="F40">
        <v>0.73269302955872451</v>
      </c>
      <c r="G40">
        <v>-1.9953536191263319E-3</v>
      </c>
      <c r="H40">
        <v>0.73069767593959833</v>
      </c>
      <c r="I40">
        <v>1.5409900184794439E-4</v>
      </c>
      <c r="J40">
        <v>6.1315181787919204E-4</v>
      </c>
      <c r="K40">
        <v>3.5967280499266752E-3</v>
      </c>
      <c r="L40" t="s">
        <v>96</v>
      </c>
      <c r="M40">
        <v>520.16455147715544</v>
      </c>
      <c r="N40">
        <v>-1.416571713472238</v>
      </c>
      <c r="O40">
        <v>518.74797976368325</v>
      </c>
      <c r="P40">
        <v>0.109400301279772</v>
      </c>
      <c r="Q40">
        <v>0.435298040881621</v>
      </c>
      <c r="R40">
        <v>2.5534437443770752</v>
      </c>
      <c r="S40" t="s">
        <v>96</v>
      </c>
      <c r="T40">
        <v>-1913.4357801176541</v>
      </c>
    </row>
    <row r="41" spans="1:20" x14ac:dyDescent="0.25">
      <c r="A41" s="1" t="s">
        <v>25</v>
      </c>
      <c r="B41">
        <v>1995</v>
      </c>
      <c r="C41">
        <v>710.268798542637</v>
      </c>
      <c r="D41">
        <v>710.268798542637</v>
      </c>
      <c r="E41" t="s">
        <v>96</v>
      </c>
      <c r="F41">
        <v>0.73218890143326687</v>
      </c>
      <c r="G41">
        <v>-1.9953288677700049E-3</v>
      </c>
      <c r="H41">
        <v>0.73019357256549688</v>
      </c>
      <c r="I41">
        <v>1.8483194222397811E-4</v>
      </c>
      <c r="J41">
        <v>7.3543657011224909E-4</v>
      </c>
      <c r="K41">
        <v>4.29220760914355E-3</v>
      </c>
      <c r="L41" t="s">
        <v>96</v>
      </c>
      <c r="M41">
        <v>520.05093132725972</v>
      </c>
      <c r="N41">
        <v>-1.4172198376084419</v>
      </c>
      <c r="O41">
        <v>518.63371148965132</v>
      </c>
      <c r="P41">
        <v>0.131280361535727</v>
      </c>
      <c r="Q41">
        <v>0.52235764905794502</v>
      </c>
      <c r="R41">
        <v>3.048621141641954</v>
      </c>
      <c r="S41" t="s">
        <v>96</v>
      </c>
      <c r="T41">
        <v>-1915.23189235376</v>
      </c>
    </row>
    <row r="42" spans="1:20" x14ac:dyDescent="0.25">
      <c r="A42" s="1" t="s">
        <v>25</v>
      </c>
      <c r="B42">
        <v>1996</v>
      </c>
      <c r="C42">
        <v>710.60242574833194</v>
      </c>
      <c r="D42">
        <v>710.60242574833194</v>
      </c>
      <c r="E42" t="s">
        <v>96</v>
      </c>
      <c r="F42">
        <v>0.73168308863077225</v>
      </c>
      <c r="G42">
        <v>-1.995315762499473E-3</v>
      </c>
      <c r="H42">
        <v>0.7296877728682728</v>
      </c>
      <c r="I42">
        <v>2.1553602442376759E-4</v>
      </c>
      <c r="J42">
        <v>8.5760649718088936E-4</v>
      </c>
      <c r="K42">
        <v>4.9797579633132916E-3</v>
      </c>
      <c r="L42" t="s">
        <v>96</v>
      </c>
      <c r="M42">
        <v>519.93577766005853</v>
      </c>
      <c r="N42">
        <v>-1.4178762209660081</v>
      </c>
      <c r="O42">
        <v>518.5179014390925</v>
      </c>
      <c r="P42">
        <v>0.15316042179168099</v>
      </c>
      <c r="Q42">
        <v>0.60941725723426998</v>
      </c>
      <c r="R42">
        <v>3.538628088369999</v>
      </c>
      <c r="S42" t="s">
        <v>96</v>
      </c>
      <c r="T42">
        <v>-1917.003393090632</v>
      </c>
    </row>
    <row r="43" spans="1:20" x14ac:dyDescent="0.25">
      <c r="A43" s="1" t="s">
        <v>25</v>
      </c>
      <c r="B43">
        <v>1997</v>
      </c>
      <c r="C43">
        <v>710.94319229468726</v>
      </c>
      <c r="D43">
        <v>710.94319229468726</v>
      </c>
      <c r="E43" t="s">
        <v>96</v>
      </c>
      <c r="F43">
        <v>0.73117706434010921</v>
      </c>
      <c r="G43">
        <v>-1.9958552847452568E-3</v>
      </c>
      <c r="H43">
        <v>0.72918120905536388</v>
      </c>
      <c r="I43">
        <v>2.4620881660412811E-4</v>
      </c>
      <c r="J43">
        <v>9.7965192290905712E-4</v>
      </c>
      <c r="K43">
        <v>5.6593334434707782E-3</v>
      </c>
      <c r="L43" t="s">
        <v>96</v>
      </c>
      <c r="M43">
        <v>519.82535625461514</v>
      </c>
      <c r="N43">
        <v>-1.4189397274950151</v>
      </c>
      <c r="O43">
        <v>518.40641652712009</v>
      </c>
      <c r="P43">
        <v>0.175040482047636</v>
      </c>
      <c r="Q43">
        <v>0.69647686541059395</v>
      </c>
      <c r="R43">
        <v>4.0234645845612</v>
      </c>
      <c r="S43" t="s">
        <v>96</v>
      </c>
      <c r="T43">
        <v>-1918.771794350353</v>
      </c>
    </row>
    <row r="44" spans="1:20" x14ac:dyDescent="0.25">
      <c r="A44" s="1" t="s">
        <v>25</v>
      </c>
      <c r="B44">
        <v>1998</v>
      </c>
      <c r="C44">
        <v>711.28395884104157</v>
      </c>
      <c r="D44">
        <v>711.28395884104157</v>
      </c>
      <c r="E44" t="s">
        <v>96</v>
      </c>
      <c r="F44">
        <v>0.730669332779326</v>
      </c>
      <c r="G44">
        <v>-1.9973653091803702E-3</v>
      </c>
      <c r="H44">
        <v>0.72867196747014573</v>
      </c>
      <c r="I44">
        <v>2.7685221894284141E-4</v>
      </c>
      <c r="J44">
        <v>1.101580408004145E-3</v>
      </c>
      <c r="K44">
        <v>6.3309885935750607E-3</v>
      </c>
      <c r="L44" t="s">
        <v>96</v>
      </c>
      <c r="M44">
        <v>519.71337562302142</v>
      </c>
      <c r="N44">
        <v>-1.4206939043655751</v>
      </c>
      <c r="O44">
        <v>518.2926817186559</v>
      </c>
      <c r="P44">
        <v>0.19692054230359099</v>
      </c>
      <c r="Q44">
        <v>0.78353647358691803</v>
      </c>
      <c r="R44">
        <v>4.5031306302155469</v>
      </c>
      <c r="S44" t="s">
        <v>96</v>
      </c>
      <c r="T44">
        <v>-1920.512987670968</v>
      </c>
    </row>
    <row r="45" spans="1:20" x14ac:dyDescent="0.25">
      <c r="A45" s="1" t="s">
        <v>25</v>
      </c>
      <c r="B45">
        <v>1999</v>
      </c>
      <c r="C45">
        <v>711.62472538739689</v>
      </c>
      <c r="D45">
        <v>711.62472538739689</v>
      </c>
      <c r="E45" t="s">
        <v>96</v>
      </c>
      <c r="F45">
        <v>0.78950076734665187</v>
      </c>
      <c r="G45">
        <v>-1.9970111734470952E-3</v>
      </c>
      <c r="H45">
        <v>0.78750375617320489</v>
      </c>
      <c r="I45">
        <v>3.0746627366050772E-4</v>
      </c>
      <c r="J45">
        <v>1.2233921204597041E-3</v>
      </c>
      <c r="K45">
        <v>6.9947347917447946E-3</v>
      </c>
      <c r="L45" t="s">
        <v>96</v>
      </c>
      <c r="M45">
        <v>561.82826675620026</v>
      </c>
      <c r="N45">
        <v>-1.4211225278998521</v>
      </c>
      <c r="O45">
        <v>560.40714422830047</v>
      </c>
      <c r="P45">
        <v>0.218800602559545</v>
      </c>
      <c r="Q45">
        <v>0.87059608176324199</v>
      </c>
      <c r="R45">
        <v>4.9776262253330614</v>
      </c>
      <c r="S45" t="s">
        <v>96</v>
      </c>
      <c r="T45">
        <v>-2077.0719461726949</v>
      </c>
    </row>
    <row r="46" spans="1:20" x14ac:dyDescent="0.25">
      <c r="A46" s="1" t="s">
        <v>25</v>
      </c>
      <c r="B46">
        <v>2000</v>
      </c>
      <c r="C46">
        <v>711.96549193375131</v>
      </c>
      <c r="D46">
        <v>711.96549193375131</v>
      </c>
      <c r="E46" t="s">
        <v>96</v>
      </c>
      <c r="F46">
        <v>0.79503357725803259</v>
      </c>
      <c r="G46">
        <v>-1.996086490760171E-3</v>
      </c>
      <c r="H46">
        <v>0.79303749076727237</v>
      </c>
      <c r="I46">
        <v>3.3805102289689967E-4</v>
      </c>
      <c r="J46">
        <v>1.345087227947666E-3</v>
      </c>
      <c r="K46">
        <v>7.6505833943150752E-3</v>
      </c>
      <c r="L46" t="s">
        <v>96</v>
      </c>
      <c r="M46">
        <v>566.03647193636527</v>
      </c>
      <c r="N46">
        <v>-1.42114470033638</v>
      </c>
      <c r="O46">
        <v>564.61532723602886</v>
      </c>
      <c r="P46">
        <v>0.24068066281549899</v>
      </c>
      <c r="Q46">
        <v>0.95765568993956607</v>
      </c>
      <c r="R46">
        <v>5.4469513699137213</v>
      </c>
      <c r="S46" t="s">
        <v>96</v>
      </c>
      <c r="T46">
        <v>-2094.622254848749</v>
      </c>
    </row>
    <row r="47" spans="1:20" x14ac:dyDescent="0.25">
      <c r="A47" s="1" t="s">
        <v>25</v>
      </c>
      <c r="B47">
        <v>2001</v>
      </c>
      <c r="C47">
        <v>712.30625848010652</v>
      </c>
      <c r="D47">
        <v>712.30625848010652</v>
      </c>
      <c r="E47" t="s">
        <v>96</v>
      </c>
      <c r="F47">
        <v>0.80209404203813262</v>
      </c>
      <c r="G47">
        <v>-1.9954466234541278E-3</v>
      </c>
      <c r="H47">
        <v>0.80009859541467843</v>
      </c>
      <c r="I47">
        <v>3.6860650871114992E-4</v>
      </c>
      <c r="J47">
        <v>1.466665897819101E-3</v>
      </c>
      <c r="K47">
        <v>8.2985457358895776E-3</v>
      </c>
      <c r="L47" t="s">
        <v>96</v>
      </c>
      <c r="M47">
        <v>571.3366060333675</v>
      </c>
      <c r="N47">
        <v>-1.421369118349372</v>
      </c>
      <c r="O47">
        <v>569.91523691501811</v>
      </c>
      <c r="P47">
        <v>0.26256072307145401</v>
      </c>
      <c r="Q47">
        <v>1.04471529811589</v>
      </c>
      <c r="R47">
        <v>5.911106063957547</v>
      </c>
      <c r="S47" t="s">
        <v>96</v>
      </c>
      <c r="T47">
        <v>-2116.1566030007898</v>
      </c>
    </row>
    <row r="48" spans="1:20" x14ac:dyDescent="0.25">
      <c r="A48" s="1" t="s">
        <v>25</v>
      </c>
      <c r="B48">
        <v>2002</v>
      </c>
      <c r="C48">
        <v>712.64702502646196</v>
      </c>
      <c r="D48">
        <v>712.64702502646196</v>
      </c>
      <c r="E48" t="s">
        <v>96</v>
      </c>
      <c r="F48">
        <v>0.76109105481565398</v>
      </c>
      <c r="G48">
        <v>-1.995477100039045E-3</v>
      </c>
      <c r="H48">
        <v>0.75909557771561498</v>
      </c>
      <c r="I48">
        <v>3.9913277308194358E-4</v>
      </c>
      <c r="J48">
        <v>1.588128297104988E-3</v>
      </c>
      <c r="K48">
        <v>8.9386331293924877E-3</v>
      </c>
      <c r="L48" t="s">
        <v>96</v>
      </c>
      <c r="M48">
        <v>542.38927598862767</v>
      </c>
      <c r="N48">
        <v>-1.422070818851257</v>
      </c>
      <c r="O48">
        <v>540.96720516977643</v>
      </c>
      <c r="P48">
        <v>0.28444078332740902</v>
      </c>
      <c r="Q48">
        <v>1.1317749062922109</v>
      </c>
      <c r="R48">
        <v>6.3700903074645296</v>
      </c>
      <c r="S48" t="s">
        <v>96</v>
      </c>
      <c r="T48">
        <v>-2012.0962076120049</v>
      </c>
    </row>
    <row r="49" spans="1:20" x14ac:dyDescent="0.25">
      <c r="A49" s="1" t="s">
        <v>25</v>
      </c>
      <c r="B49">
        <v>2003</v>
      </c>
      <c r="C49">
        <v>712.98779157281615</v>
      </c>
      <c r="D49">
        <v>712.98779157281615</v>
      </c>
      <c r="E49" t="s">
        <v>96</v>
      </c>
      <c r="F49">
        <v>0.76673611138684694</v>
      </c>
      <c r="G49">
        <v>-1.9952451017902061E-3</v>
      </c>
      <c r="H49">
        <v>0.76474086628505678</v>
      </c>
      <c r="I49">
        <v>4.2962985790771292E-4</v>
      </c>
      <c r="J49">
        <v>1.70947459251701E-3</v>
      </c>
      <c r="K49">
        <v>9.5708568661203326E-3</v>
      </c>
      <c r="L49" t="s">
        <v>96</v>
      </c>
      <c r="M49">
        <v>546.67348677683674</v>
      </c>
      <c r="N49">
        <v>-1.422585398771878</v>
      </c>
      <c r="O49">
        <v>545.2509013780649</v>
      </c>
      <c r="P49">
        <v>0.30632084358336298</v>
      </c>
      <c r="Q49">
        <v>1.2188345144685431</v>
      </c>
      <c r="R49">
        <v>6.8239041004346603</v>
      </c>
      <c r="S49" t="s">
        <v>96</v>
      </c>
      <c r="T49">
        <v>-2029.8665230675399</v>
      </c>
    </row>
    <row r="50" spans="1:20" x14ac:dyDescent="0.25">
      <c r="A50" s="1" t="s">
        <v>25</v>
      </c>
      <c r="B50">
        <v>2004</v>
      </c>
      <c r="C50">
        <v>713.32855811917159</v>
      </c>
      <c r="D50">
        <v>713.32855811917159</v>
      </c>
      <c r="E50" t="s">
        <v>96</v>
      </c>
      <c r="F50">
        <v>0.7723808040424196</v>
      </c>
      <c r="G50">
        <v>-1.994805340701762E-3</v>
      </c>
      <c r="H50">
        <v>0.77038599870171787</v>
      </c>
      <c r="I50">
        <v>4.6009780500682891E-4</v>
      </c>
      <c r="J50">
        <v>1.8307049504482299E-3</v>
      </c>
      <c r="K50">
        <v>1.019522821579362E-2</v>
      </c>
      <c r="L50" t="s">
        <v>96</v>
      </c>
      <c r="M50">
        <v>550.96128526650557</v>
      </c>
      <c r="N50">
        <v>-1.4229516174112109</v>
      </c>
      <c r="O50">
        <v>549.5383336490944</v>
      </c>
      <c r="P50">
        <v>0.32820090383931699</v>
      </c>
      <c r="Q50">
        <v>1.305894122644865</v>
      </c>
      <c r="R50">
        <v>7.2725474428679568</v>
      </c>
      <c r="S50" t="s">
        <v>96</v>
      </c>
      <c r="T50">
        <v>-2047.6315791011559</v>
      </c>
    </row>
    <row r="51" spans="1:20" x14ac:dyDescent="0.25">
      <c r="A51" s="1" t="s">
        <v>25</v>
      </c>
      <c r="B51">
        <v>2005</v>
      </c>
      <c r="C51">
        <v>713.64433697321829</v>
      </c>
      <c r="D51">
        <v>713.64433697321829</v>
      </c>
      <c r="E51" t="s">
        <v>96</v>
      </c>
      <c r="F51">
        <v>0.77801623701260803</v>
      </c>
      <c r="G51">
        <v>-1.9928797643027252E-3</v>
      </c>
      <c r="H51">
        <v>0.7760233572483054</v>
      </c>
      <c r="I51">
        <v>4.9055383187102889E-4</v>
      </c>
      <c r="J51">
        <v>1.9518878783920939E-3</v>
      </c>
      <c r="K51">
        <v>1.0849675024134611E-2</v>
      </c>
      <c r="L51" t="s">
        <v>96</v>
      </c>
      <c r="M51">
        <v>555.22688161726091</v>
      </c>
      <c r="N51">
        <v>-1.422207358063162</v>
      </c>
      <c r="O51">
        <v>553.80467425919778</v>
      </c>
      <c r="P51">
        <v>0.35008096409527201</v>
      </c>
      <c r="Q51">
        <v>1.3929537308211879</v>
      </c>
      <c r="R51">
        <v>7.7428091389734286</v>
      </c>
      <c r="S51" t="s">
        <v>96</v>
      </c>
      <c r="T51">
        <v>-2065.3985663415092</v>
      </c>
    </row>
    <row r="52" spans="1:20" x14ac:dyDescent="0.25">
      <c r="A52" s="1" t="s">
        <v>25</v>
      </c>
      <c r="B52">
        <v>2006</v>
      </c>
      <c r="C52">
        <v>713.96011582726589</v>
      </c>
      <c r="D52">
        <v>713.96011582726589</v>
      </c>
      <c r="E52" t="s">
        <v>96</v>
      </c>
      <c r="F52">
        <v>0.78365173769365493</v>
      </c>
      <c r="G52">
        <v>-1.991472173254385E-3</v>
      </c>
      <c r="H52">
        <v>0.78166026552040058</v>
      </c>
      <c r="I52">
        <v>5.2098291782060491E-4</v>
      </c>
      <c r="J52">
        <v>2.0729636098546179E-3</v>
      </c>
      <c r="K52">
        <v>1.150099116608751E-2</v>
      </c>
      <c r="L52" t="s">
        <v>96</v>
      </c>
      <c r="M52">
        <v>559.49608541200007</v>
      </c>
      <c r="N52">
        <v>-1.421831703483478</v>
      </c>
      <c r="O52">
        <v>558.07425370851661</v>
      </c>
      <c r="P52">
        <v>0.37196102435122602</v>
      </c>
      <c r="Q52">
        <v>1.4800133389975101</v>
      </c>
      <c r="R52">
        <v>8.2112489850681989</v>
      </c>
      <c r="S52" t="s">
        <v>96</v>
      </c>
      <c r="T52">
        <v>-2083.1707492089458</v>
      </c>
    </row>
    <row r="53" spans="1:20" x14ac:dyDescent="0.25">
      <c r="A53" s="1" t="s">
        <v>25</v>
      </c>
      <c r="B53">
        <v>2007</v>
      </c>
      <c r="C53">
        <v>714.27589468131362</v>
      </c>
      <c r="D53">
        <v>714.27589468131362</v>
      </c>
      <c r="E53" t="s">
        <v>96</v>
      </c>
      <c r="F53">
        <v>0.78928732100732668</v>
      </c>
      <c r="G53">
        <v>-1.9910503935081209E-3</v>
      </c>
      <c r="H53">
        <v>0.78729627061381857</v>
      </c>
      <c r="I53">
        <v>5.5138509858701024E-4</v>
      </c>
      <c r="J53">
        <v>2.1939322870093612E-3</v>
      </c>
      <c r="K53">
        <v>1.2149180793822E-2</v>
      </c>
      <c r="L53" t="s">
        <v>96</v>
      </c>
      <c r="M53">
        <v>563.76890737312544</v>
      </c>
      <c r="N53">
        <v>-1.4221593011785949</v>
      </c>
      <c r="O53">
        <v>562.34674807194688</v>
      </c>
      <c r="P53">
        <v>0.39384108460718098</v>
      </c>
      <c r="Q53">
        <v>1.5670729471738321</v>
      </c>
      <c r="R53">
        <v>8.677866981152242</v>
      </c>
      <c r="S53" t="s">
        <v>96</v>
      </c>
      <c r="T53">
        <v>-2100.9469399780851</v>
      </c>
    </row>
    <row r="54" spans="1:20" x14ac:dyDescent="0.25">
      <c r="A54" s="1" t="s">
        <v>25</v>
      </c>
      <c r="B54">
        <v>2008</v>
      </c>
      <c r="C54">
        <v>714.5916735353602</v>
      </c>
      <c r="D54">
        <v>714.5916735353602</v>
      </c>
      <c r="E54" t="s">
        <v>96</v>
      </c>
      <c r="F54">
        <v>0.79492300265158655</v>
      </c>
      <c r="G54">
        <v>-1.991502122862292E-3</v>
      </c>
      <c r="H54">
        <v>0.79293150052872419</v>
      </c>
      <c r="I54">
        <v>5.8176040983853536E-4</v>
      </c>
      <c r="J54">
        <v>2.3147940517785968E-3</v>
      </c>
      <c r="K54">
        <v>1.279424805216845E-2</v>
      </c>
      <c r="L54" t="s">
        <v>96</v>
      </c>
      <c r="M54">
        <v>568.04535879655077</v>
      </c>
      <c r="N54">
        <v>-1.4231108348253869</v>
      </c>
      <c r="O54">
        <v>566.62224796172541</v>
      </c>
      <c r="P54">
        <v>0.41572114486313599</v>
      </c>
      <c r="Q54">
        <v>1.6541325553501649</v>
      </c>
      <c r="R54">
        <v>9.1426631272255747</v>
      </c>
      <c r="S54" t="s">
        <v>96</v>
      </c>
      <c r="T54">
        <v>-2118.7274708937948</v>
      </c>
    </row>
    <row r="55" spans="1:20" x14ac:dyDescent="0.25">
      <c r="A55" s="1" t="s">
        <v>25</v>
      </c>
      <c r="B55">
        <v>2009</v>
      </c>
      <c r="C55">
        <v>714.93244008171541</v>
      </c>
      <c r="D55">
        <v>714.93244008171541</v>
      </c>
      <c r="E55" t="s">
        <v>96</v>
      </c>
      <c r="F55">
        <v>0.80056690520362839</v>
      </c>
      <c r="G55">
        <v>-1.9913119507878091E-3</v>
      </c>
      <c r="H55">
        <v>0.79857559325284055</v>
      </c>
      <c r="I55">
        <v>6.120874932868804E-4</v>
      </c>
      <c r="J55">
        <v>2.4354639206572749E-3</v>
      </c>
      <c r="K55">
        <v>1.343572746844483E-2</v>
      </c>
      <c r="L55" t="s">
        <v>96</v>
      </c>
      <c r="M55">
        <v>572.35125098589742</v>
      </c>
      <c r="N55">
        <v>-1.4236535119406091</v>
      </c>
      <c r="O55">
        <v>570.92759747395678</v>
      </c>
      <c r="P55">
        <v>0.43760120511909001</v>
      </c>
      <c r="Q55">
        <v>1.7411921635264871</v>
      </c>
      <c r="R55">
        <v>9.6056374232881918</v>
      </c>
      <c r="S55" t="s">
        <v>96</v>
      </c>
      <c r="T55">
        <v>-2136.6107703084599</v>
      </c>
    </row>
    <row r="56" spans="1:20" x14ac:dyDescent="0.25">
      <c r="A56" s="1" t="s">
        <v>25</v>
      </c>
      <c r="B56">
        <v>2010</v>
      </c>
      <c r="C56">
        <v>715.58688875606288</v>
      </c>
      <c r="D56">
        <v>715.58688875606288</v>
      </c>
      <c r="E56" t="s">
        <v>96</v>
      </c>
      <c r="F56">
        <v>0.80933517511231001</v>
      </c>
      <c r="G56">
        <v>-8.0128432301297854E-3</v>
      </c>
      <c r="H56">
        <v>0.80132233188218016</v>
      </c>
      <c r="I56">
        <v>7.1655093688873937E-4</v>
      </c>
      <c r="J56">
        <v>2.851118464673087E-3</v>
      </c>
      <c r="K56">
        <v>1.5677193885624229E-2</v>
      </c>
      <c r="L56" t="s">
        <v>96</v>
      </c>
      <c r="M56">
        <v>579.14963991946126</v>
      </c>
      <c r="N56">
        <v>-5.7338855571386542</v>
      </c>
      <c r="O56">
        <v>573.41575436232256</v>
      </c>
      <c r="P56">
        <v>0.512754455563455</v>
      </c>
      <c r="Q56">
        <v>2.0402229916103769</v>
      </c>
      <c r="R56">
        <v>11.218394397039409</v>
      </c>
      <c r="S56" t="s">
        <v>96</v>
      </c>
      <c r="T56">
        <v>-2153.0194627574938</v>
      </c>
    </row>
    <row r="57" spans="1:20" x14ac:dyDescent="0.25">
      <c r="A57" s="1" t="s">
        <v>25</v>
      </c>
      <c r="B57">
        <v>2011</v>
      </c>
      <c r="C57">
        <v>716.24133743041034</v>
      </c>
      <c r="D57">
        <v>716.24133743041034</v>
      </c>
      <c r="E57" t="s">
        <v>96</v>
      </c>
      <c r="F57">
        <v>0.81808940854832823</v>
      </c>
      <c r="G57">
        <v>-8.0055806843738007E-3</v>
      </c>
      <c r="H57">
        <v>0.81008382786395439</v>
      </c>
      <c r="I57">
        <v>8.2082347846188354E-4</v>
      </c>
      <c r="J57">
        <v>3.266013419564126E-3</v>
      </c>
      <c r="K57">
        <v>1.7928483313848061E-2</v>
      </c>
      <c r="L57" t="s">
        <v>96</v>
      </c>
      <c r="M57">
        <v>585.94945211630795</v>
      </c>
      <c r="N57">
        <v>-5.733927816282951</v>
      </c>
      <c r="O57">
        <v>580.21552430002498</v>
      </c>
      <c r="P57">
        <v>0.58790770600782105</v>
      </c>
      <c r="Q57">
        <v>2.3392538196942771</v>
      </c>
      <c r="R57">
        <v>12.84112086680933</v>
      </c>
      <c r="S57" t="s">
        <v>96</v>
      </c>
      <c r="T57">
        <v>-2185.2739578728319</v>
      </c>
    </row>
    <row r="58" spans="1:20" x14ac:dyDescent="0.25">
      <c r="A58" s="1" t="s">
        <v>25</v>
      </c>
      <c r="B58">
        <v>2012</v>
      </c>
      <c r="C58">
        <v>716.89578610475769</v>
      </c>
      <c r="D58">
        <v>716.89578610475769</v>
      </c>
      <c r="E58" t="s">
        <v>96</v>
      </c>
      <c r="F58">
        <v>0.82698236339142217</v>
      </c>
      <c r="G58">
        <v>-7.9981105456146603E-3</v>
      </c>
      <c r="H58">
        <v>0.81898425284580756</v>
      </c>
      <c r="I58">
        <v>9.2490564082531096E-4</v>
      </c>
      <c r="J58">
        <v>3.6801508655996649E-3</v>
      </c>
      <c r="K58">
        <v>2.0189568851061601E-2</v>
      </c>
      <c r="L58" t="s">
        <v>96</v>
      </c>
      <c r="M58">
        <v>592.86017149826398</v>
      </c>
      <c r="N58">
        <v>-5.7338117469511749</v>
      </c>
      <c r="O58">
        <v>587.12635975131286</v>
      </c>
      <c r="P58">
        <v>0.66306095645218599</v>
      </c>
      <c r="Q58">
        <v>2.638284647778177</v>
      </c>
      <c r="R58">
        <v>14.47381683259793</v>
      </c>
      <c r="S58" t="s">
        <v>96</v>
      </c>
      <c r="T58">
        <v>-2217.9722480233859</v>
      </c>
    </row>
    <row r="59" spans="1:20" x14ac:dyDescent="0.25">
      <c r="A59" s="1" t="s">
        <v>25</v>
      </c>
      <c r="B59">
        <v>2013</v>
      </c>
      <c r="C59">
        <v>716.88221791388003</v>
      </c>
      <c r="D59">
        <v>716.88221791388003</v>
      </c>
      <c r="E59" t="s">
        <v>96</v>
      </c>
      <c r="F59">
        <v>0.7576154663411806</v>
      </c>
      <c r="G59">
        <v>-7.998103074514715E-3</v>
      </c>
      <c r="H59">
        <v>0.74961736326666595</v>
      </c>
      <c r="I59">
        <v>1.0297566161492301E-3</v>
      </c>
      <c r="J59">
        <v>4.097347377941144E-3</v>
      </c>
      <c r="K59">
        <v>2.1774555306387999E-2</v>
      </c>
      <c r="L59" t="s">
        <v>96</v>
      </c>
      <c r="M59">
        <v>543.12105583652408</v>
      </c>
      <c r="N59">
        <v>-5.7336978711619322</v>
      </c>
      <c r="O59">
        <v>537.38735796536218</v>
      </c>
      <c r="P59">
        <v>0.73821420689655204</v>
      </c>
      <c r="Q59">
        <v>2.9373154758620679</v>
      </c>
      <c r="R59">
        <v>15.60979150213188</v>
      </c>
      <c r="S59" t="s">
        <v>96</v>
      </c>
      <c r="T59">
        <v>-2041.133156884446</v>
      </c>
    </row>
    <row r="60" spans="1:20" x14ac:dyDescent="0.25">
      <c r="A60" s="1" t="s">
        <v>25</v>
      </c>
      <c r="B60">
        <v>2014</v>
      </c>
      <c r="C60">
        <v>716.86864972300214</v>
      </c>
      <c r="D60">
        <v>716.86864972300214</v>
      </c>
      <c r="E60" t="s">
        <v>96</v>
      </c>
      <c r="F60">
        <v>0.75557915862426273</v>
      </c>
      <c r="G60">
        <v>-7.9984938097872639E-3</v>
      </c>
      <c r="H60">
        <v>0.74758066481447549</v>
      </c>
      <c r="I60">
        <v>1.134611560507219E-3</v>
      </c>
      <c r="J60">
        <v>4.5145596828602991E-3</v>
      </c>
      <c r="K60">
        <v>2.338571605146459E-2</v>
      </c>
      <c r="L60" t="s">
        <v>96</v>
      </c>
      <c r="M60">
        <v>541.65101120181725</v>
      </c>
      <c r="N60">
        <v>-5.7338694572399866</v>
      </c>
      <c r="O60">
        <v>535.91714174457729</v>
      </c>
      <c r="P60">
        <v>0.81336745734091809</v>
      </c>
      <c r="Q60">
        <v>3.2363463039459668</v>
      </c>
      <c r="R60">
        <v>16.764486688618959</v>
      </c>
      <c r="S60" t="s">
        <v>96</v>
      </c>
      <c r="T60">
        <v>-2041.348254713291</v>
      </c>
    </row>
    <row r="61" spans="1:20" x14ac:dyDescent="0.25">
      <c r="A61" s="1" t="s">
        <v>25</v>
      </c>
      <c r="B61">
        <v>2015</v>
      </c>
      <c r="C61">
        <v>716.85508153212425</v>
      </c>
      <c r="D61">
        <v>716.85508153212425</v>
      </c>
      <c r="E61" t="s">
        <v>96</v>
      </c>
      <c r="F61">
        <v>0.69126039156770314</v>
      </c>
      <c r="G61">
        <v>-7.9982822666405818E-3</v>
      </c>
      <c r="H61">
        <v>0.68326210930106257</v>
      </c>
      <c r="I61">
        <v>1.239470474124645E-3</v>
      </c>
      <c r="J61">
        <v>4.9317877812538428E-3</v>
      </c>
      <c r="K61">
        <v>2.50230525725238E-2</v>
      </c>
      <c r="L61" t="s">
        <v>96</v>
      </c>
      <c r="M61">
        <v>495.53352435719398</v>
      </c>
      <c r="N61">
        <v>-5.7336092863695782</v>
      </c>
      <c r="O61">
        <v>489.7999150708244</v>
      </c>
      <c r="P61">
        <v>0.88852070778528303</v>
      </c>
      <c r="Q61">
        <v>3.5353771320298581</v>
      </c>
      <c r="R61">
        <v>17.937902392059179</v>
      </c>
      <c r="S61" t="s">
        <v>96</v>
      </c>
      <c r="T61">
        <v>-1877.9262894433989</v>
      </c>
    </row>
    <row r="62" spans="1:20" x14ac:dyDescent="0.25">
      <c r="A62" s="1" t="s">
        <v>25</v>
      </c>
      <c r="B62">
        <v>2016</v>
      </c>
      <c r="C62">
        <v>717.17552177385903</v>
      </c>
      <c r="D62">
        <v>717.17552177385903</v>
      </c>
      <c r="E62" t="s">
        <v>96</v>
      </c>
      <c r="F62">
        <v>0.75084499775196967</v>
      </c>
      <c r="G62">
        <v>-7.9953358249528223E-3</v>
      </c>
      <c r="H62">
        <v>0.74284966192701685</v>
      </c>
      <c r="I62">
        <v>1.3437072640824391E-3</v>
      </c>
      <c r="J62">
        <v>5.3465404823490751E-3</v>
      </c>
      <c r="K62">
        <v>2.7018240520761069E-2</v>
      </c>
      <c r="L62" t="s">
        <v>96</v>
      </c>
      <c r="M62">
        <v>538.48765303406083</v>
      </c>
      <c r="N62">
        <v>-5.7340591420177676</v>
      </c>
      <c r="O62">
        <v>532.75359389204311</v>
      </c>
      <c r="P62">
        <v>0.96367395822964808</v>
      </c>
      <c r="Q62">
        <v>3.834407960113758</v>
      </c>
      <c r="R62">
        <v>19.376820742888441</v>
      </c>
      <c r="S62" t="s">
        <v>96</v>
      </c>
      <c r="T62">
        <v>-2042.0711540288601</v>
      </c>
    </row>
    <row r="63" spans="1:20" x14ac:dyDescent="0.25">
      <c r="A63" s="1" t="s">
        <v>25</v>
      </c>
      <c r="B63">
        <v>2017</v>
      </c>
      <c r="C63">
        <v>717.4959620155937</v>
      </c>
      <c r="D63">
        <v>717.4959620155937</v>
      </c>
      <c r="E63" t="s">
        <v>96</v>
      </c>
      <c r="F63">
        <v>0.74915863629733193</v>
      </c>
      <c r="G63">
        <v>-7.9917411127154395E-3</v>
      </c>
      <c r="H63">
        <v>0.74116689518461643</v>
      </c>
      <c r="I63">
        <v>1.4478509478377179E-3</v>
      </c>
      <c r="J63">
        <v>5.7609227187648236E-3</v>
      </c>
      <c r="K63">
        <v>2.903163948363912E-2</v>
      </c>
      <c r="L63" t="s">
        <v>96</v>
      </c>
      <c r="M63">
        <v>537.51829645244447</v>
      </c>
      <c r="N63">
        <v>-5.734041977847335</v>
      </c>
      <c r="O63">
        <v>531.78425447459711</v>
      </c>
      <c r="P63">
        <v>1.0388272086740129</v>
      </c>
      <c r="Q63">
        <v>4.1334387881976573</v>
      </c>
      <c r="R63">
        <v>20.83008410020355</v>
      </c>
      <c r="S63" t="s">
        <v>96</v>
      </c>
      <c r="T63">
        <v>-2045.2175500963169</v>
      </c>
    </row>
    <row r="64" spans="1:20" x14ac:dyDescent="0.25">
      <c r="A64" s="1" t="s">
        <v>25</v>
      </c>
      <c r="B64">
        <v>2018</v>
      </c>
      <c r="C64">
        <v>717.8164022573286</v>
      </c>
      <c r="D64">
        <v>717.8164022573286</v>
      </c>
      <c r="E64" t="s">
        <v>96</v>
      </c>
      <c r="F64">
        <v>0.73185458084138544</v>
      </c>
      <c r="G64">
        <v>-7.9881735215514751E-3</v>
      </c>
      <c r="H64">
        <v>0.72386640731983387</v>
      </c>
      <c r="I64">
        <v>1.551901650081034E-3</v>
      </c>
      <c r="J64">
        <v>6.1749349866382129E-3</v>
      </c>
      <c r="K64">
        <v>3.1015888898412711E-2</v>
      </c>
      <c r="L64" t="s">
        <v>96</v>
      </c>
      <c r="M64">
        <v>525.33722219510855</v>
      </c>
      <c r="N64">
        <v>-5.734041977847335</v>
      </c>
      <c r="O64">
        <v>519.60318021726118</v>
      </c>
      <c r="P64">
        <v>1.11398045911838</v>
      </c>
      <c r="Q64">
        <v>4.4324696162815478</v>
      </c>
      <c r="R64">
        <v>22.26371378187163</v>
      </c>
      <c r="S64" t="s">
        <v>96</v>
      </c>
      <c r="T64">
        <v>-2007.1822616068021</v>
      </c>
    </row>
    <row r="65" spans="1:20" x14ac:dyDescent="0.25">
      <c r="A65" s="1" t="s">
        <v>25</v>
      </c>
      <c r="B65">
        <v>2019</v>
      </c>
      <c r="C65">
        <v>718.13684249906328</v>
      </c>
      <c r="D65">
        <v>718.13684249906328</v>
      </c>
      <c r="E65" t="s">
        <v>96</v>
      </c>
      <c r="F65">
        <v>0.68405720090134947</v>
      </c>
      <c r="G65">
        <v>-7.9846091141811942E-3</v>
      </c>
      <c r="H65">
        <v>0.67607259178716828</v>
      </c>
      <c r="I65">
        <v>1.6558594952803831E-3</v>
      </c>
      <c r="J65">
        <v>6.5885777812208814E-3</v>
      </c>
      <c r="K65">
        <v>3.3012464013600203E-2</v>
      </c>
      <c r="L65" t="s">
        <v>96</v>
      </c>
      <c r="M65">
        <v>491.24667834404249</v>
      </c>
      <c r="N65">
        <v>-5.7340419778473253</v>
      </c>
      <c r="O65">
        <v>485.51263636619518</v>
      </c>
      <c r="P65">
        <v>1.189133709562747</v>
      </c>
      <c r="Q65">
        <v>4.731500444365448</v>
      </c>
      <c r="R65">
        <v>23.707466669840809</v>
      </c>
      <c r="S65" t="s">
        <v>96</v>
      </c>
      <c r="T65">
        <v>-1888.8493696967071</v>
      </c>
    </row>
    <row r="66" spans="1:20" x14ac:dyDescent="0.25">
      <c r="A66" s="1" t="s">
        <v>25</v>
      </c>
      <c r="B66">
        <v>2020</v>
      </c>
      <c r="C66">
        <v>718.45728274079818</v>
      </c>
      <c r="D66">
        <v>718.45728274079818</v>
      </c>
      <c r="E66" t="s">
        <v>96</v>
      </c>
      <c r="F66">
        <v>0.69375285035837186</v>
      </c>
      <c r="G66">
        <v>-7.9810478863445913E-3</v>
      </c>
      <c r="H66">
        <v>0.68577180247202729</v>
      </c>
      <c r="I66">
        <v>1.7597246076816999E-3</v>
      </c>
      <c r="J66">
        <v>7.0018515968808537E-3</v>
      </c>
      <c r="K66">
        <v>3.5021348336987543E-2</v>
      </c>
      <c r="L66" t="s">
        <v>96</v>
      </c>
      <c r="M66">
        <v>498.43178776215939</v>
      </c>
      <c r="N66">
        <v>-5.7340419778473253</v>
      </c>
      <c r="O66">
        <v>492.69774578431208</v>
      </c>
      <c r="P66">
        <v>1.2642869600071109</v>
      </c>
      <c r="Q66">
        <v>5.0305312724493367</v>
      </c>
      <c r="R66">
        <v>25.161342764111041</v>
      </c>
      <c r="S66" t="s">
        <v>96</v>
      </c>
      <c r="T66">
        <v>-1921.8976581967329</v>
      </c>
    </row>
    <row r="67" spans="1:20" x14ac:dyDescent="0.25">
      <c r="A67" s="1" t="s">
        <v>25</v>
      </c>
      <c r="B67">
        <v>2021</v>
      </c>
      <c r="C67">
        <v>718.77772298253296</v>
      </c>
      <c r="D67">
        <v>718.77772298253296</v>
      </c>
      <c r="E67" t="s">
        <v>96</v>
      </c>
      <c r="F67">
        <v>0.70299412239976766</v>
      </c>
      <c r="G67">
        <v>-7.9774898337892121E-3</v>
      </c>
      <c r="H67">
        <v>0.69501663256597845</v>
      </c>
      <c r="I67">
        <v>1.863497111309366E-3</v>
      </c>
      <c r="J67">
        <v>7.414756927104642E-3</v>
      </c>
      <c r="K67">
        <v>3.7042525405770521E-2</v>
      </c>
      <c r="L67" t="s">
        <v>96</v>
      </c>
      <c r="M67">
        <v>505.2965145686091</v>
      </c>
      <c r="N67">
        <v>-5.7340419778473146</v>
      </c>
      <c r="O67">
        <v>499.56247259076179</v>
      </c>
      <c r="P67">
        <v>1.339440210451474</v>
      </c>
      <c r="Q67">
        <v>5.3295621005332379</v>
      </c>
      <c r="R67">
        <v>26.625342064682361</v>
      </c>
      <c r="S67" t="s">
        <v>96</v>
      </c>
      <c r="T67">
        <v>-1953.8083288770831</v>
      </c>
    </row>
    <row r="68" spans="1:20" x14ac:dyDescent="0.25">
      <c r="A68" s="1" t="s">
        <v>25</v>
      </c>
      <c r="B68">
        <v>2022</v>
      </c>
      <c r="C68">
        <v>719.09816322426764</v>
      </c>
      <c r="D68">
        <v>719.09816322426764</v>
      </c>
      <c r="E68" t="s">
        <v>96</v>
      </c>
      <c r="F68">
        <v>0.70252784026405557</v>
      </c>
      <c r="G68">
        <v>-7.9739349522702507E-3</v>
      </c>
      <c r="H68">
        <v>0.6945539053117854</v>
      </c>
      <c r="I68">
        <v>1.967177129966695E-3</v>
      </c>
      <c r="J68">
        <v>7.8272942644990878E-3</v>
      </c>
      <c r="K68">
        <v>3.9075978786489093E-2</v>
      </c>
      <c r="L68" t="s">
        <v>96</v>
      </c>
      <c r="M68">
        <v>505.18647954779408</v>
      </c>
      <c r="N68">
        <v>-5.7340419778473253</v>
      </c>
      <c r="O68">
        <v>499.45243756994682</v>
      </c>
      <c r="P68">
        <v>1.414593460895837</v>
      </c>
      <c r="Q68">
        <v>5.628592928617139</v>
      </c>
      <c r="R68">
        <v>28.099464571554751</v>
      </c>
      <c r="S68" t="s">
        <v>96</v>
      </c>
      <c r="T68">
        <v>-1960.1819912805649</v>
      </c>
    </row>
    <row r="69" spans="1:20" x14ac:dyDescent="0.25">
      <c r="A69" s="1" t="s">
        <v>25</v>
      </c>
      <c r="B69">
        <v>2023</v>
      </c>
      <c r="C69">
        <v>719.41860346600265</v>
      </c>
      <c r="D69">
        <v>719.41860346600265</v>
      </c>
      <c r="E69" t="s">
        <v>96</v>
      </c>
      <c r="F69">
        <v>0.69926339606635179</v>
      </c>
      <c r="G69">
        <v>-7.9703832375503589E-3</v>
      </c>
      <c r="H69">
        <v>0.6912930128288014</v>
      </c>
      <c r="I69">
        <v>2.0707647872364211E-3</v>
      </c>
      <c r="J69">
        <v>8.2394641007933669E-3</v>
      </c>
      <c r="K69">
        <v>4.1121692074962093E-2</v>
      </c>
      <c r="L69" t="s">
        <v>96</v>
      </c>
      <c r="M69">
        <v>503.06309585294912</v>
      </c>
      <c r="N69">
        <v>-5.7340419778473164</v>
      </c>
      <c r="O69">
        <v>497.32905387510169</v>
      </c>
      <c r="P69">
        <v>1.4897467113402001</v>
      </c>
      <c r="Q69">
        <v>5.9276237567010277</v>
      </c>
      <c r="R69">
        <v>29.58371028472822</v>
      </c>
      <c r="S69" t="s">
        <v>96</v>
      </c>
      <c r="T69">
        <v>-1959.2104936357059</v>
      </c>
    </row>
    <row r="70" spans="1:20" x14ac:dyDescent="0.25">
      <c r="A70" s="1" t="s">
        <v>26</v>
      </c>
      <c r="B70">
        <v>1990</v>
      </c>
      <c r="C70">
        <v>3809.2573060970881</v>
      </c>
      <c r="D70">
        <v>3809.2573060970881</v>
      </c>
      <c r="E70" t="s">
        <v>96</v>
      </c>
      <c r="F70">
        <v>1.1068751606999561</v>
      </c>
      <c r="G70">
        <v>-6.7295731973354344E-3</v>
      </c>
      <c r="H70">
        <v>1.10014558750262</v>
      </c>
      <c r="I70">
        <v>2.3082558416638799E-2</v>
      </c>
      <c r="J70">
        <v>6.0556213458067817E-2</v>
      </c>
      <c r="K70">
        <v>-1.2552531754975321E-2</v>
      </c>
      <c r="L70" t="s">
        <v>96</v>
      </c>
      <c r="M70">
        <v>4216.3722928336947</v>
      </c>
      <c r="N70">
        <v>-25.634675868865141</v>
      </c>
      <c r="O70">
        <v>4190.7376169648296</v>
      </c>
      <c r="P70">
        <v>87.927404291994151</v>
      </c>
      <c r="Q70">
        <v>230.67419854471959</v>
      </c>
      <c r="R70">
        <v>-47.815823297655427</v>
      </c>
      <c r="S70" t="s">
        <v>96</v>
      </c>
      <c r="T70">
        <v>-16358.91912051574</v>
      </c>
    </row>
    <row r="71" spans="1:20" x14ac:dyDescent="0.25">
      <c r="A71" s="1" t="s">
        <v>26</v>
      </c>
      <c r="B71">
        <v>1991</v>
      </c>
      <c r="C71">
        <v>3813.4220372896002</v>
      </c>
      <c r="D71">
        <v>3813.4220372896002</v>
      </c>
      <c r="E71" t="s">
        <v>96</v>
      </c>
      <c r="F71">
        <v>1.109316539348322</v>
      </c>
      <c r="G71">
        <v>-6.8954071109438549E-3</v>
      </c>
      <c r="H71">
        <v>1.102421132237378</v>
      </c>
      <c r="I71">
        <v>2.342202696289785E-2</v>
      </c>
      <c r="J71">
        <v>5.7051946563255608E-2</v>
      </c>
      <c r="K71">
        <v>-1.1707042910652631E-2</v>
      </c>
      <c r="L71" t="s">
        <v>96</v>
      </c>
      <c r="M71">
        <v>4230.2921374807274</v>
      </c>
      <c r="N71">
        <v>-26.295097432956709</v>
      </c>
      <c r="O71">
        <v>4203.9970400477696</v>
      </c>
      <c r="P71">
        <v>89.318073778305859</v>
      </c>
      <c r="Q71">
        <v>217.56315029458759</v>
      </c>
      <c r="R71">
        <v>-44.643895426977707</v>
      </c>
      <c r="S71" t="s">
        <v>96</v>
      </c>
      <c r="T71">
        <v>-16376.19268521167</v>
      </c>
    </row>
    <row r="72" spans="1:20" x14ac:dyDescent="0.25">
      <c r="A72" s="1" t="s">
        <v>26</v>
      </c>
      <c r="B72">
        <v>1992</v>
      </c>
      <c r="C72">
        <v>3817.586768482111</v>
      </c>
      <c r="D72">
        <v>3817.586768482111</v>
      </c>
      <c r="E72" t="s">
        <v>96</v>
      </c>
      <c r="F72">
        <v>1.112313462971771</v>
      </c>
      <c r="G72">
        <v>-7.0560499564965174E-3</v>
      </c>
      <c r="H72">
        <v>1.1052574130152739</v>
      </c>
      <c r="I72">
        <v>2.3749679182038061E-2</v>
      </c>
      <c r="J72">
        <v>5.31468139810213E-2</v>
      </c>
      <c r="K72">
        <v>-1.07771549611247E-2</v>
      </c>
      <c r="L72" t="s">
        <v>96</v>
      </c>
      <c r="M72">
        <v>4246.3531586455483</v>
      </c>
      <c r="N72">
        <v>-26.937082951669879</v>
      </c>
      <c r="O72">
        <v>4219.4160756938782</v>
      </c>
      <c r="P72">
        <v>90.66646100104353</v>
      </c>
      <c r="Q72">
        <v>202.89257384092701</v>
      </c>
      <c r="R72">
        <v>-41.142724181470982</v>
      </c>
      <c r="S72" t="s">
        <v>96</v>
      </c>
      <c r="T72">
        <v>-16396.718749967549</v>
      </c>
    </row>
    <row r="73" spans="1:20" x14ac:dyDescent="0.25">
      <c r="A73" s="1" t="s">
        <v>26</v>
      </c>
      <c r="B73">
        <v>1993</v>
      </c>
      <c r="C73">
        <v>3821.7514996746222</v>
      </c>
      <c r="D73">
        <v>3821.7514996746222</v>
      </c>
      <c r="E73" t="s">
        <v>96</v>
      </c>
      <c r="F73">
        <v>1.115803848226137</v>
      </c>
      <c r="G73">
        <v>-6.6142764083589383E-3</v>
      </c>
      <c r="H73">
        <v>1.109189571817778</v>
      </c>
      <c r="I73">
        <v>2.4120844462065021E-2</v>
      </c>
      <c r="J73">
        <v>4.8769700120227827E-2</v>
      </c>
      <c r="K73">
        <v>-9.7556946683096928E-3</v>
      </c>
      <c r="L73" t="s">
        <v>96</v>
      </c>
      <c r="M73">
        <v>4264.3250303009536</v>
      </c>
      <c r="N73">
        <v>-25.278120782908239</v>
      </c>
      <c r="O73">
        <v>4239.046909518046</v>
      </c>
      <c r="P73">
        <v>92.183873496315272</v>
      </c>
      <c r="Q73">
        <v>186.38567457316231</v>
      </c>
      <c r="R73">
        <v>-37.28384072898028</v>
      </c>
      <c r="S73" t="s">
        <v>96</v>
      </c>
      <c r="T73">
        <v>-16427.886261816151</v>
      </c>
    </row>
    <row r="74" spans="1:20" x14ac:dyDescent="0.25">
      <c r="A74" s="1" t="s">
        <v>26</v>
      </c>
      <c r="B74">
        <v>1994</v>
      </c>
      <c r="C74">
        <v>3825.916230867133</v>
      </c>
      <c r="D74">
        <v>3825.916230867133</v>
      </c>
      <c r="E74" t="s">
        <v>96</v>
      </c>
      <c r="F74">
        <v>1.1192520457488171</v>
      </c>
      <c r="G74">
        <v>-6.6274643666617622E-3</v>
      </c>
      <c r="H74">
        <v>1.1126245813821549</v>
      </c>
      <c r="I74">
        <v>2.449030791713698E-2</v>
      </c>
      <c r="J74">
        <v>4.4404924576703947E-2</v>
      </c>
      <c r="K74">
        <v>-8.7398812392932776E-3</v>
      </c>
      <c r="L74" t="s">
        <v>96</v>
      </c>
      <c r="M74">
        <v>4282.1645682616418</v>
      </c>
      <c r="N74">
        <v>-25.3561234899048</v>
      </c>
      <c r="O74">
        <v>4256.8084447717374</v>
      </c>
      <c r="P74">
        <v>93.69786655910822</v>
      </c>
      <c r="Q74">
        <v>169.88952166844251</v>
      </c>
      <c r="R74">
        <v>-33.438053489263297</v>
      </c>
      <c r="S74" t="s">
        <v>96</v>
      </c>
      <c r="T74">
        <v>-16452.17852487159</v>
      </c>
    </row>
    <row r="75" spans="1:20" x14ac:dyDescent="0.25">
      <c r="A75" s="1" t="s">
        <v>26</v>
      </c>
      <c r="B75">
        <v>1995</v>
      </c>
      <c r="C75">
        <v>3830.0809620596442</v>
      </c>
      <c r="D75">
        <v>3830.0809620596442</v>
      </c>
      <c r="E75" t="s">
        <v>96</v>
      </c>
      <c r="F75">
        <v>1.1226586443452911</v>
      </c>
      <c r="G75">
        <v>-6.4225161060649759E-3</v>
      </c>
      <c r="H75">
        <v>1.1162361282392259</v>
      </c>
      <c r="I75">
        <v>2.4858737340517169E-2</v>
      </c>
      <c r="J75">
        <v>4.0042490994350997E-2</v>
      </c>
      <c r="K75">
        <v>-7.7301511796652126E-3</v>
      </c>
      <c r="L75" t="s">
        <v>96</v>
      </c>
      <c r="M75">
        <v>4299.8735005985873</v>
      </c>
      <c r="N75">
        <v>-24.598756666360899</v>
      </c>
      <c r="O75">
        <v>4275.2747439322266</v>
      </c>
      <c r="P75">
        <v>95.210976628755986</v>
      </c>
      <c r="Q75">
        <v>153.3659824309085</v>
      </c>
      <c r="R75">
        <v>-29.607104867078629</v>
      </c>
      <c r="S75" t="s">
        <v>96</v>
      </c>
      <c r="T75">
        <v>-16478.89685979248</v>
      </c>
    </row>
    <row r="76" spans="1:20" x14ac:dyDescent="0.25">
      <c r="A76" s="1" t="s">
        <v>26</v>
      </c>
      <c r="B76">
        <v>1996</v>
      </c>
      <c r="C76">
        <v>3834.245693252155</v>
      </c>
      <c r="D76">
        <v>3834.245693252155</v>
      </c>
      <c r="E76" t="s">
        <v>96</v>
      </c>
      <c r="F76">
        <v>1.0603071161614901</v>
      </c>
      <c r="G76">
        <v>-6.3987578511407002E-3</v>
      </c>
      <c r="H76">
        <v>1.053908358310349</v>
      </c>
      <c r="I76">
        <v>2.5229170641772269E-2</v>
      </c>
      <c r="J76">
        <v>3.5689522950149592E-2</v>
      </c>
      <c r="K76">
        <v>-6.724323048542989E-3</v>
      </c>
      <c r="L76" t="s">
        <v>96</v>
      </c>
      <c r="M76">
        <v>4065.477993666806</v>
      </c>
      <c r="N76">
        <v>-24.53440973289965</v>
      </c>
      <c r="O76">
        <v>4040.9435839339071</v>
      </c>
      <c r="P76">
        <v>96.734838877539033</v>
      </c>
      <c r="Q76">
        <v>136.84239966583499</v>
      </c>
      <c r="R76">
        <v>-25.78270668891216</v>
      </c>
      <c r="S76" t="s">
        <v>96</v>
      </c>
      <c r="T76">
        <v>-15578.70642455877</v>
      </c>
    </row>
    <row r="77" spans="1:20" x14ac:dyDescent="0.25">
      <c r="A77" s="1" t="s">
        <v>26</v>
      </c>
      <c r="B77">
        <v>1997</v>
      </c>
      <c r="C77">
        <v>3838.4104244446671</v>
      </c>
      <c r="D77">
        <v>3838.4104244446671</v>
      </c>
      <c r="E77" t="s">
        <v>96</v>
      </c>
      <c r="F77">
        <v>1.0658025425099029</v>
      </c>
      <c r="G77">
        <v>-6.3547160825110777E-3</v>
      </c>
      <c r="H77">
        <v>1.0594478264273921</v>
      </c>
      <c r="I77">
        <v>2.5598248738275192E-2</v>
      </c>
      <c r="J77">
        <v>3.1346073374773083E-2</v>
      </c>
      <c r="K77">
        <v>-5.7247281037258518E-3</v>
      </c>
      <c r="L77" t="s">
        <v>96</v>
      </c>
      <c r="M77">
        <v>4090.9875895696409</v>
      </c>
      <c r="N77">
        <v>-24.39200845549669</v>
      </c>
      <c r="O77">
        <v>4066.5955811141439</v>
      </c>
      <c r="P77">
        <v>98.25658480452303</v>
      </c>
      <c r="Q77">
        <v>120.31909480713639</v>
      </c>
      <c r="R77">
        <v>-21.973856030452659</v>
      </c>
      <c r="S77" t="s">
        <v>96</v>
      </c>
      <c r="T77">
        <v>-15631.723817217709</v>
      </c>
    </row>
    <row r="78" spans="1:20" x14ac:dyDescent="0.25">
      <c r="A78" s="1" t="s">
        <v>26</v>
      </c>
      <c r="B78">
        <v>1998</v>
      </c>
      <c r="C78">
        <v>3842.575155637177</v>
      </c>
      <c r="D78">
        <v>3842.575155637177</v>
      </c>
      <c r="E78" t="s">
        <v>96</v>
      </c>
      <c r="F78">
        <v>1.071287348120681</v>
      </c>
      <c r="G78">
        <v>-6.4274788125405959E-3</v>
      </c>
      <c r="H78">
        <v>1.064859869308141</v>
      </c>
      <c r="I78">
        <v>2.596638031221233E-2</v>
      </c>
      <c r="J78">
        <v>2.70157040189405E-2</v>
      </c>
      <c r="K78">
        <v>-4.7242407180619773E-3</v>
      </c>
      <c r="L78" t="s">
        <v>96</v>
      </c>
      <c r="M78">
        <v>4116.5021484369663</v>
      </c>
      <c r="N78">
        <v>-24.698070398452838</v>
      </c>
      <c r="O78">
        <v>4091.804078038514</v>
      </c>
      <c r="P78">
        <v>99.777767869533449</v>
      </c>
      <c r="Q78">
        <v>103.8098730752282</v>
      </c>
      <c r="R78">
        <v>-18.153250012474491</v>
      </c>
      <c r="S78" t="s">
        <v>96</v>
      </c>
      <c r="T78">
        <v>-15683.207719561031</v>
      </c>
    </row>
    <row r="79" spans="1:20" x14ac:dyDescent="0.25">
      <c r="A79" s="1" t="s">
        <v>26</v>
      </c>
      <c r="B79">
        <v>1999</v>
      </c>
      <c r="C79">
        <v>3846.7398868296891</v>
      </c>
      <c r="D79">
        <v>3846.7398868296891</v>
      </c>
      <c r="E79" t="s">
        <v>96</v>
      </c>
      <c r="F79">
        <v>1.075720703626037</v>
      </c>
      <c r="G79">
        <v>-6.6140062182766246E-3</v>
      </c>
      <c r="H79">
        <v>1.0691066974077601</v>
      </c>
      <c r="I79">
        <v>2.62727865832907E-2</v>
      </c>
      <c r="J79">
        <v>2.3347274277536401E-2</v>
      </c>
      <c r="K79">
        <v>-3.8619390646138789E-3</v>
      </c>
      <c r="L79" t="s">
        <v>96</v>
      </c>
      <c r="M79">
        <v>4138.0177377267737</v>
      </c>
      <c r="N79">
        <v>-25.442361531584289</v>
      </c>
      <c r="O79">
        <v>4112.5753761951892</v>
      </c>
      <c r="P79">
        <v>101.0645760881082</v>
      </c>
      <c r="Q79">
        <v>89.810891212152072</v>
      </c>
      <c r="R79">
        <v>-14.855875040355951</v>
      </c>
      <c r="S79" t="s">
        <v>96</v>
      </c>
      <c r="T79">
        <v>-15724.848217670111</v>
      </c>
    </row>
    <row r="80" spans="1:20" x14ac:dyDescent="0.25">
      <c r="A80" s="1" t="s">
        <v>26</v>
      </c>
      <c r="B80">
        <v>2000</v>
      </c>
      <c r="C80">
        <v>3850.9046180222008</v>
      </c>
      <c r="D80">
        <v>3850.9046180222008</v>
      </c>
      <c r="E80" t="s">
        <v>96</v>
      </c>
      <c r="F80">
        <v>1.077426184037019</v>
      </c>
      <c r="G80">
        <v>-6.5262250075111767E-3</v>
      </c>
      <c r="H80">
        <v>1.070899959029507</v>
      </c>
      <c r="I80">
        <v>2.6510238776366449E-2</v>
      </c>
      <c r="J80">
        <v>2.038552196452342E-2</v>
      </c>
      <c r="K80">
        <v>-3.153427111671458E-3</v>
      </c>
      <c r="L80" t="s">
        <v>96</v>
      </c>
      <c r="M80">
        <v>4149.0654676861923</v>
      </c>
      <c r="N80">
        <v>-25.131870019676761</v>
      </c>
      <c r="O80">
        <v>4123.9335976665152</v>
      </c>
      <c r="P80">
        <v>102.0884009287808</v>
      </c>
      <c r="Q80">
        <v>78.50270067397625</v>
      </c>
      <c r="R80">
        <v>-12.14354702693203</v>
      </c>
      <c r="S80" t="s">
        <v>96</v>
      </c>
      <c r="T80">
        <v>-15738.730891556679</v>
      </c>
    </row>
    <row r="81" spans="1:20" x14ac:dyDescent="0.25">
      <c r="A81" s="1" t="s">
        <v>26</v>
      </c>
      <c r="B81">
        <v>2001</v>
      </c>
      <c r="C81">
        <v>3855.069349214712</v>
      </c>
      <c r="D81">
        <v>3855.069349214712</v>
      </c>
      <c r="E81" t="s">
        <v>96</v>
      </c>
      <c r="F81">
        <v>0.86249804447523204</v>
      </c>
      <c r="G81">
        <v>-6.349337528954173E-3</v>
      </c>
      <c r="H81">
        <v>0.85614870694627776</v>
      </c>
      <c r="I81">
        <v>3.1779924189799573E-2</v>
      </c>
      <c r="J81">
        <v>1.774839003198412E-2</v>
      </c>
      <c r="K81">
        <v>-2.5178483728883361E-3</v>
      </c>
      <c r="L81" t="s">
        <v>96</v>
      </c>
      <c r="M81">
        <v>3324.989775014094</v>
      </c>
      <c r="N81">
        <v>-24.477136495689908</v>
      </c>
      <c r="O81">
        <v>3300.5126385184039</v>
      </c>
      <c r="P81">
        <v>122.5138116644635</v>
      </c>
      <c r="Q81">
        <v>68.421274410209918</v>
      </c>
      <c r="R81">
        <v>-9.7064800882919577</v>
      </c>
      <c r="S81" t="s">
        <v>96</v>
      </c>
      <c r="T81">
        <v>-12766.38456318538</v>
      </c>
    </row>
    <row r="82" spans="1:20" x14ac:dyDescent="0.25">
      <c r="A82" s="1" t="s">
        <v>26</v>
      </c>
      <c r="B82">
        <v>2002</v>
      </c>
      <c r="C82">
        <v>3859.2340804072228</v>
      </c>
      <c r="D82">
        <v>3859.2340804072228</v>
      </c>
      <c r="E82" t="s">
        <v>96</v>
      </c>
      <c r="F82">
        <v>0.86076605228567837</v>
      </c>
      <c r="G82">
        <v>-6.4902906113243246E-3</v>
      </c>
      <c r="H82">
        <v>0.85427576167435404</v>
      </c>
      <c r="I82">
        <v>3.1926328670628917E-2</v>
      </c>
      <c r="J82">
        <v>1.5417892108295471E-2</v>
      </c>
      <c r="K82">
        <v>-1.9495922853634299E-3</v>
      </c>
      <c r="L82" t="s">
        <v>96</v>
      </c>
      <c r="M82">
        <v>3321.8976842384759</v>
      </c>
      <c r="N82">
        <v>-25.04755071896987</v>
      </c>
      <c r="O82">
        <v>3296.850133519506</v>
      </c>
      <c r="P82">
        <v>123.21117566797339</v>
      </c>
      <c r="Q82">
        <v>59.50125467237546</v>
      </c>
      <c r="R82">
        <v>-7.5239329905735524</v>
      </c>
      <c r="S82" t="s">
        <v>96</v>
      </c>
      <c r="T82">
        <v>-12730.80831318852</v>
      </c>
    </row>
    <row r="83" spans="1:20" x14ac:dyDescent="0.25">
      <c r="A83" s="1" t="s">
        <v>26</v>
      </c>
      <c r="B83">
        <v>2003</v>
      </c>
      <c r="C83">
        <v>3863.398811599734</v>
      </c>
      <c r="D83">
        <v>3863.398811599734</v>
      </c>
      <c r="E83" t="s">
        <v>96</v>
      </c>
      <c r="F83">
        <v>0.85968377479868541</v>
      </c>
      <c r="G83">
        <v>-6.4060936006493704E-3</v>
      </c>
      <c r="H83">
        <v>0.85327768119803604</v>
      </c>
      <c r="I83">
        <v>3.2073487247315208E-2</v>
      </c>
      <c r="J83">
        <v>1.335100302065787E-2</v>
      </c>
      <c r="K83">
        <v>-1.437151312347775E-3</v>
      </c>
      <c r="L83" t="s">
        <v>96</v>
      </c>
      <c r="M83">
        <v>3321.301273908814</v>
      </c>
      <c r="N83">
        <v>-24.749294403745441</v>
      </c>
      <c r="O83">
        <v>3296.5519795050691</v>
      </c>
      <c r="P83">
        <v>123.9126725151368</v>
      </c>
      <c r="Q83">
        <v>51.580249203674072</v>
      </c>
      <c r="R83">
        <v>-5.5522886722133906</v>
      </c>
      <c r="S83" t="s">
        <v>96</v>
      </c>
      <c r="T83">
        <v>-12710.4729126906</v>
      </c>
    </row>
    <row r="84" spans="1:20" x14ac:dyDescent="0.25">
      <c r="A84" s="1" t="s">
        <v>26</v>
      </c>
      <c r="B84">
        <v>2004</v>
      </c>
      <c r="C84">
        <v>3867.5635427922462</v>
      </c>
      <c r="D84">
        <v>3867.5635427922462</v>
      </c>
      <c r="E84" t="s">
        <v>96</v>
      </c>
      <c r="F84">
        <v>0.85784156485834195</v>
      </c>
      <c r="G84">
        <v>-6.3989422687771268E-3</v>
      </c>
      <c r="H84">
        <v>0.85144262258956482</v>
      </c>
      <c r="I84">
        <v>3.2168649282117552E-2</v>
      </c>
      <c r="J84">
        <v>1.152513245401187E-2</v>
      </c>
      <c r="K84">
        <v>-9.7707148164998523E-4</v>
      </c>
      <c r="L84" t="s">
        <v>96</v>
      </c>
      <c r="M84">
        <v>3317.7567617379732</v>
      </c>
      <c r="N84">
        <v>-24.74831583115472</v>
      </c>
      <c r="O84">
        <v>3293.008445906818</v>
      </c>
      <c r="P84">
        <v>124.4142951843878</v>
      </c>
      <c r="Q84">
        <v>44.57418210498804</v>
      </c>
      <c r="R84">
        <v>-3.7788860411314849</v>
      </c>
      <c r="S84" t="s">
        <v>96</v>
      </c>
      <c r="T84">
        <v>-12680.13280290305</v>
      </c>
    </row>
    <row r="85" spans="1:20" x14ac:dyDescent="0.25">
      <c r="A85" s="1" t="s">
        <v>26</v>
      </c>
      <c r="B85">
        <v>2005</v>
      </c>
      <c r="C85">
        <v>3871.7282739847569</v>
      </c>
      <c r="D85">
        <v>3871.7282739847569</v>
      </c>
      <c r="E85" t="s">
        <v>96</v>
      </c>
      <c r="F85">
        <v>0.85798033534773976</v>
      </c>
      <c r="G85">
        <v>-6.5892088515074644E-3</v>
      </c>
      <c r="H85">
        <v>0.85139112649623239</v>
      </c>
      <c r="I85">
        <v>3.2341466628546443E-2</v>
      </c>
      <c r="J85">
        <v>1.014672195656415E-2</v>
      </c>
      <c r="K85">
        <v>-6.096687074624023E-4</v>
      </c>
      <c r="L85" t="s">
        <v>96</v>
      </c>
      <c r="M85">
        <v>3321.866722888768</v>
      </c>
      <c r="N85">
        <v>-25.511626213572079</v>
      </c>
      <c r="O85">
        <v>3296.355096675195</v>
      </c>
      <c r="P85">
        <v>125.2173707678777</v>
      </c>
      <c r="Q85">
        <v>39.285350287491347</v>
      </c>
      <c r="R85">
        <v>-2.360471572445924</v>
      </c>
      <c r="S85" t="s">
        <v>96</v>
      </c>
      <c r="T85">
        <v>-12681.15693591425</v>
      </c>
    </row>
    <row r="86" spans="1:20" x14ac:dyDescent="0.25">
      <c r="A86" s="1" t="s">
        <v>26</v>
      </c>
      <c r="B86">
        <v>2006</v>
      </c>
      <c r="C86">
        <v>3875.8930051772668</v>
      </c>
      <c r="D86">
        <v>3875.8930051772668</v>
      </c>
      <c r="E86" t="s">
        <v>96</v>
      </c>
      <c r="F86">
        <v>0.71288555495796502</v>
      </c>
      <c r="G86">
        <v>-6.4931498014942444E-3</v>
      </c>
      <c r="H86">
        <v>0.70639240515647084</v>
      </c>
      <c r="I86">
        <v>3.2399341800055131E-2</v>
      </c>
      <c r="J86">
        <v>9.1152770244321748E-3</v>
      </c>
      <c r="K86">
        <v>-3.1848891523655209E-4</v>
      </c>
      <c r="L86" t="s">
        <v>96</v>
      </c>
      <c r="M86">
        <v>2763.068135953491</v>
      </c>
      <c r="N86">
        <v>-25.166753897179699</v>
      </c>
      <c r="O86">
        <v>2737.9013820563109</v>
      </c>
      <c r="P86">
        <v>125.5763822551811</v>
      </c>
      <c r="Q86">
        <v>35.329838459249721</v>
      </c>
      <c r="R86">
        <v>-1.234428958791848</v>
      </c>
      <c r="S86" t="s">
        <v>96</v>
      </c>
      <c r="T86">
        <v>-10624.434970644779</v>
      </c>
    </row>
    <row r="87" spans="1:20" x14ac:dyDescent="0.25">
      <c r="A87" s="1" t="s">
        <v>26</v>
      </c>
      <c r="B87">
        <v>2007</v>
      </c>
      <c r="C87">
        <v>3880.0577363697789</v>
      </c>
      <c r="D87">
        <v>3880.0577363697789</v>
      </c>
      <c r="E87" t="s">
        <v>96</v>
      </c>
      <c r="F87">
        <v>0.71215359522892407</v>
      </c>
      <c r="G87">
        <v>-6.7189312046567811E-3</v>
      </c>
      <c r="H87">
        <v>0.70543466402426735</v>
      </c>
      <c r="I87">
        <v>3.2429878903214353E-2</v>
      </c>
      <c r="J87">
        <v>8.3754355893954358E-3</v>
      </c>
      <c r="K87">
        <v>-8.9864587141729122E-5</v>
      </c>
      <c r="L87" t="s">
        <v>96</v>
      </c>
      <c r="M87">
        <v>2763.197066651539</v>
      </c>
      <c r="N87">
        <v>-26.06984100076486</v>
      </c>
      <c r="O87">
        <v>2737.1272256507741</v>
      </c>
      <c r="P87">
        <v>125.8298025279519</v>
      </c>
      <c r="Q87">
        <v>32.497173654100543</v>
      </c>
      <c r="R87">
        <v>-0.34867978656494231</v>
      </c>
      <c r="S87" t="s">
        <v>96</v>
      </c>
      <c r="T87">
        <v>-10615.386914170591</v>
      </c>
    </row>
    <row r="88" spans="1:20" x14ac:dyDescent="0.25">
      <c r="A88" s="1" t="s">
        <v>26</v>
      </c>
      <c r="B88">
        <v>2008</v>
      </c>
      <c r="C88">
        <v>3884.2224675622901</v>
      </c>
      <c r="D88">
        <v>3884.2224675622901</v>
      </c>
      <c r="E88" t="s">
        <v>96</v>
      </c>
      <c r="F88">
        <v>0.71126286398117122</v>
      </c>
      <c r="G88">
        <v>-7.6855027124196297E-3</v>
      </c>
      <c r="H88">
        <v>0.70357736126875148</v>
      </c>
      <c r="I88">
        <v>3.2413153510581723E-2</v>
      </c>
      <c r="J88">
        <v>8.4315457213861526E-3</v>
      </c>
      <c r="K88">
        <v>-1.2748753192881799E-4</v>
      </c>
      <c r="L88" t="s">
        <v>96</v>
      </c>
      <c r="M88">
        <v>2762.7031966183658</v>
      </c>
      <c r="N88">
        <v>-29.852202310091251</v>
      </c>
      <c r="O88">
        <v>2732.8509943082749</v>
      </c>
      <c r="P88">
        <v>125.89989911034711</v>
      </c>
      <c r="Q88">
        <v>32.749999327286787</v>
      </c>
      <c r="R88">
        <v>-0.49518993585197979</v>
      </c>
      <c r="S88" t="s">
        <v>96</v>
      </c>
      <c r="T88">
        <v>-10600.354243637839</v>
      </c>
    </row>
    <row r="89" spans="1:20" x14ac:dyDescent="0.25">
      <c r="A89" s="1" t="s">
        <v>26</v>
      </c>
      <c r="B89">
        <v>2009</v>
      </c>
      <c r="C89">
        <v>3888.3871987548009</v>
      </c>
      <c r="D89">
        <v>3888.3871987548009</v>
      </c>
      <c r="E89" t="s">
        <v>96</v>
      </c>
      <c r="F89">
        <v>0.71032790004524105</v>
      </c>
      <c r="G89">
        <v>-6.2961975873108847E-3</v>
      </c>
      <c r="H89">
        <v>0.70403170245793023</v>
      </c>
      <c r="I89">
        <v>3.2402172887932852E-2</v>
      </c>
      <c r="J89">
        <v>8.4249455526840926E-3</v>
      </c>
      <c r="K89">
        <v>-1.648018157900903E-4</v>
      </c>
      <c r="L89" t="s">
        <v>96</v>
      </c>
      <c r="M89">
        <v>2762.0299134542952</v>
      </c>
      <c r="N89">
        <v>-24.482054099330512</v>
      </c>
      <c r="O89">
        <v>2737.5478593549651</v>
      </c>
      <c r="P89">
        <v>125.992194269278</v>
      </c>
      <c r="Q89">
        <v>32.75945043726302</v>
      </c>
      <c r="R89">
        <v>-0.64081327084973383</v>
      </c>
      <c r="S89" t="s">
        <v>96</v>
      </c>
      <c r="T89">
        <v>-10617.415199566711</v>
      </c>
    </row>
    <row r="90" spans="1:20" x14ac:dyDescent="0.25">
      <c r="A90" s="1" t="s">
        <v>26</v>
      </c>
      <c r="B90">
        <v>2010</v>
      </c>
      <c r="C90">
        <v>3892.5519299473108</v>
      </c>
      <c r="D90">
        <v>3892.5519299473108</v>
      </c>
      <c r="E90" t="s">
        <v>96</v>
      </c>
      <c r="F90">
        <v>0.7064359017303935</v>
      </c>
      <c r="G90">
        <v>-6.6661969255828917E-3</v>
      </c>
      <c r="H90">
        <v>0.6997697048048106</v>
      </c>
      <c r="I90">
        <v>3.2358560684385418E-2</v>
      </c>
      <c r="J90">
        <v>8.4378917902133057E-3</v>
      </c>
      <c r="K90">
        <v>-2.0089541502758419E-4</v>
      </c>
      <c r="L90" t="s">
        <v>96</v>
      </c>
      <c r="M90">
        <v>2749.8384326647119</v>
      </c>
      <c r="N90">
        <v>-25.94851770808652</v>
      </c>
      <c r="O90">
        <v>2723.889914956625</v>
      </c>
      <c r="P90">
        <v>125.9573778423217</v>
      </c>
      <c r="Q90">
        <v>32.844931972681373</v>
      </c>
      <c r="R90">
        <v>-0.78199583548318885</v>
      </c>
      <c r="S90" t="s">
        <v>96</v>
      </c>
      <c r="T90">
        <v>-10567.00417276683</v>
      </c>
    </row>
    <row r="91" spans="1:20" x14ac:dyDescent="0.25">
      <c r="A91" s="1" t="s">
        <v>26</v>
      </c>
      <c r="B91">
        <v>2011</v>
      </c>
      <c r="C91">
        <v>3895.2087369525798</v>
      </c>
      <c r="D91">
        <v>3895.2087369525798</v>
      </c>
      <c r="E91" t="s">
        <v>96</v>
      </c>
      <c r="F91">
        <v>0.44745843203365698</v>
      </c>
      <c r="G91">
        <v>-6.3211608939909578E-3</v>
      </c>
      <c r="H91">
        <v>0.44113727113966611</v>
      </c>
      <c r="I91">
        <v>3.732048784327547E-2</v>
      </c>
      <c r="J91">
        <v>8.2144300574542792E-3</v>
      </c>
      <c r="K91">
        <v>-2.5145126766354901E-4</v>
      </c>
      <c r="L91" t="s">
        <v>96</v>
      </c>
      <c r="M91">
        <v>1742.9439938806031</v>
      </c>
      <c r="N91">
        <v>-24.622241141956561</v>
      </c>
      <c r="O91">
        <v>1718.3217527386471</v>
      </c>
      <c r="P91">
        <v>145.37109031445911</v>
      </c>
      <c r="Q91">
        <v>31.996919728881789</v>
      </c>
      <c r="R91">
        <v>-0.97945517472085752</v>
      </c>
      <c r="S91" t="s">
        <v>96</v>
      </c>
      <c r="T91">
        <v>-6947.2711278939423</v>
      </c>
    </row>
    <row r="92" spans="1:20" x14ac:dyDescent="0.25">
      <c r="A92" s="1" t="s">
        <v>26</v>
      </c>
      <c r="B92">
        <v>2012</v>
      </c>
      <c r="C92">
        <v>3897.8655439578479</v>
      </c>
      <c r="D92">
        <v>3897.8655439578479</v>
      </c>
      <c r="E92" t="s">
        <v>96</v>
      </c>
      <c r="F92">
        <v>0.44439389480351921</v>
      </c>
      <c r="G92">
        <v>-6.5357881359637653E-3</v>
      </c>
      <c r="H92">
        <v>0.43785810666755548</v>
      </c>
      <c r="I92">
        <v>3.745220306817406E-2</v>
      </c>
      <c r="J92">
        <v>7.9926481767353223E-3</v>
      </c>
      <c r="K92">
        <v>-3.0136556211449579E-4</v>
      </c>
      <c r="L92" t="s">
        <v>96</v>
      </c>
      <c r="M92">
        <v>1732.1876504998661</v>
      </c>
      <c r="N92">
        <v>-25.475623377781648</v>
      </c>
      <c r="O92">
        <v>1706.712027122084</v>
      </c>
      <c r="P92">
        <v>145.9836518847481</v>
      </c>
      <c r="Q92">
        <v>31.154267933074131</v>
      </c>
      <c r="R92">
        <v>-1.1746824407015819</v>
      </c>
      <c r="S92" t="s">
        <v>96</v>
      </c>
      <c r="T92">
        <v>-6903.1426364977124</v>
      </c>
    </row>
    <row r="93" spans="1:20" x14ac:dyDescent="0.25">
      <c r="A93" s="1" t="s">
        <v>26</v>
      </c>
      <c r="B93">
        <v>2013</v>
      </c>
      <c r="C93">
        <v>3900.5223509631169</v>
      </c>
      <c r="D93">
        <v>3900.5223509631169</v>
      </c>
      <c r="E93" t="s">
        <v>96</v>
      </c>
      <c r="F93">
        <v>0.44139235843605151</v>
      </c>
      <c r="G93">
        <v>-6.9515591464817256E-3</v>
      </c>
      <c r="H93">
        <v>0.43444079928956969</v>
      </c>
      <c r="I93">
        <v>3.7580171706962373E-2</v>
      </c>
      <c r="J93">
        <v>7.8084166981951487E-3</v>
      </c>
      <c r="K93">
        <v>-3.5167704311169759E-4</v>
      </c>
      <c r="L93" t="s">
        <v>96</v>
      </c>
      <c r="M93">
        <v>1721.660759624142</v>
      </c>
      <c r="N93">
        <v>-27.114711824894069</v>
      </c>
      <c r="O93">
        <v>1694.5460477992481</v>
      </c>
      <c r="P93">
        <v>146.58229969603849</v>
      </c>
      <c r="Q93">
        <v>30.4569038569438</v>
      </c>
      <c r="R93">
        <v>-1.371724166977796</v>
      </c>
      <c r="S93" t="s">
        <v>96</v>
      </c>
      <c r="T93">
        <v>-6857.4495996798842</v>
      </c>
    </row>
    <row r="94" spans="1:20" x14ac:dyDescent="0.25">
      <c r="A94" s="1" t="s">
        <v>26</v>
      </c>
      <c r="B94">
        <v>2014</v>
      </c>
      <c r="C94">
        <v>3903.1791579683859</v>
      </c>
      <c r="D94">
        <v>3903.1791579683859</v>
      </c>
      <c r="E94" t="s">
        <v>96</v>
      </c>
      <c r="F94">
        <v>0.43834867060621752</v>
      </c>
      <c r="G94">
        <v>-6.3522455269094088E-3</v>
      </c>
      <c r="H94">
        <v>0.43199642507930808</v>
      </c>
      <c r="I94">
        <v>3.77107630567401E-2</v>
      </c>
      <c r="J94">
        <v>7.5950323215625073E-3</v>
      </c>
      <c r="K94">
        <v>-3.9473127121476609E-4</v>
      </c>
      <c r="L94" t="s">
        <v>96</v>
      </c>
      <c r="M94">
        <v>1710.953395033338</v>
      </c>
      <c r="N94">
        <v>-24.79395234693072</v>
      </c>
      <c r="O94">
        <v>1686.1594426864069</v>
      </c>
      <c r="P94">
        <v>147.19186439415219</v>
      </c>
      <c r="Q94">
        <v>29.644771861619031</v>
      </c>
      <c r="R94">
        <v>-1.5407068708038421</v>
      </c>
      <c r="S94" t="s">
        <v>96</v>
      </c>
      <c r="T94">
        <v>-6825.3363642623262</v>
      </c>
    </row>
    <row r="95" spans="1:20" x14ac:dyDescent="0.25">
      <c r="A95" s="1" t="s">
        <v>26</v>
      </c>
      <c r="B95">
        <v>2015</v>
      </c>
      <c r="C95">
        <v>3905.8359649736549</v>
      </c>
      <c r="D95">
        <v>3905.8359649736549</v>
      </c>
      <c r="E95" t="s">
        <v>96</v>
      </c>
      <c r="F95">
        <v>0.42952924336427722</v>
      </c>
      <c r="G95">
        <v>-7.1811882089283276E-3</v>
      </c>
      <c r="H95">
        <v>0.42234805515534879</v>
      </c>
      <c r="I95">
        <v>3.7961648887503072E-2</v>
      </c>
      <c r="J95">
        <v>7.426533970979486E-3</v>
      </c>
      <c r="K95">
        <v>-4.3983684794133827E-4</v>
      </c>
      <c r="L95" t="s">
        <v>96</v>
      </c>
      <c r="M95">
        <v>1677.6707667401149</v>
      </c>
      <c r="N95">
        <v>-28.048543177677011</v>
      </c>
      <c r="O95">
        <v>1649.622223562438</v>
      </c>
      <c r="P95">
        <v>148.27197351451159</v>
      </c>
      <c r="Q95">
        <v>29.006823478950292</v>
      </c>
      <c r="R95">
        <v>-1.717930579409928</v>
      </c>
      <c r="S95" t="s">
        <v>96</v>
      </c>
      <c r="T95">
        <v>-6692.3379965810736</v>
      </c>
    </row>
    <row r="96" spans="1:20" x14ac:dyDescent="0.25">
      <c r="A96" s="1" t="s">
        <v>26</v>
      </c>
      <c r="B96">
        <v>2016</v>
      </c>
      <c r="C96">
        <v>3908.4927719789248</v>
      </c>
      <c r="D96">
        <v>3908.4927719789248</v>
      </c>
      <c r="E96" t="s">
        <v>96</v>
      </c>
      <c r="F96">
        <v>0.52113251497493296</v>
      </c>
      <c r="G96">
        <v>-6.9483103964913624E-3</v>
      </c>
      <c r="H96">
        <v>0.51418420457844172</v>
      </c>
      <c r="I96">
        <v>7.9069355125474722E-2</v>
      </c>
      <c r="J96">
        <v>7.2474077763030097E-3</v>
      </c>
      <c r="K96">
        <v>-4.8068442653839732E-4</v>
      </c>
      <c r="L96" t="s">
        <v>96</v>
      </c>
      <c r="M96">
        <v>2036.842668022724</v>
      </c>
      <c r="N96">
        <v>-27.157420962152511</v>
      </c>
      <c r="O96">
        <v>2009.685247060572</v>
      </c>
      <c r="P96">
        <v>309.04200299295269</v>
      </c>
      <c r="Q96">
        <v>28.326440909264161</v>
      </c>
      <c r="R96">
        <v>-1.87875160672816</v>
      </c>
      <c r="S96" t="s">
        <v>96</v>
      </c>
      <c r="T96">
        <v>-8598.9747776396689</v>
      </c>
    </row>
    <row r="97" spans="1:20" x14ac:dyDescent="0.25">
      <c r="A97" s="1" t="s">
        <v>26</v>
      </c>
      <c r="B97">
        <v>2017</v>
      </c>
      <c r="C97">
        <v>3911.1495789841929</v>
      </c>
      <c r="D97">
        <v>3911.1495789841929</v>
      </c>
      <c r="E97" t="s">
        <v>96</v>
      </c>
      <c r="F97">
        <v>0.51872617191236847</v>
      </c>
      <c r="G97">
        <v>-6.9981949899554459E-3</v>
      </c>
      <c r="H97">
        <v>0.51172797692241301</v>
      </c>
      <c r="I97">
        <v>7.8802636284683703E-2</v>
      </c>
      <c r="J97">
        <v>7.0705413255509053E-3</v>
      </c>
      <c r="K97">
        <v>-5.1740776393337663E-4</v>
      </c>
      <c r="L97" t="s">
        <v>96</v>
      </c>
      <c r="M97">
        <v>2028.8156488831421</v>
      </c>
      <c r="N97">
        <v>-27.370987388613528</v>
      </c>
      <c r="O97">
        <v>2001.444661494528</v>
      </c>
      <c r="P97">
        <v>308.20889772768521</v>
      </c>
      <c r="Q97">
        <v>27.653944728618761</v>
      </c>
      <c r="R97">
        <v>-2.0236591580711791</v>
      </c>
      <c r="S97" t="s">
        <v>96</v>
      </c>
      <c r="T97">
        <v>-8562.7074309075688</v>
      </c>
    </row>
    <row r="98" spans="1:20" x14ac:dyDescent="0.25">
      <c r="A98" s="1" t="s">
        <v>26</v>
      </c>
      <c r="B98">
        <v>2018</v>
      </c>
      <c r="C98">
        <v>3913.8063859894619</v>
      </c>
      <c r="D98">
        <v>3913.8063859894619</v>
      </c>
      <c r="E98" t="s">
        <v>96</v>
      </c>
      <c r="F98">
        <v>0.51629199184665076</v>
      </c>
      <c r="G98">
        <v>-6.3327861692504409E-3</v>
      </c>
      <c r="H98">
        <v>0.50995920567740038</v>
      </c>
      <c r="I98">
        <v>7.8545914765531868E-2</v>
      </c>
      <c r="J98">
        <v>6.8627336056116626E-3</v>
      </c>
      <c r="K98">
        <v>-5.5226521340807487E-4</v>
      </c>
      <c r="L98" t="s">
        <v>96</v>
      </c>
      <c r="M98">
        <v>2020.666894724641</v>
      </c>
      <c r="N98">
        <v>-24.785298950318118</v>
      </c>
      <c r="O98">
        <v>1995.8815957743229</v>
      </c>
      <c r="P98">
        <v>307.41350280272258</v>
      </c>
      <c r="Q98">
        <v>26.859410610987421</v>
      </c>
      <c r="R98">
        <v>-2.161459118996357</v>
      </c>
      <c r="S98" t="s">
        <v>96</v>
      </c>
      <c r="T98">
        <v>-8535.9745169205762</v>
      </c>
    </row>
    <row r="99" spans="1:20" x14ac:dyDescent="0.25">
      <c r="A99" s="1" t="s">
        <v>26</v>
      </c>
      <c r="B99">
        <v>2019</v>
      </c>
      <c r="C99">
        <v>3916.4631929947309</v>
      </c>
      <c r="D99">
        <v>3916.4631929947309</v>
      </c>
      <c r="E99" t="s">
        <v>96</v>
      </c>
      <c r="F99">
        <v>0.51389817463918652</v>
      </c>
      <c r="G99">
        <v>-7.3038588390964016E-3</v>
      </c>
      <c r="H99">
        <v>0.50659431580009007</v>
      </c>
      <c r="I99">
        <v>7.827870229935488E-2</v>
      </c>
      <c r="J99">
        <v>6.6910480039143044E-3</v>
      </c>
      <c r="K99">
        <v>-5.9507163630521541E-4</v>
      </c>
      <c r="L99" t="s">
        <v>96</v>
      </c>
      <c r="M99">
        <v>2012.663285921552</v>
      </c>
      <c r="N99">
        <v>-28.605294310150281</v>
      </c>
      <c r="O99">
        <v>1984.057991611402</v>
      </c>
      <c r="P99">
        <v>306.57565635081539</v>
      </c>
      <c r="Q99">
        <v>26.205243229891231</v>
      </c>
      <c r="R99">
        <v>-2.3305761607845228</v>
      </c>
      <c r="S99" t="s">
        <v>96</v>
      </c>
      <c r="T99">
        <v>-8486.5304884489597</v>
      </c>
    </row>
    <row r="100" spans="1:20" x14ac:dyDescent="0.25">
      <c r="A100" s="1" t="s">
        <v>26</v>
      </c>
      <c r="B100">
        <v>2020</v>
      </c>
      <c r="C100">
        <v>3919.119999999999</v>
      </c>
      <c r="D100">
        <v>3919.119999999999</v>
      </c>
      <c r="E100" t="s">
        <v>96</v>
      </c>
      <c r="F100">
        <v>0.51146192305658089</v>
      </c>
      <c r="G100">
        <v>-6.5009120630930943E-3</v>
      </c>
      <c r="H100">
        <v>0.50496101099348767</v>
      </c>
      <c r="I100">
        <v>7.8020609907197516E-2</v>
      </c>
      <c r="J100">
        <v>6.4850243001916283E-3</v>
      </c>
      <c r="K100">
        <v>-6.2834092939468504E-4</v>
      </c>
      <c r="L100" t="s">
        <v>96</v>
      </c>
      <c r="M100">
        <v>2004.480651889507</v>
      </c>
      <c r="N100">
        <v>-25.4778544847094</v>
      </c>
      <c r="O100">
        <v>1979.0027974047971</v>
      </c>
      <c r="P100">
        <v>305.7721326994959</v>
      </c>
      <c r="Q100">
        <v>25.41558843536701</v>
      </c>
      <c r="R100">
        <v>-2.462543503209297</v>
      </c>
      <c r="S100" t="s">
        <v>96</v>
      </c>
      <c r="T100">
        <v>-8461.6692418010898</v>
      </c>
    </row>
    <row r="101" spans="1:20" x14ac:dyDescent="0.25">
      <c r="A101" s="1" t="s">
        <v>26</v>
      </c>
      <c r="B101">
        <v>2021</v>
      </c>
      <c r="C101">
        <v>3920.6291486101181</v>
      </c>
      <c r="D101">
        <v>3920.6291486101181</v>
      </c>
      <c r="E101" t="s">
        <v>96</v>
      </c>
      <c r="F101">
        <v>0.51052037782227655</v>
      </c>
      <c r="G101">
        <v>-3.648494586045061E-3</v>
      </c>
      <c r="H101">
        <v>0.50687188323623145</v>
      </c>
      <c r="I101">
        <v>7.7634044271749608E-2</v>
      </c>
      <c r="J101">
        <v>6.1949577163359663E-3</v>
      </c>
      <c r="K101">
        <v>-6.4079275240787098E-4</v>
      </c>
      <c r="L101" t="s">
        <v>96</v>
      </c>
      <c r="M101">
        <v>2001.561074249468</v>
      </c>
      <c r="N101">
        <v>-14.304394222594469</v>
      </c>
      <c r="O101">
        <v>1987.256680026873</v>
      </c>
      <c r="P101">
        <v>304.37429689630989</v>
      </c>
      <c r="Q101">
        <v>24.288131797073959</v>
      </c>
      <c r="R101">
        <v>-2.5123107433084049</v>
      </c>
      <c r="S101" t="s">
        <v>96</v>
      </c>
      <c r="T101">
        <v>-8482.4915925829173</v>
      </c>
    </row>
    <row r="102" spans="1:20" x14ac:dyDescent="0.25">
      <c r="A102" s="1" t="s">
        <v>26</v>
      </c>
      <c r="B102">
        <v>2022</v>
      </c>
      <c r="C102">
        <v>3925.3087149053231</v>
      </c>
      <c r="D102">
        <v>3925.3087149053231</v>
      </c>
      <c r="E102" t="s">
        <v>96</v>
      </c>
      <c r="F102">
        <v>0.50984132583365738</v>
      </c>
      <c r="G102">
        <v>-1.08273271098401E-2</v>
      </c>
      <c r="H102">
        <v>0.4990139987238173</v>
      </c>
      <c r="I102">
        <v>7.7554151221069956E-2</v>
      </c>
      <c r="J102">
        <v>6.128070675135629E-3</v>
      </c>
      <c r="K102">
        <v>-6.961188939288717E-4</v>
      </c>
      <c r="L102" t="s">
        <v>96</v>
      </c>
      <c r="M102">
        <v>2001.28459951374</v>
      </c>
      <c r="N102">
        <v>-42.500601463385998</v>
      </c>
      <c r="O102">
        <v>1958.7839980503541</v>
      </c>
      <c r="P102">
        <v>304.42398566515118</v>
      </c>
      <c r="Q102">
        <v>24.054569226665631</v>
      </c>
      <c r="R102">
        <v>-2.7324815609492541</v>
      </c>
      <c r="S102" t="s">
        <v>96</v>
      </c>
      <c r="T102">
        <v>-8376.6102617319084</v>
      </c>
    </row>
    <row r="103" spans="1:20" x14ac:dyDescent="0.25">
      <c r="A103" s="1" t="s">
        <v>26</v>
      </c>
      <c r="B103">
        <v>2023</v>
      </c>
      <c r="C103">
        <v>3933.455044608942</v>
      </c>
      <c r="D103">
        <v>3933.455044608942</v>
      </c>
      <c r="E103" t="s">
        <v>96</v>
      </c>
      <c r="F103">
        <v>0.50932547427021224</v>
      </c>
      <c r="G103">
        <v>-1.943685030153295E-2</v>
      </c>
      <c r="H103">
        <v>0.48988862396867933</v>
      </c>
      <c r="I103">
        <v>7.7366776268526768E-2</v>
      </c>
      <c r="J103">
        <v>6.3449581544684983E-3</v>
      </c>
      <c r="K103">
        <v>-8.1069832740112964E-4</v>
      </c>
      <c r="L103" t="s">
        <v>96</v>
      </c>
      <c r="M103">
        <v>2003.4088561160081</v>
      </c>
      <c r="N103">
        <v>-76.453976869873614</v>
      </c>
      <c r="O103">
        <v>1926.9548792461351</v>
      </c>
      <c r="P103">
        <v>304.31873639856798</v>
      </c>
      <c r="Q103">
        <v>24.957607660526762</v>
      </c>
      <c r="R103">
        <v>-3.1888454255720049</v>
      </c>
      <c r="S103" t="s">
        <v>96</v>
      </c>
      <c r="T103">
        <v>-8261.1553855594957</v>
      </c>
    </row>
    <row r="104" spans="1:20" x14ac:dyDescent="0.25">
      <c r="A104" s="1" t="s">
        <v>97</v>
      </c>
      <c r="B104">
        <v>1990</v>
      </c>
      <c r="C104">
        <v>226872.33088888001</v>
      </c>
      <c r="D104">
        <v>226872.33088888001</v>
      </c>
      <c r="E104" t="s">
        <v>96</v>
      </c>
      <c r="F104">
        <v>2.1709149195422688</v>
      </c>
      <c r="G104">
        <v>-2.3054694567764811</v>
      </c>
      <c r="H104">
        <v>-0.13455453723421151</v>
      </c>
      <c r="I104">
        <v>0.10841589940752699</v>
      </c>
      <c r="J104">
        <v>-8.5326792523154851E-2</v>
      </c>
      <c r="K104">
        <v>2.7618454063792219E-2</v>
      </c>
      <c r="L104" t="s">
        <v>96</v>
      </c>
      <c r="M104">
        <v>492520.5279579999</v>
      </c>
      <c r="N104">
        <v>-523047.22945200012</v>
      </c>
      <c r="O104">
        <v>-30526.70149400015</v>
      </c>
      <c r="P104">
        <v>24596.567803999991</v>
      </c>
      <c r="Q104">
        <v>-19358.288306999999</v>
      </c>
      <c r="R104">
        <v>6265.8630489999996</v>
      </c>
      <c r="S104" t="s">
        <v>96</v>
      </c>
      <c r="T104">
        <v>69749.382809340255</v>
      </c>
    </row>
    <row r="105" spans="1:20" x14ac:dyDescent="0.25">
      <c r="A105" s="1" t="s">
        <v>97</v>
      </c>
      <c r="B105">
        <v>1991</v>
      </c>
      <c r="C105">
        <v>226820.69388706001</v>
      </c>
      <c r="D105">
        <v>226820.69388706001</v>
      </c>
      <c r="E105" t="s">
        <v>96</v>
      </c>
      <c r="F105">
        <v>2.2300294842403559</v>
      </c>
      <c r="G105">
        <v>-2.3434394569556689</v>
      </c>
      <c r="H105">
        <v>-0.11340997271531381</v>
      </c>
      <c r="I105">
        <v>0.10762745818137499</v>
      </c>
      <c r="J105">
        <v>-9.2711084842509103E-2</v>
      </c>
      <c r="K105">
        <v>2.80826134901591E-2</v>
      </c>
      <c r="L105" t="s">
        <v>96</v>
      </c>
      <c r="M105">
        <v>505816.83500399999</v>
      </c>
      <c r="N105">
        <v>-531540.56370900001</v>
      </c>
      <c r="O105">
        <v>-25723.72870500002</v>
      </c>
      <c r="P105">
        <v>24412.134746000011</v>
      </c>
      <c r="Q105">
        <v>-21028.792594999999</v>
      </c>
      <c r="R105">
        <v>6369.7178779999986</v>
      </c>
      <c r="S105" t="s">
        <v>96</v>
      </c>
      <c r="T105">
        <v>58559.118478672033</v>
      </c>
    </row>
    <row r="106" spans="1:20" x14ac:dyDescent="0.25">
      <c r="A106" s="1" t="s">
        <v>97</v>
      </c>
      <c r="B106">
        <v>1992</v>
      </c>
      <c r="C106">
        <v>226774.36408592001</v>
      </c>
      <c r="D106">
        <v>226774.36408592001</v>
      </c>
      <c r="E106" t="s">
        <v>96</v>
      </c>
      <c r="F106">
        <v>2.2483194384124658</v>
      </c>
      <c r="G106">
        <v>-2.382979543147365</v>
      </c>
      <c r="H106">
        <v>-0.1346601047348992</v>
      </c>
      <c r="I106">
        <v>0.12014200352327919</v>
      </c>
      <c r="J106">
        <v>-9.561176954192685E-2</v>
      </c>
      <c r="K106">
        <v>2.8627918733972451E-2</v>
      </c>
      <c r="L106" t="s">
        <v>96</v>
      </c>
      <c r="M106">
        <v>509861.21090799989</v>
      </c>
      <c r="N106">
        <v>-540398.6705270001</v>
      </c>
      <c r="O106">
        <v>-30537.45961900015</v>
      </c>
      <c r="P106">
        <v>27245.126448999999</v>
      </c>
      <c r="Q106">
        <v>-21682.298236999999</v>
      </c>
      <c r="R106">
        <v>6492.078066</v>
      </c>
      <c r="S106" t="s">
        <v>96</v>
      </c>
      <c r="T106">
        <v>67769.362250340026</v>
      </c>
    </row>
    <row r="107" spans="1:20" x14ac:dyDescent="0.25">
      <c r="A107" s="1" t="s">
        <v>97</v>
      </c>
      <c r="B107">
        <v>1993</v>
      </c>
      <c r="C107">
        <v>226732.92528446999</v>
      </c>
      <c r="D107">
        <v>226732.92528446999</v>
      </c>
      <c r="E107" t="s">
        <v>96</v>
      </c>
      <c r="F107">
        <v>2.2593980501564519</v>
      </c>
      <c r="G107">
        <v>-2.3974295147738389</v>
      </c>
      <c r="H107">
        <v>-0.1380314646173868</v>
      </c>
      <c r="I107">
        <v>0.1165582228908425</v>
      </c>
      <c r="J107">
        <v>-9.7854968056197394E-2</v>
      </c>
      <c r="K107">
        <v>2.8732559088303779E-2</v>
      </c>
      <c r="L107" t="s">
        <v>96</v>
      </c>
      <c r="M107">
        <v>512279.92929399997</v>
      </c>
      <c r="N107">
        <v>-543576.20704799995</v>
      </c>
      <c r="O107">
        <v>-31296.277753999919</v>
      </c>
      <c r="P107">
        <v>26427.586842000001</v>
      </c>
      <c r="Q107">
        <v>-22186.943160999999</v>
      </c>
      <c r="R107">
        <v>6514.6171730000005</v>
      </c>
      <c r="S107" t="s">
        <v>96</v>
      </c>
      <c r="T107">
        <v>75317.061966673253</v>
      </c>
    </row>
    <row r="108" spans="1:20" x14ac:dyDescent="0.25">
      <c r="A108" s="1" t="s">
        <v>97</v>
      </c>
      <c r="B108">
        <v>1994</v>
      </c>
      <c r="C108">
        <v>226694.54678313</v>
      </c>
      <c r="D108">
        <v>226694.54678313</v>
      </c>
      <c r="E108" t="s">
        <v>96</v>
      </c>
      <c r="F108">
        <v>2.27461555164049</v>
      </c>
      <c r="G108">
        <v>-2.4313174733897762</v>
      </c>
      <c r="H108">
        <v>-0.15670192174928579</v>
      </c>
      <c r="I108">
        <v>0.1216232422140107</v>
      </c>
      <c r="J108">
        <v>-9.3256534993867962E-2</v>
      </c>
      <c r="K108">
        <v>2.9105563343401131E-2</v>
      </c>
      <c r="L108" t="s">
        <v>96</v>
      </c>
      <c r="M108">
        <v>515642.94158500002</v>
      </c>
      <c r="N108">
        <v>-551166.41271599988</v>
      </c>
      <c r="O108">
        <v>-35523.471130999853</v>
      </c>
      <c r="P108">
        <v>27571.325772</v>
      </c>
      <c r="Q108">
        <v>-21140.747934999999</v>
      </c>
      <c r="R108">
        <v>6598.0724910000008</v>
      </c>
      <c r="S108" t="s">
        <v>96</v>
      </c>
      <c r="T108">
        <v>82481.009611006972</v>
      </c>
    </row>
    <row r="109" spans="1:20" x14ac:dyDescent="0.25">
      <c r="A109" s="1" t="s">
        <v>97</v>
      </c>
      <c r="B109">
        <v>1995</v>
      </c>
      <c r="C109">
        <v>226659.83348157001</v>
      </c>
      <c r="D109">
        <v>226659.83348157001</v>
      </c>
      <c r="E109" t="s">
        <v>96</v>
      </c>
      <c r="F109">
        <v>2.274407584305921</v>
      </c>
      <c r="G109">
        <v>-2.4451654733394319</v>
      </c>
      <c r="H109">
        <v>-0.170757889033511</v>
      </c>
      <c r="I109">
        <v>0.12557374009239411</v>
      </c>
      <c r="J109">
        <v>-9.7572215611806914E-2</v>
      </c>
      <c r="K109">
        <v>2.9189760008969421E-2</v>
      </c>
      <c r="L109" t="s">
        <v>96</v>
      </c>
      <c r="M109">
        <v>515516.84432799998</v>
      </c>
      <c r="N109">
        <v>-554220.79902200005</v>
      </c>
      <c r="O109">
        <v>-38703.954694000007</v>
      </c>
      <c r="P109">
        <v>28462.523019</v>
      </c>
      <c r="Q109">
        <v>-22115.702142999999</v>
      </c>
      <c r="R109">
        <v>6616.1461430000008</v>
      </c>
      <c r="S109" t="s">
        <v>96</v>
      </c>
      <c r="T109">
        <v>94383.621475008622</v>
      </c>
    </row>
    <row r="110" spans="1:20" x14ac:dyDescent="0.25">
      <c r="A110" s="1" t="s">
        <v>97</v>
      </c>
      <c r="B110">
        <v>1996</v>
      </c>
      <c r="C110">
        <v>226623.41768024999</v>
      </c>
      <c r="D110">
        <v>226623.41768024999</v>
      </c>
      <c r="E110" t="s">
        <v>96</v>
      </c>
      <c r="F110">
        <v>2.336759681385526</v>
      </c>
      <c r="G110">
        <v>-2.4886574644185639</v>
      </c>
      <c r="H110">
        <v>-0.1518977830330383</v>
      </c>
      <c r="I110">
        <v>0.1246074476241605</v>
      </c>
      <c r="J110">
        <v>-0.1026187979558774</v>
      </c>
      <c r="K110">
        <v>2.9508876930959809E-2</v>
      </c>
      <c r="L110" t="s">
        <v>96</v>
      </c>
      <c r="M110">
        <v>529564.46529299987</v>
      </c>
      <c r="N110">
        <v>-563988.06002200011</v>
      </c>
      <c r="O110">
        <v>-34423.594729000237</v>
      </c>
      <c r="P110">
        <v>28238.965649000002</v>
      </c>
      <c r="Q110">
        <v>-23255.822711000001</v>
      </c>
      <c r="R110">
        <v>6687.4025419999989</v>
      </c>
      <c r="S110" t="s">
        <v>96</v>
      </c>
      <c r="T110">
        <v>83427.847246341786</v>
      </c>
    </row>
    <row r="111" spans="1:20" x14ac:dyDescent="0.25">
      <c r="A111" s="1" t="s">
        <v>97</v>
      </c>
      <c r="B111">
        <v>1997</v>
      </c>
      <c r="C111">
        <v>226586.51707889</v>
      </c>
      <c r="D111">
        <v>226586.51707889</v>
      </c>
      <c r="E111" t="s">
        <v>96</v>
      </c>
      <c r="F111">
        <v>2.3516260132348492</v>
      </c>
      <c r="G111">
        <v>-2.5150255765906389</v>
      </c>
      <c r="H111">
        <v>-0.1633995633557907</v>
      </c>
      <c r="I111">
        <v>0.12962542321868981</v>
      </c>
      <c r="J111">
        <v>-0.1045861674803413</v>
      </c>
      <c r="K111">
        <v>2.9905568241029759E-2</v>
      </c>
      <c r="L111" t="s">
        <v>96</v>
      </c>
      <c r="M111">
        <v>532846.74781099998</v>
      </c>
      <c r="N111">
        <v>-569870.88576400001</v>
      </c>
      <c r="O111">
        <v>-37024.137953000027</v>
      </c>
      <c r="P111">
        <v>29371.373172</v>
      </c>
      <c r="Q111">
        <v>-23697.815424</v>
      </c>
      <c r="R111">
        <v>6776.1985489999988</v>
      </c>
      <c r="S111" t="s">
        <v>96</v>
      </c>
      <c r="T111">
        <v>90106.066072008311</v>
      </c>
    </row>
    <row r="112" spans="1:20" x14ac:dyDescent="0.25">
      <c r="A112" s="1" t="s">
        <v>97</v>
      </c>
      <c r="B112">
        <v>1998</v>
      </c>
      <c r="C112">
        <v>226545.27677781001</v>
      </c>
      <c r="D112">
        <v>226545.27677781001</v>
      </c>
      <c r="E112" t="s">
        <v>96</v>
      </c>
      <c r="F112">
        <v>2.3531099279189012</v>
      </c>
      <c r="G112">
        <v>-2.4887383954597859</v>
      </c>
      <c r="H112">
        <v>-0.13562846754088501</v>
      </c>
      <c r="I112">
        <v>0.1161687238962458</v>
      </c>
      <c r="J112">
        <v>-0.1060435907457114</v>
      </c>
      <c r="K112">
        <v>2.9606463672064369E-2</v>
      </c>
      <c r="L112" t="s">
        <v>96</v>
      </c>
      <c r="M112">
        <v>533085.93990900007</v>
      </c>
      <c r="N112">
        <v>-563811.92862700007</v>
      </c>
      <c r="O112">
        <v>-30725.988718000011</v>
      </c>
      <c r="P112">
        <v>26317.475708000002</v>
      </c>
      <c r="Q112">
        <v>-24023.674616</v>
      </c>
      <c r="R112">
        <v>6707.2045070000004</v>
      </c>
      <c r="S112" t="s">
        <v>96</v>
      </c>
      <c r="T112">
        <v>79658.271436340598</v>
      </c>
    </row>
    <row r="113" spans="1:20" x14ac:dyDescent="0.25">
      <c r="A113" s="1" t="s">
        <v>97</v>
      </c>
      <c r="B113">
        <v>1999</v>
      </c>
      <c r="C113">
        <v>226499.79547596999</v>
      </c>
      <c r="D113">
        <v>226499.79547596999</v>
      </c>
      <c r="E113" t="s">
        <v>96</v>
      </c>
      <c r="F113">
        <v>2.3529194220422189</v>
      </c>
      <c r="G113">
        <v>-2.5393816710488881</v>
      </c>
      <c r="H113">
        <v>-0.18646224900666941</v>
      </c>
      <c r="I113">
        <v>0.13432500770724909</v>
      </c>
      <c r="J113">
        <v>-0.10206747295033509</v>
      </c>
      <c r="K113">
        <v>3.0012875326067171E-2</v>
      </c>
      <c r="L113" t="s">
        <v>96</v>
      </c>
      <c r="M113">
        <v>532935.76786400005</v>
      </c>
      <c r="N113">
        <v>-575169.42912800005</v>
      </c>
      <c r="O113">
        <v>-42233.661263999988</v>
      </c>
      <c r="P113">
        <v>30424.586772999999</v>
      </c>
      <c r="Q113">
        <v>-23118.261748000001</v>
      </c>
      <c r="R113">
        <v>6797.9101229999997</v>
      </c>
      <c r="S113" t="s">
        <v>96</v>
      </c>
      <c r="T113">
        <v>103141.22909200939</v>
      </c>
    </row>
    <row r="114" spans="1:20" x14ac:dyDescent="0.25">
      <c r="A114" s="1" t="s">
        <v>97</v>
      </c>
      <c r="B114">
        <v>2000</v>
      </c>
      <c r="C114">
        <v>226460.90567439009</v>
      </c>
      <c r="D114">
        <v>226460.90567439009</v>
      </c>
      <c r="E114" t="s">
        <v>96</v>
      </c>
      <c r="F114">
        <v>2.3501754587179851</v>
      </c>
      <c r="G114">
        <v>-2.528469728286324</v>
      </c>
      <c r="H114">
        <v>-0.17829426956833941</v>
      </c>
      <c r="I114">
        <v>0.1267917280710899</v>
      </c>
      <c r="J114">
        <v>-0.10874240304155459</v>
      </c>
      <c r="K114">
        <v>2.9807412762472962E-2</v>
      </c>
      <c r="L114" t="s">
        <v>96</v>
      </c>
      <c r="M114">
        <v>532222.86287499999</v>
      </c>
      <c r="N114">
        <v>-572599.54463799996</v>
      </c>
      <c r="O114">
        <v>-40376.681762999971</v>
      </c>
      <c r="P114">
        <v>28713.36957100001</v>
      </c>
      <c r="Q114">
        <v>-24625.903077999999</v>
      </c>
      <c r="R114">
        <v>6750.2136899999996</v>
      </c>
      <c r="S114" t="s">
        <v>96</v>
      </c>
      <c r="T114">
        <v>108309.67246000969</v>
      </c>
    </row>
    <row r="115" spans="1:20" x14ac:dyDescent="0.25">
      <c r="A115" s="1" t="s">
        <v>97</v>
      </c>
      <c r="B115">
        <v>2001</v>
      </c>
      <c r="C115">
        <v>226421.78427276001</v>
      </c>
      <c r="D115">
        <v>226421.78427276001</v>
      </c>
      <c r="E115" t="s">
        <v>96</v>
      </c>
      <c r="F115">
        <v>2.3796594476701238</v>
      </c>
      <c r="G115">
        <v>-2.547036629193197</v>
      </c>
      <c r="H115">
        <v>-0.16737718152307349</v>
      </c>
      <c r="I115">
        <v>0.13494996776984611</v>
      </c>
      <c r="J115">
        <v>-0.1037658503551797</v>
      </c>
      <c r="K115">
        <v>3.00085244925677E-2</v>
      </c>
      <c r="L115" t="s">
        <v>96</v>
      </c>
      <c r="M115">
        <v>538806.73810299998</v>
      </c>
      <c r="N115">
        <v>-576704.57818999991</v>
      </c>
      <c r="O115">
        <v>-37897.840086999931</v>
      </c>
      <c r="P115">
        <v>30555.61249</v>
      </c>
      <c r="Q115">
        <v>-23494.848984</v>
      </c>
      <c r="R115">
        <v>6794.5836589999999</v>
      </c>
      <c r="S115" t="s">
        <v>96</v>
      </c>
      <c r="T115">
        <v>88155.807380674436</v>
      </c>
    </row>
    <row r="116" spans="1:20" x14ac:dyDescent="0.25">
      <c r="A116" s="1" t="s">
        <v>97</v>
      </c>
      <c r="B116">
        <v>2002</v>
      </c>
      <c r="C116">
        <v>226378.94527062</v>
      </c>
      <c r="D116">
        <v>226378.94527062</v>
      </c>
      <c r="E116" t="s">
        <v>96</v>
      </c>
      <c r="F116">
        <v>2.3656739098629571</v>
      </c>
      <c r="G116">
        <v>-2.5669123695728069</v>
      </c>
      <c r="H116">
        <v>-0.20123845970984999</v>
      </c>
      <c r="I116">
        <v>0.14911942052139751</v>
      </c>
      <c r="J116">
        <v>-0.1037985647689542</v>
      </c>
      <c r="K116">
        <v>3.0092140891709099E-2</v>
      </c>
      <c r="L116" t="s">
        <v>96</v>
      </c>
      <c r="M116">
        <v>535538.76456899999</v>
      </c>
      <c r="N116">
        <v>-581094.91482599999</v>
      </c>
      <c r="O116">
        <v>-45556.150257000001</v>
      </c>
      <c r="P116">
        <v>33757.497137000013</v>
      </c>
      <c r="Q116">
        <v>-23497.809613000001</v>
      </c>
      <c r="R116">
        <v>6812.227116</v>
      </c>
      <c r="S116" t="s">
        <v>96</v>
      </c>
      <c r="T116">
        <v>104442.1972623428</v>
      </c>
    </row>
    <row r="117" spans="1:20" x14ac:dyDescent="0.25">
      <c r="A117" s="1" t="s">
        <v>97</v>
      </c>
      <c r="B117">
        <v>2003</v>
      </c>
      <c r="C117">
        <v>226331.84066875</v>
      </c>
      <c r="D117">
        <v>226331.84066875</v>
      </c>
      <c r="E117" t="s">
        <v>96</v>
      </c>
      <c r="F117">
        <v>2.3508738637650488</v>
      </c>
      <c r="G117">
        <v>-2.5599285043149371</v>
      </c>
      <c r="H117">
        <v>-0.20905464054988779</v>
      </c>
      <c r="I117">
        <v>0.1686605967600856</v>
      </c>
      <c r="J117">
        <v>-0.1073157006068286</v>
      </c>
      <c r="K117">
        <v>2.97635632357145E-2</v>
      </c>
      <c r="L117" t="s">
        <v>96</v>
      </c>
      <c r="M117">
        <v>532077.6087659999</v>
      </c>
      <c r="N117">
        <v>-579393.33036199992</v>
      </c>
      <c r="O117">
        <v>-47315.721596000018</v>
      </c>
      <c r="P117">
        <v>38173.263313000003</v>
      </c>
      <c r="Q117">
        <v>-24288.960051000009</v>
      </c>
      <c r="R117">
        <v>6736.4420520000003</v>
      </c>
      <c r="S117" t="s">
        <v>96</v>
      </c>
      <c r="T117">
        <v>97881.579700675691</v>
      </c>
    </row>
    <row r="118" spans="1:20" x14ac:dyDescent="0.25">
      <c r="A118" s="1" t="s">
        <v>97</v>
      </c>
      <c r="B118">
        <v>2004</v>
      </c>
      <c r="C118">
        <v>226285.55666751001</v>
      </c>
      <c r="D118">
        <v>226285.55666751001</v>
      </c>
      <c r="E118" t="s">
        <v>96</v>
      </c>
      <c r="F118">
        <v>2.348017182646315</v>
      </c>
      <c r="G118">
        <v>-2.592135718312147</v>
      </c>
      <c r="H118">
        <v>-0.2441185356658308</v>
      </c>
      <c r="I118">
        <v>0.17003415543456299</v>
      </c>
      <c r="J118">
        <v>-0.11147630507440991</v>
      </c>
      <c r="K118">
        <v>2.9818229428201039E-2</v>
      </c>
      <c r="L118" t="s">
        <v>96</v>
      </c>
      <c r="M118">
        <v>531322.37523999996</v>
      </c>
      <c r="N118">
        <v>-586562.87397599989</v>
      </c>
      <c r="O118">
        <v>-55240.498735999921</v>
      </c>
      <c r="P118">
        <v>38476.273515000001</v>
      </c>
      <c r="Q118">
        <v>-25225.477749000001</v>
      </c>
      <c r="R118">
        <v>6747.4346450000003</v>
      </c>
      <c r="S118" t="s">
        <v>96</v>
      </c>
      <c r="T118">
        <v>129221.6505250115</v>
      </c>
    </row>
    <row r="119" spans="1:20" x14ac:dyDescent="0.25">
      <c r="A119" s="1" t="s">
        <v>97</v>
      </c>
      <c r="B119">
        <v>2005</v>
      </c>
      <c r="C119">
        <v>226244.22316615001</v>
      </c>
      <c r="D119">
        <v>226244.22316615001</v>
      </c>
      <c r="E119" t="s">
        <v>96</v>
      </c>
      <c r="F119">
        <v>2.3384648184827421</v>
      </c>
      <c r="G119">
        <v>-2.57079040484876</v>
      </c>
      <c r="H119">
        <v>-0.2323255863660183</v>
      </c>
      <c r="I119">
        <v>0.16237987053495101</v>
      </c>
      <c r="J119">
        <v>-0.1130252285258168</v>
      </c>
      <c r="K119">
        <v>2.9296421982595321E-2</v>
      </c>
      <c r="L119" t="s">
        <v>96</v>
      </c>
      <c r="M119">
        <v>529064.15625899995</v>
      </c>
      <c r="N119">
        <v>-581626.47806800005</v>
      </c>
      <c r="O119">
        <v>-52562.321809000103</v>
      </c>
      <c r="P119">
        <v>36737.507666999998</v>
      </c>
      <c r="Q119">
        <v>-25571.305026000002</v>
      </c>
      <c r="R119">
        <v>6628.1462329999986</v>
      </c>
      <c r="S119" t="s">
        <v>96</v>
      </c>
      <c r="T119">
        <v>127482.5674283453</v>
      </c>
    </row>
    <row r="120" spans="1:20" x14ac:dyDescent="0.25">
      <c r="A120" s="1" t="s">
        <v>97</v>
      </c>
      <c r="B120">
        <v>2006</v>
      </c>
      <c r="C120">
        <v>226196.39756530989</v>
      </c>
      <c r="D120">
        <v>226196.39756530989</v>
      </c>
      <c r="E120" t="s">
        <v>96</v>
      </c>
      <c r="F120">
        <v>2.3701567011835598</v>
      </c>
      <c r="G120">
        <v>-2.5526371229687128</v>
      </c>
      <c r="H120">
        <v>-0.18248042178515339</v>
      </c>
      <c r="I120">
        <v>0.1411165993073947</v>
      </c>
      <c r="J120">
        <v>-0.1168144049039104</v>
      </c>
      <c r="K120">
        <v>2.9109968380901519E-2</v>
      </c>
      <c r="L120" t="s">
        <v>96</v>
      </c>
      <c r="M120">
        <v>536120.907473</v>
      </c>
      <c r="N120">
        <v>-577397.32150700002</v>
      </c>
      <c r="O120">
        <v>-41276.414034000023</v>
      </c>
      <c r="P120">
        <v>31920.0664</v>
      </c>
      <c r="Q120">
        <v>-26422.997573000001</v>
      </c>
      <c r="R120">
        <v>6584.5699810000006</v>
      </c>
      <c r="S120" t="s">
        <v>96</v>
      </c>
      <c r="T120">
        <v>107047.5091620098</v>
      </c>
    </row>
    <row r="121" spans="1:20" x14ac:dyDescent="0.25">
      <c r="A121" s="1" t="s">
        <v>97</v>
      </c>
      <c r="B121">
        <v>2007</v>
      </c>
      <c r="C121">
        <v>226149.13813884999</v>
      </c>
      <c r="D121">
        <v>226149.13813884999</v>
      </c>
      <c r="E121" t="s">
        <v>96</v>
      </c>
      <c r="F121">
        <v>2.3686152886026819</v>
      </c>
      <c r="G121">
        <v>-2.4845003026234269</v>
      </c>
      <c r="H121">
        <v>-0.11588501402074521</v>
      </c>
      <c r="I121">
        <v>9.7555079371801454E-2</v>
      </c>
      <c r="J121">
        <v>-0.1155043992206692</v>
      </c>
      <c r="K121">
        <v>2.8665712738731589E-2</v>
      </c>
      <c r="L121" t="s">
        <v>96</v>
      </c>
      <c r="M121">
        <v>535660.30609999993</v>
      </c>
      <c r="N121">
        <v>-561867.602144</v>
      </c>
      <c r="O121">
        <v>-26207.296044000079</v>
      </c>
      <c r="P121">
        <v>22061.997121</v>
      </c>
      <c r="Q121">
        <v>-26121.220335000002</v>
      </c>
      <c r="R121">
        <v>6482.7262300000002</v>
      </c>
      <c r="S121" t="s">
        <v>96</v>
      </c>
      <c r="T121">
        <v>87207.24110267486</v>
      </c>
    </row>
    <row r="122" spans="1:20" x14ac:dyDescent="0.25">
      <c r="A122" s="1" t="s">
        <v>97</v>
      </c>
      <c r="B122">
        <v>2008</v>
      </c>
      <c r="C122">
        <v>226106.15421265</v>
      </c>
      <c r="D122">
        <v>226106.15421265</v>
      </c>
      <c r="E122" t="s">
        <v>96</v>
      </c>
      <c r="F122">
        <v>2.378246307671334</v>
      </c>
      <c r="G122">
        <v>-2.4102724479735098</v>
      </c>
      <c r="H122">
        <v>-3.2026140302176799E-2</v>
      </c>
      <c r="I122">
        <v>4.8071951941553517E-2</v>
      </c>
      <c r="J122">
        <v>-0.1194380062720518</v>
      </c>
      <c r="K122">
        <v>2.8624603640434201E-2</v>
      </c>
      <c r="L122" t="s">
        <v>96</v>
      </c>
      <c r="M122">
        <v>537736.12639800005</v>
      </c>
      <c r="N122">
        <v>-544977.433816</v>
      </c>
      <c r="O122">
        <v>-7241.307417999953</v>
      </c>
      <c r="P122">
        <v>10869.364179</v>
      </c>
      <c r="Q122">
        <v>-27005.668265</v>
      </c>
      <c r="R122">
        <v>6472.1990449999994</v>
      </c>
      <c r="S122" t="s">
        <v>96</v>
      </c>
      <c r="T122">
        <v>61986.512349672113</v>
      </c>
    </row>
    <row r="123" spans="1:20" x14ac:dyDescent="0.25">
      <c r="A123" s="1" t="s">
        <v>97</v>
      </c>
      <c r="B123">
        <v>2009</v>
      </c>
      <c r="C123">
        <v>226067.95155078999</v>
      </c>
      <c r="D123">
        <v>226067.95155078999</v>
      </c>
      <c r="E123" t="s">
        <v>96</v>
      </c>
      <c r="F123">
        <v>2.392346511409392</v>
      </c>
      <c r="G123">
        <v>-2.378380795953742</v>
      </c>
      <c r="H123">
        <v>1.396571545564968E-2</v>
      </c>
      <c r="I123">
        <v>4.0148426611283122E-2</v>
      </c>
      <c r="J123">
        <v>-0.1220755579580672</v>
      </c>
      <c r="K123">
        <v>2.9072591231594381E-2</v>
      </c>
      <c r="L123" t="s">
        <v>96</v>
      </c>
      <c r="M123">
        <v>540832.87523399992</v>
      </c>
      <c r="N123">
        <v>-537675.67454899999</v>
      </c>
      <c r="O123">
        <v>3157.2006849999311</v>
      </c>
      <c r="P123">
        <v>9076.2725620000001</v>
      </c>
      <c r="Q123">
        <v>-27597.371321999999</v>
      </c>
      <c r="R123">
        <v>6572.3811460000006</v>
      </c>
      <c r="S123" t="s">
        <v>96</v>
      </c>
      <c r="T123">
        <v>32235.562073003159</v>
      </c>
    </row>
    <row r="124" spans="1:20" x14ac:dyDescent="0.25">
      <c r="A124" s="1" t="s">
        <v>97</v>
      </c>
      <c r="B124">
        <v>2010</v>
      </c>
      <c r="C124">
        <v>226031.45726689999</v>
      </c>
      <c r="D124">
        <v>226031.45726689999</v>
      </c>
      <c r="E124" t="s">
        <v>96</v>
      </c>
      <c r="F124">
        <v>2.3909128012162721</v>
      </c>
      <c r="G124">
        <v>-2.4612394473663688</v>
      </c>
      <c r="H124">
        <v>-7.0326646150096997E-2</v>
      </c>
      <c r="I124">
        <v>8.2514290181197811E-2</v>
      </c>
      <c r="J124">
        <v>-0.1142315451274183</v>
      </c>
      <c r="K124">
        <v>3.0040394917165082E-2</v>
      </c>
      <c r="L124" t="s">
        <v>96</v>
      </c>
      <c r="M124">
        <v>540421.50465699995</v>
      </c>
      <c r="N124">
        <v>-556317.538971</v>
      </c>
      <c r="O124">
        <v>-15896.03431400005</v>
      </c>
      <c r="P124">
        <v>18650.825255</v>
      </c>
      <c r="Q124">
        <v>-25819.922611000002</v>
      </c>
      <c r="R124">
        <v>6790.074239999999</v>
      </c>
      <c r="S124" t="s">
        <v>96</v>
      </c>
      <c r="T124">
        <v>59675.210576672282</v>
      </c>
    </row>
    <row r="125" spans="1:20" x14ac:dyDescent="0.25">
      <c r="A125" s="1" t="s">
        <v>97</v>
      </c>
      <c r="B125">
        <v>2011</v>
      </c>
      <c r="C125">
        <v>225990.88551115</v>
      </c>
      <c r="D125">
        <v>225990.88551115</v>
      </c>
      <c r="E125" t="s">
        <v>96</v>
      </c>
      <c r="F125">
        <v>2.4255516409264879</v>
      </c>
      <c r="G125">
        <v>-2.4704450127855022</v>
      </c>
      <c r="H125">
        <v>-4.4893371859013841E-2</v>
      </c>
      <c r="I125">
        <v>5.7716323857479032E-2</v>
      </c>
      <c r="J125">
        <v>-0.113858090222539</v>
      </c>
      <c r="K125">
        <v>3.020052272268858E-2</v>
      </c>
      <c r="L125" t="s">
        <v>96</v>
      </c>
      <c r="M125">
        <v>548152.5631860001</v>
      </c>
      <c r="N125">
        <v>-558298.05604599998</v>
      </c>
      <c r="O125">
        <v>-10145.49285999988</v>
      </c>
      <c r="P125">
        <v>13043.363137</v>
      </c>
      <c r="Q125">
        <v>-25730.89063200001</v>
      </c>
      <c r="R125">
        <v>6825.0428729999994</v>
      </c>
      <c r="S125" t="s">
        <v>96</v>
      </c>
      <c r="T125">
        <v>58695.917434004929</v>
      </c>
    </row>
    <row r="126" spans="1:20" x14ac:dyDescent="0.25">
      <c r="A126" s="1" t="s">
        <v>97</v>
      </c>
      <c r="B126">
        <v>2012</v>
      </c>
      <c r="C126">
        <v>225948.34581930999</v>
      </c>
      <c r="D126">
        <v>225948.34581930999</v>
      </c>
      <c r="E126" t="s">
        <v>96</v>
      </c>
      <c r="F126">
        <v>2.443006113868285</v>
      </c>
      <c r="G126">
        <v>-2.4765352736748301</v>
      </c>
      <c r="H126">
        <v>-3.3529159806544293E-2</v>
      </c>
      <c r="I126">
        <v>4.9230755944084263E-2</v>
      </c>
      <c r="J126">
        <v>-0.1134495178933472</v>
      </c>
      <c r="K126">
        <v>3.025030625568698E-2</v>
      </c>
      <c r="L126" t="s">
        <v>96</v>
      </c>
      <c r="M126">
        <v>551993.19025500002</v>
      </c>
      <c r="N126">
        <v>-559569.04845</v>
      </c>
      <c r="O126">
        <v>-7575.8581949999789</v>
      </c>
      <c r="P126">
        <v>11123.607868999999</v>
      </c>
      <c r="Q126">
        <v>-25633.730901999999</v>
      </c>
      <c r="R126">
        <v>6835.0066589999997</v>
      </c>
      <c r="S126" t="s">
        <v>96</v>
      </c>
      <c r="T126">
        <v>55920.240086338359</v>
      </c>
    </row>
    <row r="127" spans="1:20" x14ac:dyDescent="0.25">
      <c r="A127" s="1" t="s">
        <v>97</v>
      </c>
      <c r="B127">
        <v>2013</v>
      </c>
      <c r="C127">
        <v>225900.31024943999</v>
      </c>
      <c r="D127">
        <v>225900.31024943999</v>
      </c>
      <c r="E127" t="s">
        <v>96</v>
      </c>
      <c r="F127">
        <v>2.4541315519568849</v>
      </c>
      <c r="G127">
        <v>-2.5007739501694668</v>
      </c>
      <c r="H127">
        <v>-4.6642398212581593E-2</v>
      </c>
      <c r="I127">
        <v>5.6361165236742138E-2</v>
      </c>
      <c r="J127">
        <v>-0.11102596054563039</v>
      </c>
      <c r="K127">
        <v>3.0462105286183691E-2</v>
      </c>
      <c r="L127" t="s">
        <v>96</v>
      </c>
      <c r="M127">
        <v>554389.07897999999</v>
      </c>
      <c r="N127">
        <v>-564925.6112070001</v>
      </c>
      <c r="O127">
        <v>-10536.532227000111</v>
      </c>
      <c r="P127">
        <v>12732.004713</v>
      </c>
      <c r="Q127">
        <v>-25080.798932999998</v>
      </c>
      <c r="R127">
        <v>6881.3990350000013</v>
      </c>
      <c r="S127" t="s">
        <v>96</v>
      </c>
      <c r="T127">
        <v>58681.067177339028</v>
      </c>
    </row>
    <row r="128" spans="1:20" x14ac:dyDescent="0.25">
      <c r="A128" s="1" t="s">
        <v>97</v>
      </c>
      <c r="B128">
        <v>2014</v>
      </c>
      <c r="C128">
        <v>225850.44359802001</v>
      </c>
      <c r="D128">
        <v>225850.44359802001</v>
      </c>
      <c r="E128" t="s">
        <v>96</v>
      </c>
      <c r="F128">
        <v>2.4632283381571241</v>
      </c>
      <c r="G128">
        <v>-2.505746662646632</v>
      </c>
      <c r="H128">
        <v>-4.2518324489508423E-2</v>
      </c>
      <c r="I128">
        <v>6.0045603125478603E-2</v>
      </c>
      <c r="J128">
        <v>-0.1149221584625108</v>
      </c>
      <c r="K128">
        <v>3.0517361047416709E-2</v>
      </c>
      <c r="L128" t="s">
        <v>96</v>
      </c>
      <c r="M128">
        <v>556321.21285599994</v>
      </c>
      <c r="N128">
        <v>-565923.99530299997</v>
      </c>
      <c r="O128">
        <v>-9602.7824470000342</v>
      </c>
      <c r="P128">
        <v>13561.326102000001</v>
      </c>
      <c r="Q128">
        <v>-25955.220468</v>
      </c>
      <c r="R128">
        <v>6892.3595299999988</v>
      </c>
      <c r="S128" t="s">
        <v>96</v>
      </c>
      <c r="T128">
        <v>55382.496704338533</v>
      </c>
    </row>
    <row r="129" spans="1:20" x14ac:dyDescent="0.25">
      <c r="A129" s="1" t="s">
        <v>97</v>
      </c>
      <c r="B129">
        <v>2015</v>
      </c>
      <c r="C129">
        <v>225796.86852369999</v>
      </c>
      <c r="D129">
        <v>225796.86852369999</v>
      </c>
      <c r="E129" t="s">
        <v>96</v>
      </c>
      <c r="F129">
        <v>2.4611659906331722</v>
      </c>
      <c r="G129">
        <v>-2.5210387986813529</v>
      </c>
      <c r="H129">
        <v>-5.9872808048181458E-2</v>
      </c>
      <c r="I129">
        <v>6.4082029346129998E-2</v>
      </c>
      <c r="J129">
        <v>-0.11229573341199189</v>
      </c>
      <c r="K129">
        <v>3.0575719061734261E-2</v>
      </c>
      <c r="L129" t="s">
        <v>96</v>
      </c>
      <c r="M129">
        <v>555723.57360200013</v>
      </c>
      <c r="N129">
        <v>-569242.66616900009</v>
      </c>
      <c r="O129">
        <v>-13519.09256699996</v>
      </c>
      <c r="P129">
        <v>14469.521554999999</v>
      </c>
      <c r="Q129">
        <v>-25356.024953</v>
      </c>
      <c r="R129">
        <v>6903.9016170000004</v>
      </c>
      <c r="S129" t="s">
        <v>96</v>
      </c>
      <c r="T129">
        <v>64172.879276005689</v>
      </c>
    </row>
    <row r="130" spans="1:20" x14ac:dyDescent="0.25">
      <c r="A130" s="1" t="s">
        <v>97</v>
      </c>
      <c r="B130">
        <v>2016</v>
      </c>
      <c r="C130">
        <v>225743.12565639001</v>
      </c>
      <c r="D130">
        <v>225743.12565639001</v>
      </c>
      <c r="E130" t="s">
        <v>96</v>
      </c>
      <c r="F130">
        <v>2.4981174206047729</v>
      </c>
      <c r="G130">
        <v>-2.557763280149107</v>
      </c>
      <c r="H130">
        <v>-5.9645859544333608E-2</v>
      </c>
      <c r="I130">
        <v>7.7342894673903803E-2</v>
      </c>
      <c r="J130">
        <v>-0.1173275432285585</v>
      </c>
      <c r="K130">
        <v>3.0765506616451031E-2</v>
      </c>
      <c r="L130" t="s">
        <v>96</v>
      </c>
      <c r="M130">
        <v>563932.83478400006</v>
      </c>
      <c r="N130">
        <v>-577397.47754999995</v>
      </c>
      <c r="O130">
        <v>-13464.64276599989</v>
      </c>
      <c r="P130">
        <v>17459.626790999999</v>
      </c>
      <c r="Q130">
        <v>-26485.886333999999</v>
      </c>
      <c r="R130">
        <v>6945.1016260000006</v>
      </c>
      <c r="S130" t="s">
        <v>96</v>
      </c>
      <c r="T130">
        <v>57001.269171004773</v>
      </c>
    </row>
    <row r="131" spans="1:20" x14ac:dyDescent="0.25">
      <c r="A131" s="1" t="s">
        <v>97</v>
      </c>
      <c r="B131">
        <v>2017</v>
      </c>
      <c r="C131">
        <v>225692.95461064001</v>
      </c>
      <c r="D131">
        <v>225692.95461064001</v>
      </c>
      <c r="E131" t="s">
        <v>96</v>
      </c>
      <c r="F131">
        <v>2.4967582588350519</v>
      </c>
      <c r="G131">
        <v>-2.5449644878897861</v>
      </c>
      <c r="H131">
        <v>-4.8206229054733783E-2</v>
      </c>
      <c r="I131">
        <v>7.3140687814017336E-2</v>
      </c>
      <c r="J131">
        <v>-0.1200831115032171</v>
      </c>
      <c r="K131">
        <v>3.0565013183068979E-2</v>
      </c>
      <c r="L131" t="s">
        <v>96</v>
      </c>
      <c r="M131">
        <v>563500.74838499993</v>
      </c>
      <c r="N131">
        <v>-574380.55465100007</v>
      </c>
      <c r="O131">
        <v>-10879.806266000151</v>
      </c>
      <c r="P131">
        <v>16507.337935</v>
      </c>
      <c r="Q131">
        <v>-27101.912233999999</v>
      </c>
      <c r="R131">
        <v>6898.3081330000005</v>
      </c>
      <c r="S131" t="s">
        <v>96</v>
      </c>
      <c r="T131">
        <v>53445.598917338699</v>
      </c>
    </row>
    <row r="132" spans="1:20" x14ac:dyDescent="0.25">
      <c r="A132" s="1" t="s">
        <v>97</v>
      </c>
      <c r="B132">
        <v>2018</v>
      </c>
      <c r="C132">
        <v>225643.94182034</v>
      </c>
      <c r="D132">
        <v>225643.94182034</v>
      </c>
      <c r="E132" t="s">
        <v>96</v>
      </c>
      <c r="F132">
        <v>2.493882954752896</v>
      </c>
      <c r="G132">
        <v>-2.5445432597882589</v>
      </c>
      <c r="H132">
        <v>-5.0660305035363382E-2</v>
      </c>
      <c r="I132">
        <v>7.6218135294291889E-2</v>
      </c>
      <c r="J132">
        <v>-0.1210174263076028</v>
      </c>
      <c r="K132">
        <v>3.0331479537125589E-2</v>
      </c>
      <c r="L132" t="s">
        <v>96</v>
      </c>
      <c r="M132">
        <v>562729.58034899994</v>
      </c>
      <c r="N132">
        <v>-574160.77127100015</v>
      </c>
      <c r="O132">
        <v>-11431.190922000211</v>
      </c>
      <c r="P132">
        <v>17198.160486000001</v>
      </c>
      <c r="Q132">
        <v>-27306.849101</v>
      </c>
      <c r="R132">
        <v>6844.1146040000003</v>
      </c>
      <c r="S132" t="s">
        <v>96</v>
      </c>
      <c r="T132">
        <v>53884.471421005677</v>
      </c>
    </row>
    <row r="133" spans="1:20" x14ac:dyDescent="0.25">
      <c r="A133" s="1" t="s">
        <v>97</v>
      </c>
      <c r="B133">
        <v>2019</v>
      </c>
      <c r="C133">
        <v>225595.51854628991</v>
      </c>
      <c r="D133">
        <v>225595.51854628991</v>
      </c>
      <c r="E133" t="s">
        <v>96</v>
      </c>
      <c r="F133">
        <v>2.5018384911364722</v>
      </c>
      <c r="G133">
        <v>-2.508674558669806</v>
      </c>
      <c r="H133">
        <v>-6.8360675333347621E-3</v>
      </c>
      <c r="I133">
        <v>5.5871143208962852E-2</v>
      </c>
      <c r="J133">
        <v>-0.122015667010477</v>
      </c>
      <c r="K133">
        <v>3.028715778588487E-2</v>
      </c>
      <c r="L133" t="s">
        <v>96</v>
      </c>
      <c r="M133">
        <v>564403.55172699993</v>
      </c>
      <c r="N133">
        <v>-565945.73792700004</v>
      </c>
      <c r="O133">
        <v>-1542.1862000001131</v>
      </c>
      <c r="P133">
        <v>12604.279524</v>
      </c>
      <c r="Q133">
        <v>-27526.187669999999</v>
      </c>
      <c r="R133">
        <v>6832.6470660000005</v>
      </c>
      <c r="S133" t="s">
        <v>96</v>
      </c>
      <c r="T133">
        <v>35315.306693336963</v>
      </c>
    </row>
    <row r="134" spans="1:20" x14ac:dyDescent="0.25">
      <c r="A134" s="1" t="s">
        <v>97</v>
      </c>
      <c r="B134">
        <v>2020</v>
      </c>
      <c r="C134">
        <v>225546.30704484999</v>
      </c>
      <c r="D134">
        <v>225546.30704484999</v>
      </c>
      <c r="E134" t="s">
        <v>96</v>
      </c>
      <c r="F134">
        <v>2.5048493407637911</v>
      </c>
      <c r="G134">
        <v>-2.531538529457992</v>
      </c>
      <c r="H134">
        <v>-2.668918869420063E-2</v>
      </c>
      <c r="I134">
        <v>6.7315766535609431E-2</v>
      </c>
      <c r="J134">
        <v>-0.1144765806157302</v>
      </c>
      <c r="K134">
        <v>3.044323183103425E-2</v>
      </c>
      <c r="L134" t="s">
        <v>96</v>
      </c>
      <c r="M134">
        <v>564959.51851299999</v>
      </c>
      <c r="N134">
        <v>-570979.1664610001</v>
      </c>
      <c r="O134">
        <v>-6019.6479480001144</v>
      </c>
      <c r="P134">
        <v>15182.822548</v>
      </c>
      <c r="Q134">
        <v>-25819.770001000001</v>
      </c>
      <c r="R134">
        <v>6866.3585139999996</v>
      </c>
      <c r="S134" t="s">
        <v>96</v>
      </c>
      <c r="T134">
        <v>35897.535252337009</v>
      </c>
    </row>
    <row r="135" spans="1:20" x14ac:dyDescent="0.25">
      <c r="A135" s="1" t="s">
        <v>97</v>
      </c>
      <c r="B135">
        <v>2021</v>
      </c>
      <c r="C135">
        <v>225498.12777373</v>
      </c>
      <c r="D135">
        <v>225498.12777373</v>
      </c>
      <c r="E135" t="s">
        <v>96</v>
      </c>
      <c r="F135">
        <v>2.5047285428939121</v>
      </c>
      <c r="G135">
        <v>-2.513749869652071</v>
      </c>
      <c r="H135">
        <v>-9.021326758159082E-3</v>
      </c>
      <c r="I135">
        <v>6.6062507547503743E-2</v>
      </c>
      <c r="J135">
        <v>-0.1232746028379151</v>
      </c>
      <c r="K135">
        <v>3.005166329274268E-2</v>
      </c>
      <c r="L135" t="s">
        <v>96</v>
      </c>
      <c r="M135">
        <v>564811.59700399998</v>
      </c>
      <c r="N135">
        <v>-566845.88929799991</v>
      </c>
      <c r="O135">
        <v>-2034.292293999926</v>
      </c>
      <c r="P135">
        <v>14896.971767999999</v>
      </c>
      <c r="Q135">
        <v>-27798.192142</v>
      </c>
      <c r="R135">
        <v>6776.593809</v>
      </c>
      <c r="S135" t="s">
        <v>96</v>
      </c>
      <c r="T135">
        <v>29916.03581633576</v>
      </c>
    </row>
    <row r="136" spans="1:20" x14ac:dyDescent="0.25">
      <c r="A136" s="1" t="s">
        <v>97</v>
      </c>
      <c r="B136">
        <v>2022</v>
      </c>
      <c r="C136">
        <v>225449.44835478</v>
      </c>
      <c r="D136">
        <v>225449.44835478</v>
      </c>
      <c r="E136" t="s">
        <v>96</v>
      </c>
      <c r="F136">
        <v>2.5122361337150352</v>
      </c>
      <c r="G136">
        <v>-2.5003062030204721</v>
      </c>
      <c r="H136">
        <v>1.1929930694562749E-2</v>
      </c>
      <c r="I136">
        <v>5.7139587193524723E-2</v>
      </c>
      <c r="J136">
        <v>-0.12200581117730119</v>
      </c>
      <c r="K136">
        <v>3.013689417553168E-2</v>
      </c>
      <c r="L136" t="s">
        <v>96</v>
      </c>
      <c r="M136">
        <v>566382.25048299995</v>
      </c>
      <c r="N136">
        <v>-563692.65418900002</v>
      </c>
      <c r="O136">
        <v>2689.5962939999299</v>
      </c>
      <c r="P136">
        <v>12882.088411999999</v>
      </c>
      <c r="Q136">
        <v>-27506.142825999999</v>
      </c>
      <c r="R136">
        <v>6794.3461669999997</v>
      </c>
      <c r="S136" t="s">
        <v>96</v>
      </c>
      <c r="T136">
        <v>18847.07716100198</v>
      </c>
    </row>
    <row r="137" spans="1:20" x14ac:dyDescent="0.25">
      <c r="A137" s="1" t="s">
        <v>97</v>
      </c>
      <c r="B137">
        <v>2023</v>
      </c>
      <c r="C137">
        <v>225402.43307274999</v>
      </c>
      <c r="D137">
        <v>225402.43307274999</v>
      </c>
      <c r="E137" t="s">
        <v>96</v>
      </c>
      <c r="F137">
        <v>2.4642238208126508</v>
      </c>
      <c r="G137">
        <v>-2.4643941159442382</v>
      </c>
      <c r="H137">
        <v>-1.7029513158681251E-4</v>
      </c>
      <c r="I137">
        <v>6.3051918678326643E-2</v>
      </c>
      <c r="J137">
        <v>-0.11705075683670441</v>
      </c>
      <c r="K137">
        <v>2.9599042370792281E-2</v>
      </c>
      <c r="L137" t="s">
        <v>96</v>
      </c>
      <c r="M137">
        <v>555442.04484699992</v>
      </c>
      <c r="N137">
        <v>-555480.42978400004</v>
      </c>
      <c r="O137">
        <v>-38.384937000111677</v>
      </c>
      <c r="P137">
        <v>14212.05588</v>
      </c>
      <c r="Q137">
        <v>-26383.525384</v>
      </c>
      <c r="R137">
        <v>6671.696167000001</v>
      </c>
      <c r="S137" t="s">
        <v>96</v>
      </c>
      <c r="T137">
        <v>20306.580338002259</v>
      </c>
    </row>
    <row r="138" spans="1:20" x14ac:dyDescent="0.25">
      <c r="A138" s="1" t="s">
        <v>27</v>
      </c>
      <c r="B138">
        <v>1990</v>
      </c>
      <c r="C138">
        <v>1214.98</v>
      </c>
      <c r="D138">
        <v>1209.549</v>
      </c>
      <c r="E138">
        <v>5.4309999999999992</v>
      </c>
      <c r="F138">
        <v>2.8876362582100108</v>
      </c>
      <c r="G138">
        <v>-2.5217382554609942</v>
      </c>
      <c r="H138">
        <v>0.36589800274901652</v>
      </c>
      <c r="I138">
        <v>1.8562449562955771E-2</v>
      </c>
      <c r="J138">
        <v>-4.4460591577639132E-2</v>
      </c>
      <c r="K138">
        <v>0.121823515818706</v>
      </c>
      <c r="L138">
        <v>-7.8E-2</v>
      </c>
      <c r="M138">
        <v>3508.4203010000001</v>
      </c>
      <c r="N138">
        <v>-3063.86154562</v>
      </c>
      <c r="O138">
        <v>444.55875538000009</v>
      </c>
      <c r="P138">
        <v>22.55300497</v>
      </c>
      <c r="Q138">
        <v>-54.018729555</v>
      </c>
      <c r="R138">
        <v>147.351511735</v>
      </c>
      <c r="S138">
        <v>-0.42361799999999988</v>
      </c>
      <c r="T138">
        <v>-2053.410056610187</v>
      </c>
    </row>
    <row r="139" spans="1:20" x14ac:dyDescent="0.25">
      <c r="A139" s="1" t="s">
        <v>27</v>
      </c>
      <c r="B139">
        <v>1991</v>
      </c>
      <c r="C139">
        <v>1217.2449999999999</v>
      </c>
      <c r="D139">
        <v>1211.796</v>
      </c>
      <c r="E139">
        <v>5.448999999999999</v>
      </c>
      <c r="F139">
        <v>2.8860562117733068</v>
      </c>
      <c r="G139">
        <v>-1.958819620511894</v>
      </c>
      <c r="H139">
        <v>0.927236591261414</v>
      </c>
      <c r="I139">
        <v>6.1108427229978522E-2</v>
      </c>
      <c r="J139">
        <v>0.18065318178625189</v>
      </c>
      <c r="K139">
        <v>0.11921587989583229</v>
      </c>
      <c r="L139">
        <v>-7.8E-2</v>
      </c>
      <c r="M139">
        <v>3513.0374935</v>
      </c>
      <c r="N139">
        <v>-2384.36338897</v>
      </c>
      <c r="O139">
        <v>1128.67410453</v>
      </c>
      <c r="P139">
        <v>74.383927503555213</v>
      </c>
      <c r="Q139">
        <v>219.89918226340629</v>
      </c>
      <c r="R139">
        <v>144.46532639425001</v>
      </c>
      <c r="S139">
        <v>-0.42502200000000001</v>
      </c>
      <c r="T139">
        <v>-5745.6575685349653</v>
      </c>
    </row>
    <row r="140" spans="1:20" x14ac:dyDescent="0.25">
      <c r="A140" s="1" t="s">
        <v>27</v>
      </c>
      <c r="B140">
        <v>1992</v>
      </c>
      <c r="C140">
        <v>1219.556</v>
      </c>
      <c r="D140">
        <v>1214.088</v>
      </c>
      <c r="E140">
        <v>5.4679999999999991</v>
      </c>
      <c r="F140">
        <v>2.884530842782127</v>
      </c>
      <c r="G140">
        <v>-1.944564622383063</v>
      </c>
      <c r="H140">
        <v>0.93996622039906308</v>
      </c>
      <c r="I140">
        <v>1.6357227730861599E-2</v>
      </c>
      <c r="J140">
        <v>-3.1551267642624788E-2</v>
      </c>
      <c r="K140">
        <v>0.1248949973774455</v>
      </c>
      <c r="L140">
        <v>-7.8E-2</v>
      </c>
      <c r="M140">
        <v>3517.8468965000002</v>
      </c>
      <c r="N140">
        <v>-2371.5054526150002</v>
      </c>
      <c r="O140">
        <v>1146.341443885</v>
      </c>
      <c r="P140">
        <v>19.948555222538651</v>
      </c>
      <c r="Q140">
        <v>-38.478537761168923</v>
      </c>
      <c r="R140">
        <v>151.63351757598809</v>
      </c>
      <c r="S140">
        <v>-0.42650399999999988</v>
      </c>
      <c r="T140">
        <v>-4689.734408049073</v>
      </c>
    </row>
    <row r="141" spans="1:20" x14ac:dyDescent="0.25">
      <c r="A141" s="1" t="s">
        <v>27</v>
      </c>
      <c r="B141">
        <v>1993</v>
      </c>
      <c r="C141">
        <v>1221.721</v>
      </c>
      <c r="D141">
        <v>1216.2370000000001</v>
      </c>
      <c r="E141">
        <v>5.484</v>
      </c>
      <c r="F141">
        <v>2.8830859557951451</v>
      </c>
      <c r="G141">
        <v>-1.908251838991881</v>
      </c>
      <c r="H141">
        <v>0.97483411680326404</v>
      </c>
      <c r="I141">
        <v>5.0513442409173971E-2</v>
      </c>
      <c r="J141">
        <v>0.14268990860249081</v>
      </c>
      <c r="K141">
        <v>0.12441259079339009</v>
      </c>
      <c r="L141">
        <v>-7.8E-2</v>
      </c>
      <c r="M141">
        <v>3522.3266570000001</v>
      </c>
      <c r="N141">
        <v>-2331.3513449850002</v>
      </c>
      <c r="O141">
        <v>1190.9753120150001</v>
      </c>
      <c r="P141">
        <v>61.713333373578422</v>
      </c>
      <c r="Q141">
        <v>174.32725782774361</v>
      </c>
      <c r="R141">
        <v>151.31519618878039</v>
      </c>
      <c r="S141">
        <v>-0.42775200000000002</v>
      </c>
      <c r="T141">
        <v>-5785.645607152569</v>
      </c>
    </row>
    <row r="142" spans="1:20" x14ac:dyDescent="0.25">
      <c r="A142" s="1" t="s">
        <v>27</v>
      </c>
      <c r="B142">
        <v>1994</v>
      </c>
      <c r="C142">
        <v>1223.606</v>
      </c>
      <c r="D142">
        <v>1218.115</v>
      </c>
      <c r="E142">
        <v>5.4909999999999997</v>
      </c>
      <c r="F142">
        <v>2.8814226491207129</v>
      </c>
      <c r="G142">
        <v>-1.9917937516488149</v>
      </c>
      <c r="H142">
        <v>0.88962889747189844</v>
      </c>
      <c r="I142">
        <v>-1.7296450721210551E-2</v>
      </c>
      <c r="J142">
        <v>-0.19673701006467181</v>
      </c>
      <c r="K142">
        <v>0.12954387924168009</v>
      </c>
      <c r="L142">
        <v>-7.8000000000000014E-2</v>
      </c>
      <c r="M142">
        <v>3525.7260419999998</v>
      </c>
      <c r="N142">
        <v>-2437.17078528</v>
      </c>
      <c r="O142">
        <v>1088.55525672</v>
      </c>
      <c r="P142">
        <v>-21.164040881177559</v>
      </c>
      <c r="Q142">
        <v>-240.72858593719269</v>
      </c>
      <c r="R142">
        <v>157.7993424624791</v>
      </c>
      <c r="S142">
        <v>-0.42829800000000001</v>
      </c>
      <c r="T142">
        <v>-3608.1234726687262</v>
      </c>
    </row>
    <row r="143" spans="1:20" x14ac:dyDescent="0.25">
      <c r="A143" s="1" t="s">
        <v>27</v>
      </c>
      <c r="B143">
        <v>1995</v>
      </c>
      <c r="C143">
        <v>1225.4159999999999</v>
      </c>
      <c r="D143">
        <v>1219.915</v>
      </c>
      <c r="E143">
        <v>5.5010000000000003</v>
      </c>
      <c r="F143">
        <v>2.8797913679925831</v>
      </c>
      <c r="G143">
        <v>-2.0217374441128562</v>
      </c>
      <c r="H143">
        <v>0.85805392387972723</v>
      </c>
      <c r="I143">
        <v>3.0604928714044421E-2</v>
      </c>
      <c r="J143">
        <v>8.554410577829373E-2</v>
      </c>
      <c r="K143">
        <v>0.1264991668863836</v>
      </c>
      <c r="L143">
        <v>-7.8E-2</v>
      </c>
      <c r="M143">
        <v>3528.942419</v>
      </c>
      <c r="N143">
        <v>-2477.4694118150001</v>
      </c>
      <c r="O143">
        <v>1051.4730071849999</v>
      </c>
      <c r="P143">
        <v>37.503769325049461</v>
      </c>
      <c r="Q143">
        <v>104.8271159264136</v>
      </c>
      <c r="R143">
        <v>154.3182311722027</v>
      </c>
      <c r="S143">
        <v>-0.42907800000000001</v>
      </c>
      <c r="T143">
        <v>-4941.5411672322243</v>
      </c>
    </row>
    <row r="144" spans="1:20" x14ac:dyDescent="0.25">
      <c r="A144" s="1" t="s">
        <v>27</v>
      </c>
      <c r="B144">
        <v>1996</v>
      </c>
      <c r="C144">
        <v>1226.97</v>
      </c>
      <c r="D144">
        <v>1221.462</v>
      </c>
      <c r="E144">
        <v>5.508</v>
      </c>
      <c r="F144">
        <v>2.7804218196043919</v>
      </c>
      <c r="G144">
        <v>-2.0346715742397938</v>
      </c>
      <c r="H144">
        <v>0.74575024536459766</v>
      </c>
      <c r="I144">
        <v>0.192797748249978</v>
      </c>
      <c r="J144">
        <v>0.4885318375334598</v>
      </c>
      <c r="K144">
        <v>0.12036261764041729</v>
      </c>
      <c r="L144">
        <v>-7.7999999999999986E-2</v>
      </c>
      <c r="M144">
        <v>3411.4941600000002</v>
      </c>
      <c r="N144">
        <v>-2496.480981445</v>
      </c>
      <c r="O144">
        <v>915.0131785550002</v>
      </c>
      <c r="P144">
        <v>236.55705317027551</v>
      </c>
      <c r="Q144">
        <v>599.41390869842905</v>
      </c>
      <c r="R144">
        <v>147.0183636682994</v>
      </c>
      <c r="S144">
        <v>-0.42962400000000001</v>
      </c>
      <c r="T144">
        <v>-6957.767227004646</v>
      </c>
    </row>
    <row r="145" spans="1:20" x14ac:dyDescent="0.25">
      <c r="A145" s="1" t="s">
        <v>27</v>
      </c>
      <c r="B145">
        <v>1997</v>
      </c>
      <c r="C145">
        <v>1228.5129999999999</v>
      </c>
      <c r="D145">
        <v>1222.9960000000001</v>
      </c>
      <c r="E145">
        <v>5.5170000000000003</v>
      </c>
      <c r="F145">
        <v>2.7791214350194089</v>
      </c>
      <c r="G145">
        <v>-2.1667945022030701</v>
      </c>
      <c r="H145">
        <v>0.61232693281633999</v>
      </c>
      <c r="I145">
        <v>0.12774603298292381</v>
      </c>
      <c r="J145">
        <v>0.16569679549477101</v>
      </c>
      <c r="K145">
        <v>0.1240903128965862</v>
      </c>
      <c r="L145">
        <v>-7.7999999999999986E-2</v>
      </c>
      <c r="M145">
        <v>3414.1868115000002</v>
      </c>
      <c r="N145">
        <v>-2661.9352142849998</v>
      </c>
      <c r="O145">
        <v>752.2515972150004</v>
      </c>
      <c r="P145">
        <v>156.93766221795059</v>
      </c>
      <c r="Q145">
        <v>203.56066732366759</v>
      </c>
      <c r="R145">
        <v>151.76195631127339</v>
      </c>
      <c r="S145">
        <v>-0.43032599999999999</v>
      </c>
      <c r="T145">
        <v>-4634.965709249359</v>
      </c>
    </row>
    <row r="146" spans="1:20" x14ac:dyDescent="0.25">
      <c r="A146" s="1" t="s">
        <v>27</v>
      </c>
      <c r="B146">
        <v>1998</v>
      </c>
      <c r="C146">
        <v>1229.6289999999999</v>
      </c>
      <c r="D146">
        <v>1224.104</v>
      </c>
      <c r="E146">
        <v>5.5250000000000004</v>
      </c>
      <c r="F146">
        <v>2.7781473684338929</v>
      </c>
      <c r="G146">
        <v>-2.3390459790473388</v>
      </c>
      <c r="H146">
        <v>0.43910138938655457</v>
      </c>
      <c r="I146">
        <v>0.1140386735622767</v>
      </c>
      <c r="J146">
        <v>0.1645954192705191</v>
      </c>
      <c r="K146">
        <v>0.12359640011479139</v>
      </c>
      <c r="L146">
        <v>-7.7999999999999986E-2</v>
      </c>
      <c r="M146">
        <v>3416.0905705</v>
      </c>
      <c r="N146">
        <v>-2876.1587681699998</v>
      </c>
      <c r="O146">
        <v>539.93180232999975</v>
      </c>
      <c r="P146">
        <v>140.22526013370879</v>
      </c>
      <c r="Q146">
        <v>202.39130080218911</v>
      </c>
      <c r="R146">
        <v>151.2948477661167</v>
      </c>
      <c r="S146">
        <v>-0.43094999999999989</v>
      </c>
      <c r="T146">
        <v>-3789.1782904510642</v>
      </c>
    </row>
    <row r="147" spans="1:20" x14ac:dyDescent="0.25">
      <c r="A147" s="1" t="s">
        <v>27</v>
      </c>
      <c r="B147">
        <v>1999</v>
      </c>
      <c r="C147">
        <v>1230.855</v>
      </c>
      <c r="D147">
        <v>1225.3320000000001</v>
      </c>
      <c r="E147">
        <v>5.5230000000000006</v>
      </c>
      <c r="F147">
        <v>2.7770058369994839</v>
      </c>
      <c r="G147">
        <v>-2.2924530335295379</v>
      </c>
      <c r="H147">
        <v>0.48455280346994561</v>
      </c>
      <c r="I147">
        <v>5.6296559037235419E-2</v>
      </c>
      <c r="J147">
        <v>-5.7195509762668462E-2</v>
      </c>
      <c r="K147">
        <v>0.1300540299600802</v>
      </c>
      <c r="L147">
        <v>-7.8E-2</v>
      </c>
      <c r="M147">
        <v>3418.0915194999998</v>
      </c>
      <c r="N147">
        <v>-2821.6772785849998</v>
      </c>
      <c r="O147">
        <v>596.41424091499994</v>
      </c>
      <c r="P147">
        <v>69.2929011737764</v>
      </c>
      <c r="Q147">
        <v>-70.399379168929286</v>
      </c>
      <c r="R147">
        <v>159.359364639045</v>
      </c>
      <c r="S147">
        <v>-0.43079400000000001</v>
      </c>
      <c r="T147">
        <v>-2765.5332230495219</v>
      </c>
    </row>
    <row r="148" spans="1:20" x14ac:dyDescent="0.25">
      <c r="A148" s="1" t="s">
        <v>27</v>
      </c>
      <c r="B148">
        <v>2000</v>
      </c>
      <c r="C148">
        <v>1231.8800000000001</v>
      </c>
      <c r="D148">
        <v>1226.355</v>
      </c>
      <c r="E148">
        <v>5.5249999999999986</v>
      </c>
      <c r="F148">
        <v>2.7760990985323239</v>
      </c>
      <c r="G148">
        <v>-3.834812051384874</v>
      </c>
      <c r="H148">
        <v>-1.058712952852551</v>
      </c>
      <c r="I148">
        <v>7.1114798372687846E-2</v>
      </c>
      <c r="J148">
        <v>4.0296855420295208E-2</v>
      </c>
      <c r="K148">
        <v>0.1250672697936237</v>
      </c>
      <c r="L148">
        <v>-7.8000000000000014E-2</v>
      </c>
      <c r="M148">
        <v>3419.8209574999992</v>
      </c>
      <c r="N148">
        <v>-4724.0282698599995</v>
      </c>
      <c r="O148">
        <v>-1304.2073123600001</v>
      </c>
      <c r="P148">
        <v>87.604897819346704</v>
      </c>
      <c r="Q148">
        <v>49.640890255153273</v>
      </c>
      <c r="R148">
        <v>153.3768716477594</v>
      </c>
      <c r="S148">
        <v>-0.43095</v>
      </c>
      <c r="T148">
        <v>3718.0572096720562</v>
      </c>
    </row>
    <row r="149" spans="1:20" x14ac:dyDescent="0.25">
      <c r="A149" s="1" t="s">
        <v>27</v>
      </c>
      <c r="B149">
        <v>2001</v>
      </c>
      <c r="C149">
        <v>1233.3140000000001</v>
      </c>
      <c r="D149">
        <v>1227.79</v>
      </c>
      <c r="E149">
        <v>5.524</v>
      </c>
      <c r="F149">
        <v>2.774934854789616</v>
      </c>
      <c r="G149">
        <v>-2.5810935998415658</v>
      </c>
      <c r="H149">
        <v>0.1938412549480503</v>
      </c>
      <c r="I149">
        <v>5.9307893634554867E-2</v>
      </c>
      <c r="J149">
        <v>3.6058676295882219E-2</v>
      </c>
      <c r="K149">
        <v>0.12614146328685891</v>
      </c>
      <c r="L149">
        <v>-7.8E-2</v>
      </c>
      <c r="M149">
        <v>3422.3660055</v>
      </c>
      <c r="N149">
        <v>-3183.2988719949999</v>
      </c>
      <c r="O149">
        <v>239.0671335049997</v>
      </c>
      <c r="P149">
        <v>73.14525553000739</v>
      </c>
      <c r="Q149">
        <v>44.471670297179678</v>
      </c>
      <c r="R149">
        <v>154.87522720897249</v>
      </c>
      <c r="S149">
        <v>-0.43087199999999998</v>
      </c>
      <c r="T149">
        <v>-1874.137519984421</v>
      </c>
    </row>
    <row r="150" spans="1:20" x14ac:dyDescent="0.25">
      <c r="A150" s="1" t="s">
        <v>27</v>
      </c>
      <c r="B150">
        <v>2002</v>
      </c>
      <c r="C150">
        <v>1234.32</v>
      </c>
      <c r="D150">
        <v>1228.79</v>
      </c>
      <c r="E150">
        <v>5.5299999999999994</v>
      </c>
      <c r="F150">
        <v>2.774290427522847</v>
      </c>
      <c r="G150">
        <v>-2.1949486344140898</v>
      </c>
      <c r="H150">
        <v>0.57934179310875678</v>
      </c>
      <c r="I150">
        <v>5.1704360080894941E-2</v>
      </c>
      <c r="J150">
        <v>-6.3526987098652659E-3</v>
      </c>
      <c r="K150">
        <v>0.12297157397917501</v>
      </c>
      <c r="L150">
        <v>-7.8000000000000014E-2</v>
      </c>
      <c r="M150">
        <v>3424.3621604999998</v>
      </c>
      <c r="N150">
        <v>-2709.26899843</v>
      </c>
      <c r="O150">
        <v>715.09316207000074</v>
      </c>
      <c r="P150">
        <v>63.819725735050262</v>
      </c>
      <c r="Q150">
        <v>-7.8412630715608964</v>
      </c>
      <c r="R150">
        <v>151.10624038987041</v>
      </c>
      <c r="S150">
        <v>-0.43134000000000011</v>
      </c>
      <c r="T150">
        <v>-3379.7372587859631</v>
      </c>
    </row>
    <row r="151" spans="1:20" x14ac:dyDescent="0.25">
      <c r="A151" s="1" t="s">
        <v>27</v>
      </c>
      <c r="B151">
        <v>2003</v>
      </c>
      <c r="C151">
        <v>1235.6869999999999</v>
      </c>
      <c r="D151">
        <v>1230.1569999999999</v>
      </c>
      <c r="E151">
        <v>5.5299999999999994</v>
      </c>
      <c r="F151">
        <v>2.7730819896138752</v>
      </c>
      <c r="G151">
        <v>-2.3834392483290672</v>
      </c>
      <c r="H151">
        <v>0.38964274128480803</v>
      </c>
      <c r="I151">
        <v>6.2080548584865183E-2</v>
      </c>
      <c r="J151">
        <v>7.53583634613081E-2</v>
      </c>
      <c r="K151">
        <v>0.11033850284429381</v>
      </c>
      <c r="L151">
        <v>-7.8000000000000014E-2</v>
      </c>
      <c r="M151">
        <v>3426.6613645000002</v>
      </c>
      <c r="N151">
        <v>-2945.1848944499998</v>
      </c>
      <c r="O151">
        <v>481.47647005000039</v>
      </c>
      <c r="P151">
        <v>76.712126839186297</v>
      </c>
      <c r="Q151">
        <v>93.119350070413418</v>
      </c>
      <c r="R151">
        <v>135.73368164342801</v>
      </c>
      <c r="S151">
        <v>-0.43134000000000011</v>
      </c>
      <c r="T151">
        <v>-2884.2377248780331</v>
      </c>
    </row>
    <row r="152" spans="1:20" x14ac:dyDescent="0.25">
      <c r="A152" s="1" t="s">
        <v>27</v>
      </c>
      <c r="B152">
        <v>2004</v>
      </c>
      <c r="C152">
        <v>1236.848</v>
      </c>
      <c r="D152">
        <v>1231.318</v>
      </c>
      <c r="E152">
        <v>5.53</v>
      </c>
      <c r="F152">
        <v>2.772202133972808</v>
      </c>
      <c r="G152">
        <v>-2.3981707462962309</v>
      </c>
      <c r="H152">
        <v>0.37403138767657768</v>
      </c>
      <c r="I152">
        <v>0.10084812278332229</v>
      </c>
      <c r="J152">
        <v>0.2698794113145645</v>
      </c>
      <c r="K152">
        <v>0.11155143781195689</v>
      </c>
      <c r="L152">
        <v>-7.8E-2</v>
      </c>
      <c r="M152">
        <v>3428.792664999999</v>
      </c>
      <c r="N152">
        <v>-2966.1726912150002</v>
      </c>
      <c r="O152">
        <v>462.61997378499967</v>
      </c>
      <c r="P152">
        <v>124.7337989683066</v>
      </c>
      <c r="Q152">
        <v>333.79981012559648</v>
      </c>
      <c r="R152">
        <v>137.3552933037432</v>
      </c>
      <c r="S152">
        <v>-0.43134</v>
      </c>
      <c r="T152">
        <v>-3879.6176326700538</v>
      </c>
    </row>
    <row r="153" spans="1:20" x14ac:dyDescent="0.25">
      <c r="A153" s="1" t="s">
        <v>27</v>
      </c>
      <c r="B153">
        <v>2005</v>
      </c>
      <c r="C153">
        <v>1238.136</v>
      </c>
      <c r="D153">
        <v>1232.5909999999999</v>
      </c>
      <c r="E153">
        <v>5.5450000000000008</v>
      </c>
      <c r="F153">
        <v>2.7709433826332481</v>
      </c>
      <c r="G153">
        <v>-2.4618480297560201</v>
      </c>
      <c r="H153">
        <v>0.30909535287722828</v>
      </c>
      <c r="I153">
        <v>9.9025185849258637E-2</v>
      </c>
      <c r="J153">
        <v>0.25411762454298098</v>
      </c>
      <c r="K153">
        <v>0.1109923431680971</v>
      </c>
      <c r="L153">
        <v>-7.7999999999999986E-2</v>
      </c>
      <c r="M153">
        <v>3430.804756</v>
      </c>
      <c r="N153">
        <v>-3048.10267217</v>
      </c>
      <c r="O153">
        <v>382.70208382999999</v>
      </c>
      <c r="P153">
        <v>122.60664750665769</v>
      </c>
      <c r="Q153">
        <v>314.63217918114839</v>
      </c>
      <c r="R153">
        <v>136.80816325790801</v>
      </c>
      <c r="S153">
        <v>-0.43251000000000001</v>
      </c>
      <c r="T153">
        <v>-3506.4940671779368</v>
      </c>
    </row>
    <row r="154" spans="1:20" x14ac:dyDescent="0.25">
      <c r="A154" s="1" t="s">
        <v>27</v>
      </c>
      <c r="B154">
        <v>2006</v>
      </c>
      <c r="C154">
        <v>1239.3009999999999</v>
      </c>
      <c r="D154">
        <v>1233.7349999999999</v>
      </c>
      <c r="E154">
        <v>5.5660000000000007</v>
      </c>
      <c r="F154">
        <v>2.847389788275811</v>
      </c>
      <c r="G154">
        <v>-2.6838561884158891</v>
      </c>
      <c r="H154">
        <v>0.1635335998599218</v>
      </c>
      <c r="I154">
        <v>3.7931252778698493E-2</v>
      </c>
      <c r="J154">
        <v>-0.1035025948925539</v>
      </c>
      <c r="K154">
        <v>0.114051047076516</v>
      </c>
      <c r="L154">
        <v>-7.7999999999999986E-2</v>
      </c>
      <c r="M154">
        <v>3528.773012000001</v>
      </c>
      <c r="N154">
        <v>-3326.1056581600001</v>
      </c>
      <c r="O154">
        <v>202.66735384000091</v>
      </c>
      <c r="P154">
        <v>47.008239499893818</v>
      </c>
      <c r="Q154">
        <v>-128.2708693529369</v>
      </c>
      <c r="R154">
        <v>140.70876856494539</v>
      </c>
      <c r="S154">
        <v>-0.43414799999999998</v>
      </c>
      <c r="T154">
        <v>-959.49093002373263</v>
      </c>
    </row>
    <row r="155" spans="1:20" x14ac:dyDescent="0.25">
      <c r="A155" s="1" t="s">
        <v>27</v>
      </c>
      <c r="B155">
        <v>2007</v>
      </c>
      <c r="C155">
        <v>1240.579</v>
      </c>
      <c r="D155">
        <v>1235.0070000000001</v>
      </c>
      <c r="E155">
        <v>5.572000000000001</v>
      </c>
      <c r="F155">
        <v>2.84709554208156</v>
      </c>
      <c r="G155">
        <v>-2.6794991305309859</v>
      </c>
      <c r="H155">
        <v>0.16759641155057439</v>
      </c>
      <c r="I155">
        <v>6.2031930469505503E-2</v>
      </c>
      <c r="J155">
        <v>3.0635308138821579E-2</v>
      </c>
      <c r="K155">
        <v>0.11224775550323531</v>
      </c>
      <c r="L155">
        <v>-7.8000000000000014E-2</v>
      </c>
      <c r="M155">
        <v>3532.0469404999999</v>
      </c>
      <c r="N155">
        <v>-3324.1303518549998</v>
      </c>
      <c r="O155">
        <v>207.91658864499999</v>
      </c>
      <c r="P155">
        <v>76.955510269928666</v>
      </c>
      <c r="Q155">
        <v>38.005519935551128</v>
      </c>
      <c r="R155">
        <v>138.6267637807841</v>
      </c>
      <c r="S155">
        <v>-0.43461600000000011</v>
      </c>
      <c r="T155">
        <v>-1690.589144314788</v>
      </c>
    </row>
    <row r="156" spans="1:20" x14ac:dyDescent="0.25">
      <c r="A156" s="1" t="s">
        <v>27</v>
      </c>
      <c r="B156">
        <v>2008</v>
      </c>
      <c r="C156">
        <v>1242.2159999999999</v>
      </c>
      <c r="D156">
        <v>1236.6410000000001</v>
      </c>
      <c r="E156">
        <v>5.5749999999999993</v>
      </c>
      <c r="F156">
        <v>2.846586054277195</v>
      </c>
      <c r="G156">
        <v>-2.5171648378905118</v>
      </c>
      <c r="H156">
        <v>0.32942121638668243</v>
      </c>
      <c r="I156">
        <v>8.2233007017265963E-2</v>
      </c>
      <c r="J156">
        <v>9.8876913763363883E-2</v>
      </c>
      <c r="K156">
        <v>0.11051740794398229</v>
      </c>
      <c r="L156">
        <v>-7.8E-2</v>
      </c>
      <c r="M156">
        <v>3536.0747419999989</v>
      </c>
      <c r="N156">
        <v>-3126.8624362649998</v>
      </c>
      <c r="O156">
        <v>409.21230573499912</v>
      </c>
      <c r="P156">
        <v>102.15115704496</v>
      </c>
      <c r="Q156">
        <v>122.82648430747081</v>
      </c>
      <c r="R156">
        <v>136.67035787725411</v>
      </c>
      <c r="S156">
        <v>-0.43485000000000001</v>
      </c>
      <c r="T156">
        <v>-2824.8933348707651</v>
      </c>
    </row>
    <row r="157" spans="1:20" x14ac:dyDescent="0.25">
      <c r="A157" s="1" t="s">
        <v>27</v>
      </c>
      <c r="B157">
        <v>2009</v>
      </c>
      <c r="C157">
        <v>1244.098</v>
      </c>
      <c r="D157">
        <v>1238.508</v>
      </c>
      <c r="E157">
        <v>5.59</v>
      </c>
      <c r="F157">
        <v>2.8459162678502818</v>
      </c>
      <c r="G157">
        <v>-2.3697564963129918</v>
      </c>
      <c r="H157">
        <v>0.47615977153729011</v>
      </c>
      <c r="I157">
        <v>5.3078942082562697E-2</v>
      </c>
      <c r="J157">
        <v>3.9353321828245212E-4</v>
      </c>
      <c r="K157">
        <v>0.11055395466388609</v>
      </c>
      <c r="L157">
        <v>-7.8000000000000014E-2</v>
      </c>
      <c r="M157">
        <v>3540.5987369999989</v>
      </c>
      <c r="N157">
        <v>-2948.2093175499999</v>
      </c>
      <c r="O157">
        <v>592.38941944999942</v>
      </c>
      <c r="P157">
        <v>66.035405687032082</v>
      </c>
      <c r="Q157">
        <v>0.48959388979876189</v>
      </c>
      <c r="R157">
        <v>136.92195728286021</v>
      </c>
      <c r="S157">
        <v>-0.43602000000000007</v>
      </c>
      <c r="T157">
        <v>-2916.4679731357969</v>
      </c>
    </row>
    <row r="158" spans="1:20" x14ac:dyDescent="0.25">
      <c r="A158" s="1" t="s">
        <v>27</v>
      </c>
      <c r="B158">
        <v>2010</v>
      </c>
      <c r="C158">
        <v>1246.0550000000001</v>
      </c>
      <c r="D158">
        <v>1240.443</v>
      </c>
      <c r="E158">
        <v>5.612000000000001</v>
      </c>
      <c r="F158">
        <v>2.8448670929453348</v>
      </c>
      <c r="G158">
        <v>-2.465846348869031</v>
      </c>
      <c r="H158">
        <v>0.37902074407630409</v>
      </c>
      <c r="I158">
        <v>0.10640207597511341</v>
      </c>
      <c r="J158">
        <v>0.26111122205042031</v>
      </c>
      <c r="K158">
        <v>0.1073102938161646</v>
      </c>
      <c r="L158">
        <v>-7.8E-2</v>
      </c>
      <c r="M158">
        <v>3544.8608654999998</v>
      </c>
      <c r="N158">
        <v>-3072.580172240001</v>
      </c>
      <c r="O158">
        <v>472.28069325999923</v>
      </c>
      <c r="P158">
        <v>132.58283877916989</v>
      </c>
      <c r="Q158">
        <v>325.35894379203648</v>
      </c>
      <c r="R158">
        <v>133.11230279220459</v>
      </c>
      <c r="S158">
        <v>-0.43773600000000012</v>
      </c>
      <c r="T158">
        <v>-3897.2891562861919</v>
      </c>
    </row>
    <row r="159" spans="1:20" x14ac:dyDescent="0.25">
      <c r="A159" s="1" t="s">
        <v>27</v>
      </c>
      <c r="B159">
        <v>2011</v>
      </c>
      <c r="C159">
        <v>1247.9690000000001</v>
      </c>
      <c r="D159">
        <v>1242.335</v>
      </c>
      <c r="E159">
        <v>5.6340000000000003</v>
      </c>
      <c r="F159">
        <v>2.843897954596629</v>
      </c>
      <c r="G159">
        <v>-2.4453949658725498</v>
      </c>
      <c r="H159">
        <v>0.3985029887240793</v>
      </c>
      <c r="I159">
        <v>4.7857917105782202E-2</v>
      </c>
      <c r="J159">
        <v>-3.1699503044799092E-2</v>
      </c>
      <c r="K159">
        <v>0.10957005831899019</v>
      </c>
      <c r="L159">
        <v>-7.8E-2</v>
      </c>
      <c r="M159">
        <v>3549.0964865000001</v>
      </c>
      <c r="N159">
        <v>-3051.7771101650001</v>
      </c>
      <c r="O159">
        <v>497.31937633500053</v>
      </c>
      <c r="P159">
        <v>59.725196952585897</v>
      </c>
      <c r="Q159">
        <v>-39.559997115314872</v>
      </c>
      <c r="R159">
        <v>136.12271840172269</v>
      </c>
      <c r="S159">
        <v>-0.43945200000000001</v>
      </c>
      <c r="T159">
        <v>-2394.9487561048632</v>
      </c>
    </row>
    <row r="160" spans="1:20" x14ac:dyDescent="0.25">
      <c r="A160" s="1" t="s">
        <v>27</v>
      </c>
      <c r="B160">
        <v>2012</v>
      </c>
      <c r="C160">
        <v>1250.0509999999999</v>
      </c>
      <c r="D160">
        <v>1244.403</v>
      </c>
      <c r="E160">
        <v>5.6479999999999997</v>
      </c>
      <c r="F160">
        <v>2.8428069446766568</v>
      </c>
      <c r="G160">
        <v>-2.283168080466317</v>
      </c>
      <c r="H160">
        <v>0.55963886421034026</v>
      </c>
      <c r="I160">
        <v>1.8100944811313791E-2</v>
      </c>
      <c r="J160">
        <v>-0.10842540211590571</v>
      </c>
      <c r="K160">
        <v>0.1146469036273927</v>
      </c>
      <c r="L160">
        <v>-7.7999999999999986E-2</v>
      </c>
      <c r="M160">
        <v>3553.6536639999999</v>
      </c>
      <c r="N160">
        <v>-2854.076542155</v>
      </c>
      <c r="O160">
        <v>699.57712184499997</v>
      </c>
      <c r="P160">
        <v>22.627104162327619</v>
      </c>
      <c r="Q160">
        <v>-135.53728234038999</v>
      </c>
      <c r="R160">
        <v>142.6669508146384</v>
      </c>
      <c r="S160">
        <v>-0.44054399999999988</v>
      </c>
      <c r="T160">
        <v>-2672.6089517660221</v>
      </c>
    </row>
    <row r="161" spans="1:20" x14ac:dyDescent="0.25">
      <c r="A161" s="1" t="s">
        <v>27</v>
      </c>
      <c r="B161">
        <v>2013</v>
      </c>
      <c r="C161">
        <v>1251.864</v>
      </c>
      <c r="D161">
        <v>1246.2080000000001</v>
      </c>
      <c r="E161">
        <v>5.6559999999999997</v>
      </c>
      <c r="F161">
        <v>2.8420335280030411</v>
      </c>
      <c r="G161">
        <v>-2.3305664971754112</v>
      </c>
      <c r="H161">
        <v>0.51146703082762979</v>
      </c>
      <c r="I161">
        <v>5.8235987027547662E-2</v>
      </c>
      <c r="J161">
        <v>9.8473336324846963E-2</v>
      </c>
      <c r="K161">
        <v>0.11025099703257631</v>
      </c>
      <c r="L161">
        <v>-7.8E-2</v>
      </c>
      <c r="M161">
        <v>3557.8394604999999</v>
      </c>
      <c r="N161">
        <v>-2917.5522974199998</v>
      </c>
      <c r="O161">
        <v>640.28716308000003</v>
      </c>
      <c r="P161">
        <v>72.903535664253937</v>
      </c>
      <c r="Q161">
        <v>123.27522470496829</v>
      </c>
      <c r="R161">
        <v>137.39567450997279</v>
      </c>
      <c r="S161">
        <v>-0.44116799999999989</v>
      </c>
      <c r="T161">
        <v>-3569.2082431840399</v>
      </c>
    </row>
    <row r="162" spans="1:20" x14ac:dyDescent="0.25">
      <c r="A162" s="1" t="s">
        <v>27</v>
      </c>
      <c r="B162">
        <v>2014</v>
      </c>
      <c r="C162">
        <v>1253.7619999999999</v>
      </c>
      <c r="D162">
        <v>1248.0830000000001</v>
      </c>
      <c r="E162">
        <v>5.6790000000000012</v>
      </c>
      <c r="F162">
        <v>2.8413520353145172</v>
      </c>
      <c r="G162">
        <v>-2.381934675408889</v>
      </c>
      <c r="H162">
        <v>0.45941735990562838</v>
      </c>
      <c r="I162">
        <v>2.7304282219243341E-2</v>
      </c>
      <c r="J162">
        <v>-4.3399595980169341E-2</v>
      </c>
      <c r="K162">
        <v>0.1121873410286106</v>
      </c>
      <c r="L162">
        <v>-7.7999999999999972E-2</v>
      </c>
      <c r="M162">
        <v>3562.3792105000002</v>
      </c>
      <c r="N162">
        <v>-2986.3791825099988</v>
      </c>
      <c r="O162">
        <v>576.00002799000049</v>
      </c>
      <c r="P162">
        <v>34.23307148376297</v>
      </c>
      <c r="Q162">
        <v>-54.412764255289083</v>
      </c>
      <c r="R162">
        <v>140.0191131530114</v>
      </c>
      <c r="S162">
        <v>-0.44296199999999991</v>
      </c>
      <c r="T162">
        <v>-2549.7871166956802</v>
      </c>
    </row>
    <row r="163" spans="1:20" x14ac:dyDescent="0.25">
      <c r="A163" s="1" t="s">
        <v>27</v>
      </c>
      <c r="B163">
        <v>2015</v>
      </c>
      <c r="C163">
        <v>1255.9860000000001</v>
      </c>
      <c r="D163">
        <v>1250.309</v>
      </c>
      <c r="E163">
        <v>5.6769999999999996</v>
      </c>
      <c r="F163">
        <v>2.8403202651144208</v>
      </c>
      <c r="G163">
        <v>-2.241541638640876</v>
      </c>
      <c r="H163">
        <v>0.59877862647354407</v>
      </c>
      <c r="I163">
        <v>2.8948035820403891E-2</v>
      </c>
      <c r="J163">
        <v>-3.6948148710337157E-2</v>
      </c>
      <c r="K163">
        <v>0.108711524139147</v>
      </c>
      <c r="L163">
        <v>-7.7999999999999986E-2</v>
      </c>
      <c r="M163">
        <v>3567.4024884999999</v>
      </c>
      <c r="N163">
        <v>-2815.3449165500001</v>
      </c>
      <c r="O163">
        <v>752.05757195000069</v>
      </c>
      <c r="P163">
        <v>36.358327717925803</v>
      </c>
      <c r="Q163">
        <v>-46.406357506101521</v>
      </c>
      <c r="R163">
        <v>135.9229970348928</v>
      </c>
      <c r="S163">
        <v>-0.44280599999999998</v>
      </c>
      <c r="T163">
        <v>-3217.462355054925</v>
      </c>
    </row>
    <row r="164" spans="1:20" x14ac:dyDescent="0.25">
      <c r="A164" s="1" t="s">
        <v>27</v>
      </c>
      <c r="B164">
        <v>2016</v>
      </c>
      <c r="C164">
        <v>1258.2239999999999</v>
      </c>
      <c r="D164">
        <v>1252.54</v>
      </c>
      <c r="E164">
        <v>5.6839999999999993</v>
      </c>
      <c r="F164">
        <v>2.8395287858123841</v>
      </c>
      <c r="G164">
        <v>-2.2048296598181252</v>
      </c>
      <c r="H164">
        <v>0.63469912599425848</v>
      </c>
      <c r="I164">
        <v>2.7171387232595341E-2</v>
      </c>
      <c r="J164">
        <v>1.560911608589698E-2</v>
      </c>
      <c r="K164">
        <v>0.11243355199941669</v>
      </c>
      <c r="L164">
        <v>-7.8E-2</v>
      </c>
      <c r="M164">
        <v>3572.7632669999998</v>
      </c>
      <c r="N164">
        <v>-2774.1695938950002</v>
      </c>
      <c r="O164">
        <v>798.59367310499965</v>
      </c>
      <c r="P164">
        <v>34.187691529345038</v>
      </c>
      <c r="Q164">
        <v>19.63976447806164</v>
      </c>
      <c r="R164">
        <v>140.82752122134929</v>
      </c>
      <c r="S164">
        <v>-0.44335200000000002</v>
      </c>
      <c r="T164">
        <v>-3640.2860938907679</v>
      </c>
    </row>
    <row r="165" spans="1:20" x14ac:dyDescent="0.25">
      <c r="A165" s="1" t="s">
        <v>27</v>
      </c>
      <c r="B165">
        <v>2017</v>
      </c>
      <c r="C165">
        <v>1260.2950000000001</v>
      </c>
      <c r="D165">
        <v>1254.6079999999999</v>
      </c>
      <c r="E165">
        <v>5.6870000000000003</v>
      </c>
      <c r="F165">
        <v>2.8381027604648121</v>
      </c>
      <c r="G165">
        <v>-2.2902355809473178</v>
      </c>
      <c r="H165">
        <v>0.54786717951749397</v>
      </c>
      <c r="I165">
        <v>2.7466865540714151E-2</v>
      </c>
      <c r="J165">
        <v>-1.807641390675585E-3</v>
      </c>
      <c r="K165">
        <v>0.11219104873276919</v>
      </c>
      <c r="L165">
        <v>-7.7999999999999986E-2</v>
      </c>
      <c r="M165">
        <v>3576.8467185</v>
      </c>
      <c r="N165">
        <v>-2886.37245149</v>
      </c>
      <c r="O165">
        <v>690.47426700999995</v>
      </c>
      <c r="P165">
        <v>34.616353306634331</v>
      </c>
      <c r="Q165">
        <v>-2.2781614064614861</v>
      </c>
      <c r="R165">
        <v>140.755787268522</v>
      </c>
      <c r="S165">
        <v>-0.44358599999999992</v>
      </c>
      <c r="T165">
        <v>-3164.7904206555022</v>
      </c>
    </row>
    <row r="166" spans="1:20" x14ac:dyDescent="0.25">
      <c r="A166" s="1" t="s">
        <v>27</v>
      </c>
      <c r="B166">
        <v>2018</v>
      </c>
      <c r="C166">
        <v>1262.32</v>
      </c>
      <c r="D166">
        <v>1256.615</v>
      </c>
      <c r="E166">
        <v>5.705000000000001</v>
      </c>
      <c r="F166">
        <v>2.7450382589200841</v>
      </c>
      <c r="G166">
        <v>-2.647763125190127</v>
      </c>
      <c r="H166">
        <v>9.7275133729957747E-2</v>
      </c>
      <c r="I166">
        <v>7.9654972146154135E-2</v>
      </c>
      <c r="J166">
        <v>3.4825971812815361E-2</v>
      </c>
      <c r="K166">
        <v>0.11276756445518631</v>
      </c>
      <c r="L166">
        <v>-7.8E-2</v>
      </c>
      <c r="M166">
        <v>3465.1166950000011</v>
      </c>
      <c r="N166">
        <v>-3342.3243481899999</v>
      </c>
      <c r="O166">
        <v>122.7923468100003</v>
      </c>
      <c r="P166">
        <v>100.5500644395333</v>
      </c>
      <c r="Q166">
        <v>43.96152073875308</v>
      </c>
      <c r="R166">
        <v>141.70541300785391</v>
      </c>
      <c r="S166">
        <v>-0.44499000000000011</v>
      </c>
      <c r="T166">
        <v>-1498.069301652652</v>
      </c>
    </row>
    <row r="167" spans="1:20" x14ac:dyDescent="0.25">
      <c r="A167" s="1" t="s">
        <v>27</v>
      </c>
      <c r="B167">
        <v>2019</v>
      </c>
      <c r="C167">
        <v>1264.2929999999999</v>
      </c>
      <c r="D167">
        <v>1258.576</v>
      </c>
      <c r="E167">
        <v>5.7170000000000014</v>
      </c>
      <c r="F167">
        <v>2.7437718989980961</v>
      </c>
      <c r="G167">
        <v>-2.436246281336683</v>
      </c>
      <c r="H167">
        <v>0.30752561766141312</v>
      </c>
      <c r="I167">
        <v>8.5231768498624738E-2</v>
      </c>
      <c r="J167">
        <v>9.1697423816427662E-2</v>
      </c>
      <c r="K167">
        <v>0.1153585486876878</v>
      </c>
      <c r="L167">
        <v>-7.7999999999999986E-2</v>
      </c>
      <c r="M167">
        <v>3468.9316055000008</v>
      </c>
      <c r="N167">
        <v>-3080.1291197700002</v>
      </c>
      <c r="O167">
        <v>388.80248573000108</v>
      </c>
      <c r="P167">
        <v>107.75792829043181</v>
      </c>
      <c r="Q167">
        <v>115.9324110491428</v>
      </c>
      <c r="R167">
        <v>145.18750077315531</v>
      </c>
      <c r="S167">
        <v>-0.44592599999999999</v>
      </c>
      <c r="T167">
        <v>-2776.5261327569328</v>
      </c>
    </row>
    <row r="168" spans="1:20" x14ac:dyDescent="0.25">
      <c r="A168" s="1" t="s">
        <v>27</v>
      </c>
      <c r="B168">
        <v>2020</v>
      </c>
      <c r="C168">
        <v>1265.759</v>
      </c>
      <c r="D168">
        <v>1260.0350000000001</v>
      </c>
      <c r="E168">
        <v>5.7240000000000002</v>
      </c>
      <c r="F168">
        <v>2.7430010953901971</v>
      </c>
      <c r="G168">
        <v>-2.4930441475312448</v>
      </c>
      <c r="H168">
        <v>0.24995694785895251</v>
      </c>
      <c r="I168">
        <v>9.0690956269240619E-2</v>
      </c>
      <c r="J168">
        <v>0.1366326071714111</v>
      </c>
      <c r="K168">
        <v>0.1145284923325791</v>
      </c>
      <c r="L168">
        <v>-7.8E-2</v>
      </c>
      <c r="M168">
        <v>3471.9783235</v>
      </c>
      <c r="N168">
        <v>-3155.5930671350002</v>
      </c>
      <c r="O168">
        <v>316.3852563649998</v>
      </c>
      <c r="P168">
        <v>114.7928941163977</v>
      </c>
      <c r="Q168">
        <v>172.94395222067811</v>
      </c>
      <c r="R168">
        <v>144.30990883628121</v>
      </c>
      <c r="S168">
        <v>-0.44647199999999998</v>
      </c>
      <c r="T168">
        <v>-2742.6136449742248</v>
      </c>
    </row>
    <row r="169" spans="1:20" x14ac:dyDescent="0.25">
      <c r="A169" s="1" t="s">
        <v>27</v>
      </c>
      <c r="B169">
        <v>2021</v>
      </c>
      <c r="C169">
        <v>1267.181</v>
      </c>
      <c r="D169">
        <v>1261.4459999999999</v>
      </c>
      <c r="E169">
        <v>5.7349999999999994</v>
      </c>
      <c r="F169">
        <v>2.7424179537098481</v>
      </c>
      <c r="G169">
        <v>-2.5710227145214439</v>
      </c>
      <c r="H169">
        <v>0.17139523918840341</v>
      </c>
      <c r="I169">
        <v>0.1140813693882735</v>
      </c>
      <c r="J169">
        <v>0.24336573839098199</v>
      </c>
      <c r="K169">
        <v>0.1149328347648484</v>
      </c>
      <c r="L169">
        <v>-7.8000000000000014E-2</v>
      </c>
      <c r="M169">
        <v>3475.139924999999</v>
      </c>
      <c r="N169">
        <v>-3257.9511344099992</v>
      </c>
      <c r="O169">
        <v>217.18879059000031</v>
      </c>
      <c r="P169">
        <v>144.56174374280181</v>
      </c>
      <c r="Q169">
        <v>308.38843974002299</v>
      </c>
      <c r="R169">
        <v>144.98156468277901</v>
      </c>
      <c r="S169">
        <v>-0.44733000000000001</v>
      </c>
      <c r="T169">
        <v>-2987.1350987708202</v>
      </c>
    </row>
    <row r="170" spans="1:20" x14ac:dyDescent="0.25">
      <c r="A170" s="1" t="s">
        <v>27</v>
      </c>
      <c r="B170">
        <v>2022</v>
      </c>
      <c r="C170">
        <v>1268.5899999999999</v>
      </c>
      <c r="D170">
        <v>1262.846</v>
      </c>
      <c r="E170">
        <v>5.7440000000000007</v>
      </c>
      <c r="F170">
        <v>2.7424079746017229</v>
      </c>
      <c r="G170">
        <v>-2.650278476095508</v>
      </c>
      <c r="H170">
        <v>9.212949850621506E-2</v>
      </c>
      <c r="I170">
        <v>8.4835982761091736E-2</v>
      </c>
      <c r="J170">
        <v>0.1261635787066902</v>
      </c>
      <c r="K170">
        <v>0.1088007354112077</v>
      </c>
      <c r="L170">
        <v>-7.8E-2</v>
      </c>
      <c r="M170">
        <v>3478.9913325000002</v>
      </c>
      <c r="N170">
        <v>-3362.11677199</v>
      </c>
      <c r="O170">
        <v>116.8745605099994</v>
      </c>
      <c r="P170">
        <v>107.6220793708934</v>
      </c>
      <c r="Q170">
        <v>160.04985431152011</v>
      </c>
      <c r="R170">
        <v>137.398573511102</v>
      </c>
      <c r="S170">
        <v>-0.44803199999999999</v>
      </c>
      <c r="T170">
        <v>-1912.155797579728</v>
      </c>
    </row>
    <row r="171" spans="1:20" x14ac:dyDescent="0.25">
      <c r="A171" s="1" t="s">
        <v>27</v>
      </c>
      <c r="B171">
        <v>2023</v>
      </c>
      <c r="C171">
        <v>1270.002</v>
      </c>
      <c r="D171">
        <v>1264.2380000000001</v>
      </c>
      <c r="E171">
        <v>5.7640000000000011</v>
      </c>
      <c r="F171">
        <v>2.741637196240637</v>
      </c>
      <c r="G171">
        <v>-2.5493866570210129</v>
      </c>
      <c r="H171">
        <v>0.1922505392196234</v>
      </c>
      <c r="I171">
        <v>-8.3167123390196981E-3</v>
      </c>
      <c r="J171">
        <v>-0.21891733904893229</v>
      </c>
      <c r="K171">
        <v>0.1201952801620271</v>
      </c>
      <c r="L171">
        <v>-7.7999999999999986E-2</v>
      </c>
      <c r="M171">
        <v>3481.8847225</v>
      </c>
      <c r="N171">
        <v>-3237.7261531899999</v>
      </c>
      <c r="O171">
        <v>244.1585693100001</v>
      </c>
      <c r="P171">
        <v>-10.56224130397969</v>
      </c>
      <c r="Q171">
        <v>-278.02545842682213</v>
      </c>
      <c r="R171">
        <v>151.95544060148089</v>
      </c>
      <c r="S171">
        <v>-0.44959199999999999</v>
      </c>
      <c r="T171">
        <v>-392.61463332919237</v>
      </c>
    </row>
    <row r="172" spans="1:20" x14ac:dyDescent="0.25">
      <c r="A172" s="1" t="s">
        <v>28</v>
      </c>
      <c r="B172">
        <v>1990</v>
      </c>
      <c r="C172">
        <v>2629.4830000000002</v>
      </c>
      <c r="D172">
        <v>2610.8180000000002</v>
      </c>
      <c r="E172">
        <v>18.664999999999999</v>
      </c>
      <c r="F172">
        <v>2.4632405230129999</v>
      </c>
      <c r="G172">
        <v>-1.79668580616684</v>
      </c>
      <c r="H172">
        <v>0.66655471684615941</v>
      </c>
      <c r="I172">
        <v>0.32978310698693808</v>
      </c>
      <c r="J172">
        <v>-0.1242021432427358</v>
      </c>
      <c r="K172">
        <v>-3.8338677847190171E-3</v>
      </c>
      <c r="L172" t="s">
        <v>96</v>
      </c>
      <c r="M172">
        <v>6477.0490801737924</v>
      </c>
      <c r="N172">
        <v>-4724.3547836570024</v>
      </c>
      <c r="O172">
        <v>1752.69429651679</v>
      </c>
      <c r="P172">
        <v>867.15907350933514</v>
      </c>
      <c r="Q172">
        <v>-326.58742422033868</v>
      </c>
      <c r="R172">
        <v>-10.009531021964531</v>
      </c>
      <c r="S172" t="s">
        <v>96</v>
      </c>
      <c r="T172">
        <v>-8371.9401875414424</v>
      </c>
    </row>
    <row r="173" spans="1:20" x14ac:dyDescent="0.25">
      <c r="A173" s="1" t="s">
        <v>28</v>
      </c>
      <c r="B173">
        <v>1991</v>
      </c>
      <c r="C173">
        <v>2629.2950000000001</v>
      </c>
      <c r="D173">
        <v>2610.63</v>
      </c>
      <c r="E173">
        <v>18.664999999999999</v>
      </c>
      <c r="F173">
        <v>2.4940459283385228</v>
      </c>
      <c r="G173">
        <v>-1.4623637286192011</v>
      </c>
      <c r="H173">
        <v>1.0316821997193211</v>
      </c>
      <c r="I173">
        <v>0.2159096859414579</v>
      </c>
      <c r="J173">
        <v>-9.9244241880216952E-2</v>
      </c>
      <c r="K173">
        <v>-9.9248158922065708E-3</v>
      </c>
      <c r="L173" t="s">
        <v>96</v>
      </c>
      <c r="M173">
        <v>6557.5824891508364</v>
      </c>
      <c r="N173">
        <v>-3844.9856398398229</v>
      </c>
      <c r="O173">
        <v>2712.5968493110131</v>
      </c>
      <c r="P173">
        <v>567.69025769744565</v>
      </c>
      <c r="Q173">
        <v>-260.94238895444511</v>
      </c>
      <c r="R173">
        <v>-25.910022112671239</v>
      </c>
      <c r="S173" t="s">
        <v>96</v>
      </c>
      <c r="T173">
        <v>-10975.927218452591</v>
      </c>
    </row>
    <row r="174" spans="1:20" x14ac:dyDescent="0.25">
      <c r="A174" s="1" t="s">
        <v>28</v>
      </c>
      <c r="B174">
        <v>1992</v>
      </c>
      <c r="C174">
        <v>2629.0749999999998</v>
      </c>
      <c r="D174">
        <v>2610.41</v>
      </c>
      <c r="E174">
        <v>18.664999999999999</v>
      </c>
      <c r="F174">
        <v>2.5267513324842819</v>
      </c>
      <c r="G174">
        <v>-1.360874296931301</v>
      </c>
      <c r="H174">
        <v>1.1658770355529819</v>
      </c>
      <c r="I174">
        <v>0.1665526449779097</v>
      </c>
      <c r="J174">
        <v>-6.5860154073821509E-2</v>
      </c>
      <c r="K174">
        <v>2.4608066357279801E-3</v>
      </c>
      <c r="L174" t="s">
        <v>96</v>
      </c>
      <c r="M174">
        <v>6643.0187594511144</v>
      </c>
      <c r="N174">
        <v>-3577.8405922046591</v>
      </c>
      <c r="O174">
        <v>3065.1781672464558</v>
      </c>
      <c r="P174">
        <v>437.87939509529792</v>
      </c>
      <c r="Q174">
        <v>-173.15128457163229</v>
      </c>
      <c r="R174">
        <v>6.4237142499706774</v>
      </c>
      <c r="S174" t="s">
        <v>96</v>
      </c>
      <c r="T174">
        <v>-12233.209970741451</v>
      </c>
    </row>
    <row r="175" spans="1:20" x14ac:dyDescent="0.25">
      <c r="A175" s="1" t="s">
        <v>28</v>
      </c>
      <c r="B175">
        <v>1993</v>
      </c>
      <c r="C175">
        <v>2628.62887</v>
      </c>
      <c r="D175">
        <v>2609.96387</v>
      </c>
      <c r="E175">
        <v>18.664999999999999</v>
      </c>
      <c r="F175">
        <v>2.5408113170109008</v>
      </c>
      <c r="G175">
        <v>-1.36364783130892</v>
      </c>
      <c r="H175">
        <v>1.177163485701981</v>
      </c>
      <c r="I175">
        <v>0.1353793481804714</v>
      </c>
      <c r="J175">
        <v>-3.5643436436367457E-2</v>
      </c>
      <c r="K175">
        <v>-2.4753280380642329E-3</v>
      </c>
      <c r="L175" t="s">
        <v>96</v>
      </c>
      <c r="M175">
        <v>6678.8499811175761</v>
      </c>
      <c r="N175">
        <v>-3584.5240578915168</v>
      </c>
      <c r="O175">
        <v>3094.3259232260589</v>
      </c>
      <c r="P175">
        <v>355.86206302896909</v>
      </c>
      <c r="Q175">
        <v>-93.693366042645422</v>
      </c>
      <c r="R175">
        <v>-6.4605167457456343</v>
      </c>
      <c r="S175" t="s">
        <v>96</v>
      </c>
      <c r="T175">
        <v>-12283.45837937879</v>
      </c>
    </row>
    <row r="176" spans="1:20" x14ac:dyDescent="0.25">
      <c r="A176" s="1" t="s">
        <v>28</v>
      </c>
      <c r="B176">
        <v>1994</v>
      </c>
      <c r="C176">
        <v>2629.5014999999999</v>
      </c>
      <c r="D176">
        <v>2610.8364999999999</v>
      </c>
      <c r="E176">
        <v>18.664999999999999</v>
      </c>
      <c r="F176">
        <v>2.511789851376292</v>
      </c>
      <c r="G176">
        <v>-1.5849969391316461</v>
      </c>
      <c r="H176">
        <v>0.92679291224464577</v>
      </c>
      <c r="I176">
        <v>0.1699234052249437</v>
      </c>
      <c r="J176">
        <v>1.2913675415509541E-4</v>
      </c>
      <c r="K176">
        <v>7.4456930083177716E-3</v>
      </c>
      <c r="L176" t="s">
        <v>96</v>
      </c>
      <c r="M176">
        <v>6604.755181878736</v>
      </c>
      <c r="N176">
        <v>-4167.7518289420714</v>
      </c>
      <c r="O176">
        <v>2437.0033529366651</v>
      </c>
      <c r="P176">
        <v>446.81384892409739</v>
      </c>
      <c r="Q176">
        <v>0.3395652887559546</v>
      </c>
      <c r="R176">
        <v>19.439487073910851</v>
      </c>
      <c r="S176" t="s">
        <v>96</v>
      </c>
      <c r="T176">
        <v>-10646.51959882021</v>
      </c>
    </row>
    <row r="177" spans="1:20" x14ac:dyDescent="0.25">
      <c r="A177" s="1" t="s">
        <v>28</v>
      </c>
      <c r="B177">
        <v>1995</v>
      </c>
      <c r="C177">
        <v>2630.12824</v>
      </c>
      <c r="D177">
        <v>2611.46324</v>
      </c>
      <c r="E177">
        <v>18.664999999999999</v>
      </c>
      <c r="F177">
        <v>2.539593627970258</v>
      </c>
      <c r="G177">
        <v>-1.6692405119073099</v>
      </c>
      <c r="H177">
        <v>0.87035311606294741</v>
      </c>
      <c r="I177">
        <v>0.17271615038876759</v>
      </c>
      <c r="J177">
        <v>1.9088949937567452E-2</v>
      </c>
      <c r="K177">
        <v>1.1418375272362001E-2</v>
      </c>
      <c r="L177" t="s">
        <v>96</v>
      </c>
      <c r="M177">
        <v>6679.4569190486282</v>
      </c>
      <c r="N177">
        <v>-4390.3166097194726</v>
      </c>
      <c r="O177">
        <v>2289.140309329156</v>
      </c>
      <c r="P177">
        <v>454.26562464158462</v>
      </c>
      <c r="Q177">
        <v>50.206386302742388</v>
      </c>
      <c r="R177">
        <v>29.81866728429835</v>
      </c>
      <c r="S177" t="s">
        <v>96</v>
      </c>
      <c r="T177">
        <v>-10352.580287712801</v>
      </c>
    </row>
    <row r="178" spans="1:20" x14ac:dyDescent="0.25">
      <c r="A178" s="1" t="s">
        <v>28</v>
      </c>
      <c r="B178">
        <v>1996</v>
      </c>
      <c r="C178">
        <v>2630.9928300000001</v>
      </c>
      <c r="D178">
        <v>2612.3278300000002</v>
      </c>
      <c r="E178">
        <v>18.664999999999999</v>
      </c>
      <c r="F178">
        <v>2.5630775184365082</v>
      </c>
      <c r="G178">
        <v>-1.694219620630969</v>
      </c>
      <c r="H178">
        <v>0.86885789780553901</v>
      </c>
      <c r="I178">
        <v>0.15668926870621219</v>
      </c>
      <c r="J178">
        <v>2.8041670610163341E-2</v>
      </c>
      <c r="K178">
        <v>5.5626599443840026E-3</v>
      </c>
      <c r="L178" t="s">
        <v>96</v>
      </c>
      <c r="M178">
        <v>6743.4385737406446</v>
      </c>
      <c r="N178">
        <v>-4457.4796743253992</v>
      </c>
      <c r="O178">
        <v>2285.958899415245</v>
      </c>
      <c r="P178">
        <v>412.24834250398749</v>
      </c>
      <c r="Q178">
        <v>73.777434316561468</v>
      </c>
      <c r="R178">
        <v>14.53149138154058</v>
      </c>
      <c r="S178" t="s">
        <v>96</v>
      </c>
      <c r="T178">
        <v>-10217.22594793116</v>
      </c>
    </row>
    <row r="179" spans="1:20" x14ac:dyDescent="0.25">
      <c r="A179" s="1" t="s">
        <v>28</v>
      </c>
      <c r="B179">
        <v>1997</v>
      </c>
      <c r="C179">
        <v>2631.8035399999999</v>
      </c>
      <c r="D179">
        <v>2613.1385399999999</v>
      </c>
      <c r="E179">
        <v>18.664999999999999</v>
      </c>
      <c r="F179">
        <v>2.5905088158305238</v>
      </c>
      <c r="G179">
        <v>-1.84313430250048</v>
      </c>
      <c r="H179">
        <v>0.74737451333004357</v>
      </c>
      <c r="I179">
        <v>0.1749658170286415</v>
      </c>
      <c r="J179">
        <v>4.4687151748122413E-2</v>
      </c>
      <c r="K179">
        <v>1.1850356472186499E-2</v>
      </c>
      <c r="L179" t="s">
        <v>96</v>
      </c>
      <c r="M179">
        <v>6817.7102719039804</v>
      </c>
      <c r="N179">
        <v>-4850.7673820161936</v>
      </c>
      <c r="O179">
        <v>1966.9428898877859</v>
      </c>
      <c r="P179">
        <v>460.4756566349709</v>
      </c>
      <c r="Q179">
        <v>117.60780416322569</v>
      </c>
      <c r="R179">
        <v>30.966623210208979</v>
      </c>
      <c r="S179" t="s">
        <v>96</v>
      </c>
      <c r="T179">
        <v>-9445.3075709535624</v>
      </c>
    </row>
    <row r="180" spans="1:20" x14ac:dyDescent="0.25">
      <c r="A180" s="1" t="s">
        <v>28</v>
      </c>
      <c r="B180">
        <v>1998</v>
      </c>
      <c r="C180">
        <v>2633.8189699999998</v>
      </c>
      <c r="D180">
        <v>2615.1539699999998</v>
      </c>
      <c r="E180">
        <v>18.664999999999999</v>
      </c>
      <c r="F180">
        <v>2.6519180734861441</v>
      </c>
      <c r="G180">
        <v>-1.868218422438108</v>
      </c>
      <c r="H180">
        <v>0.78369965104803596</v>
      </c>
      <c r="I180">
        <v>0.15228420110040991</v>
      </c>
      <c r="J180">
        <v>4.5053844752093987E-2</v>
      </c>
      <c r="K180">
        <v>-4.6270087658678393E-4</v>
      </c>
      <c r="L180" t="s">
        <v>96</v>
      </c>
      <c r="M180">
        <v>6984.6721288336594</v>
      </c>
      <c r="N180">
        <v>-4920.5491211209619</v>
      </c>
      <c r="O180">
        <v>2064.123007712697</v>
      </c>
      <c r="P180">
        <v>401.08901768955428</v>
      </c>
      <c r="Q180">
        <v>118.6636709795001</v>
      </c>
      <c r="R180">
        <v>-1.2100340343284079</v>
      </c>
      <c r="S180" t="s">
        <v>96</v>
      </c>
      <c r="T180">
        <v>-9469.7740952747481</v>
      </c>
    </row>
    <row r="181" spans="1:20" x14ac:dyDescent="0.25">
      <c r="A181" s="1" t="s">
        <v>28</v>
      </c>
      <c r="B181">
        <v>1999</v>
      </c>
      <c r="C181">
        <v>2634.4716899999999</v>
      </c>
      <c r="D181">
        <v>2615.8066899999999</v>
      </c>
      <c r="E181">
        <v>18.664999999999999</v>
      </c>
      <c r="F181">
        <v>2.6577848453605641</v>
      </c>
      <c r="G181">
        <v>-1.9028275517248721</v>
      </c>
      <c r="H181">
        <v>0.75495729363569131</v>
      </c>
      <c r="I181">
        <v>0.13947732403927601</v>
      </c>
      <c r="J181">
        <v>4.7868176233030683E-2</v>
      </c>
      <c r="K181">
        <v>1.1212633264906759E-2</v>
      </c>
      <c r="L181" t="s">
        <v>96</v>
      </c>
      <c r="M181">
        <v>7001.8589332134316</v>
      </c>
      <c r="N181">
        <v>-5012.9453159711866</v>
      </c>
      <c r="O181">
        <v>1988.9136172422459</v>
      </c>
      <c r="P181">
        <v>367.44906157842922</v>
      </c>
      <c r="Q181">
        <v>126.10735513785021</v>
      </c>
      <c r="R181">
        <v>29.330081106859641</v>
      </c>
      <c r="S181" t="s">
        <v>96</v>
      </c>
      <c r="T181">
        <v>-9209.9337552405814</v>
      </c>
    </row>
    <row r="182" spans="1:20" x14ac:dyDescent="0.25">
      <c r="A182" s="1" t="s">
        <v>28</v>
      </c>
      <c r="B182">
        <v>2000</v>
      </c>
      <c r="C182">
        <v>2637.2896900000001</v>
      </c>
      <c r="D182">
        <v>2618.6246900000001</v>
      </c>
      <c r="E182">
        <v>18.664999999999999</v>
      </c>
      <c r="F182">
        <v>2.686537496014572</v>
      </c>
      <c r="G182">
        <v>-1.938195241984503</v>
      </c>
      <c r="H182">
        <v>0.74834225403006926</v>
      </c>
      <c r="I182">
        <v>0.1331470189827523</v>
      </c>
      <c r="J182">
        <v>5.2888335490878582E-2</v>
      </c>
      <c r="K182">
        <v>1.9221405714855321E-2</v>
      </c>
      <c r="L182" t="s">
        <v>96</v>
      </c>
      <c r="M182">
        <v>7085.1776400376484</v>
      </c>
      <c r="N182">
        <v>-5111.582328892785</v>
      </c>
      <c r="O182">
        <v>1973.595311144863</v>
      </c>
      <c r="P182">
        <v>351.14726041744689</v>
      </c>
      <c r="Q182">
        <v>139.4818619113552</v>
      </c>
      <c r="R182">
        <v>50.333647581427257</v>
      </c>
      <c r="S182" t="s">
        <v>96</v>
      </c>
      <c r="T182">
        <v>-9220.0462972028417</v>
      </c>
    </row>
    <row r="183" spans="1:20" x14ac:dyDescent="0.25">
      <c r="A183" s="1" t="s">
        <v>28</v>
      </c>
      <c r="B183">
        <v>2001</v>
      </c>
      <c r="C183">
        <v>2639.1597099999999</v>
      </c>
      <c r="D183">
        <v>2620.4947099999999</v>
      </c>
      <c r="E183">
        <v>18.664999999999999</v>
      </c>
      <c r="F183">
        <v>2.6883402299032051</v>
      </c>
      <c r="G183">
        <v>-1.9196975718815359</v>
      </c>
      <c r="H183">
        <v>0.76864265802166898</v>
      </c>
      <c r="I183">
        <v>0.1087655331767314</v>
      </c>
      <c r="J183">
        <v>4.8644052042616237E-2</v>
      </c>
      <c r="K183">
        <v>2.3367673808866729E-2</v>
      </c>
      <c r="L183" t="s">
        <v>96</v>
      </c>
      <c r="M183">
        <v>7094.9592215326747</v>
      </c>
      <c r="N183">
        <v>-5066.3884870945776</v>
      </c>
      <c r="O183">
        <v>2028.5707344380969</v>
      </c>
      <c r="P183">
        <v>287.04961299669787</v>
      </c>
      <c r="Q183">
        <v>128.37942228201601</v>
      </c>
      <c r="R183">
        <v>61.234865601140832</v>
      </c>
      <c r="S183" t="s">
        <v>96</v>
      </c>
      <c r="T183">
        <v>-9185.8603294999921</v>
      </c>
    </row>
    <row r="184" spans="1:20" x14ac:dyDescent="0.25">
      <c r="A184" s="1" t="s">
        <v>28</v>
      </c>
      <c r="B184">
        <v>2002</v>
      </c>
      <c r="C184">
        <v>2643.0565999999999</v>
      </c>
      <c r="D184">
        <v>2624.3915999999999</v>
      </c>
      <c r="E184">
        <v>18.664999999999999</v>
      </c>
      <c r="F184">
        <v>2.6970718688056721</v>
      </c>
      <c r="G184">
        <v>-1.9243570192609341</v>
      </c>
      <c r="H184">
        <v>0.77271484954473779</v>
      </c>
      <c r="I184">
        <v>9.7436715366482976E-2</v>
      </c>
      <c r="J184">
        <v>4.8547961787495333E-2</v>
      </c>
      <c r="K184">
        <v>2.5198508267161329E-2</v>
      </c>
      <c r="L184" t="s">
        <v>96</v>
      </c>
      <c r="M184">
        <v>7128.5136035211672</v>
      </c>
      <c r="N184">
        <v>-5086.1845205139407</v>
      </c>
      <c r="O184">
        <v>2042.329083007226</v>
      </c>
      <c r="P184">
        <v>257.53075363170427</v>
      </c>
      <c r="Q184">
        <v>128.3150108189873</v>
      </c>
      <c r="R184">
        <v>66.130753428868758</v>
      </c>
      <c r="S184" t="s">
        <v>96</v>
      </c>
      <c r="T184">
        <v>-9145.7872032523846</v>
      </c>
    </row>
    <row r="185" spans="1:20" x14ac:dyDescent="0.25">
      <c r="A185" s="1" t="s">
        <v>28</v>
      </c>
      <c r="B185">
        <v>2003</v>
      </c>
      <c r="C185">
        <v>2644.17002</v>
      </c>
      <c r="D185">
        <v>2625.5050200000001</v>
      </c>
      <c r="E185">
        <v>18.664999999999999</v>
      </c>
      <c r="F185">
        <v>2.693644153433274</v>
      </c>
      <c r="G185">
        <v>-1.986840942462039</v>
      </c>
      <c r="H185">
        <v>0.70680321097123511</v>
      </c>
      <c r="I185">
        <v>0.1033100178140397</v>
      </c>
      <c r="J185">
        <v>5.2849808609732873E-2</v>
      </c>
      <c r="K185">
        <v>2.1726741922113959E-2</v>
      </c>
      <c r="L185" t="s">
        <v>96</v>
      </c>
      <c r="M185">
        <v>7122.4531150565444</v>
      </c>
      <c r="N185">
        <v>-5253.5452545666694</v>
      </c>
      <c r="O185">
        <v>1868.907860489875</v>
      </c>
      <c r="P185">
        <v>273.16925186954973</v>
      </c>
      <c r="Q185">
        <v>139.74387948859351</v>
      </c>
      <c r="R185">
        <v>57.043669984754636</v>
      </c>
      <c r="S185" t="s">
        <v>96</v>
      </c>
      <c r="T185">
        <v>-8575.8370933876122</v>
      </c>
    </row>
    <row r="186" spans="1:20" x14ac:dyDescent="0.25">
      <c r="A186" s="1" t="s">
        <v>28</v>
      </c>
      <c r="B186">
        <v>2004</v>
      </c>
      <c r="C186">
        <v>2645.7401399999999</v>
      </c>
      <c r="D186">
        <v>2627.0751399999999</v>
      </c>
      <c r="E186">
        <v>18.664999999999999</v>
      </c>
      <c r="F186">
        <v>2.7061854726535688</v>
      </c>
      <c r="G186">
        <v>-2.0446288984110068</v>
      </c>
      <c r="H186">
        <v>0.66155657424256209</v>
      </c>
      <c r="I186">
        <v>0.1014900319094713</v>
      </c>
      <c r="J186">
        <v>5.2381621184847543E-2</v>
      </c>
      <c r="K186">
        <v>2.402519145381472E-2</v>
      </c>
      <c r="L186" t="s">
        <v>96</v>
      </c>
      <c r="M186">
        <v>7159.863531284419</v>
      </c>
      <c r="N186">
        <v>-5409.5567479299834</v>
      </c>
      <c r="O186">
        <v>1750.306783354436</v>
      </c>
      <c r="P186">
        <v>268.51625123276898</v>
      </c>
      <c r="Q186">
        <v>138.58815776702551</v>
      </c>
      <c r="R186">
        <v>63.115983202057087</v>
      </c>
      <c r="S186" t="s">
        <v>96</v>
      </c>
      <c r="T186">
        <v>-8141.9329770404629</v>
      </c>
    </row>
    <row r="187" spans="1:20" x14ac:dyDescent="0.25">
      <c r="A187" s="1" t="s">
        <v>28</v>
      </c>
      <c r="B187">
        <v>2005</v>
      </c>
      <c r="C187">
        <v>2647.4182700000001</v>
      </c>
      <c r="D187">
        <v>2628.7532700000002</v>
      </c>
      <c r="E187">
        <v>18.664999999999999</v>
      </c>
      <c r="F187">
        <v>2.7169928964658898</v>
      </c>
      <c r="G187">
        <v>-2.0262071127571879</v>
      </c>
      <c r="H187">
        <v>0.69078578370870203</v>
      </c>
      <c r="I187">
        <v>8.5868704593298428E-2</v>
      </c>
      <c r="J187">
        <v>4.8363230365176868E-2</v>
      </c>
      <c r="K187">
        <v>2.5884432541681771E-2</v>
      </c>
      <c r="L187" t="s">
        <v>96</v>
      </c>
      <c r="M187">
        <v>7193.0166335640151</v>
      </c>
      <c r="N187">
        <v>-5364.2177291173293</v>
      </c>
      <c r="O187">
        <v>1828.798904446686</v>
      </c>
      <c r="P187">
        <v>227.33037736153111</v>
      </c>
      <c r="Q187">
        <v>128.037699664988</v>
      </c>
      <c r="R187">
        <v>68.043786686040349</v>
      </c>
      <c r="S187" t="s">
        <v>96</v>
      </c>
      <c r="T187">
        <v>-8258.1061499179832</v>
      </c>
    </row>
    <row r="188" spans="1:20" x14ac:dyDescent="0.25">
      <c r="A188" s="1" t="s">
        <v>28</v>
      </c>
      <c r="B188">
        <v>2006</v>
      </c>
      <c r="C188">
        <v>2649.1493500000001</v>
      </c>
      <c r="D188">
        <v>2630.4843500000002</v>
      </c>
      <c r="E188">
        <v>18.664999999999999</v>
      </c>
      <c r="F188">
        <v>2.7198233679613621</v>
      </c>
      <c r="G188">
        <v>-2.3051707883121271</v>
      </c>
      <c r="H188">
        <v>0.41465257964923469</v>
      </c>
      <c r="I188">
        <v>0.13967172145000409</v>
      </c>
      <c r="J188">
        <v>6.2395531317831737E-2</v>
      </c>
      <c r="K188">
        <v>3.3475047380348663E-2</v>
      </c>
      <c r="L188" t="s">
        <v>96</v>
      </c>
      <c r="M188">
        <v>7205.2183073496526</v>
      </c>
      <c r="N188">
        <v>-6106.741695496059</v>
      </c>
      <c r="O188">
        <v>1098.476611853594</v>
      </c>
      <c r="P188">
        <v>370.01125009265951</v>
      </c>
      <c r="Q188">
        <v>165.29508123353861</v>
      </c>
      <c r="R188">
        <v>88.055588249515637</v>
      </c>
      <c r="S188" t="s">
        <v>96</v>
      </c>
      <c r="T188">
        <v>-6313.4079485747006</v>
      </c>
    </row>
    <row r="189" spans="1:20" x14ac:dyDescent="0.25">
      <c r="A189" s="1" t="s">
        <v>28</v>
      </c>
      <c r="B189">
        <v>2007</v>
      </c>
      <c r="C189">
        <v>2651.2102199999999</v>
      </c>
      <c r="D189">
        <v>2632.54522</v>
      </c>
      <c r="E189">
        <v>18.664999999999999</v>
      </c>
      <c r="F189">
        <v>2.7192874267185321</v>
      </c>
      <c r="G189">
        <v>-2.3933839971512949</v>
      </c>
      <c r="H189">
        <v>0.32590342956723722</v>
      </c>
      <c r="I189">
        <v>0.14506120876663159</v>
      </c>
      <c r="J189">
        <v>6.7376384686851531E-2</v>
      </c>
      <c r="K189">
        <v>3.4740044197748329E-2</v>
      </c>
      <c r="L189" t="s">
        <v>96</v>
      </c>
      <c r="M189">
        <v>7209.4026168336732</v>
      </c>
      <c r="N189">
        <v>-6345.3641136319638</v>
      </c>
      <c r="O189">
        <v>864.03850320170932</v>
      </c>
      <c r="P189">
        <v>384.58775920764742</v>
      </c>
      <c r="Q189">
        <v>178.62895966843229</v>
      </c>
      <c r="R189">
        <v>91.454737295371089</v>
      </c>
      <c r="S189" t="s">
        <v>96</v>
      </c>
      <c r="T189">
        <v>-5568.6031843687606</v>
      </c>
    </row>
    <row r="190" spans="1:20" x14ac:dyDescent="0.25">
      <c r="A190" s="1" t="s">
        <v>28</v>
      </c>
      <c r="B190">
        <v>2008</v>
      </c>
      <c r="C190">
        <v>2653.0348800000002</v>
      </c>
      <c r="D190">
        <v>2634.3698800000002</v>
      </c>
      <c r="E190">
        <v>18.664999999999999</v>
      </c>
      <c r="F190">
        <v>2.7280867089435001</v>
      </c>
      <c r="G190">
        <v>-2.097529413325748</v>
      </c>
      <c r="H190">
        <v>0.63055729561775198</v>
      </c>
      <c r="I190">
        <v>6.2311278623201627E-2</v>
      </c>
      <c r="J190">
        <v>4.2565738931391477E-2</v>
      </c>
      <c r="K190">
        <v>3.2020133459030091E-2</v>
      </c>
      <c r="L190" t="s">
        <v>96</v>
      </c>
      <c r="M190">
        <v>7237.7091944915128</v>
      </c>
      <c r="N190">
        <v>-5564.8186953791464</v>
      </c>
      <c r="O190">
        <v>1672.890499112367</v>
      </c>
      <c r="P190">
        <v>165.31399560475231</v>
      </c>
      <c r="Q190">
        <v>112.9283900779555</v>
      </c>
      <c r="R190">
        <v>84.3528751380491</v>
      </c>
      <c r="S190" t="s">
        <v>96</v>
      </c>
      <c r="T190">
        <v>-7463.4477864221344</v>
      </c>
    </row>
    <row r="191" spans="1:20" x14ac:dyDescent="0.25">
      <c r="A191" s="1" t="s">
        <v>28</v>
      </c>
      <c r="B191">
        <v>2009</v>
      </c>
      <c r="C191">
        <v>2655.2113800000002</v>
      </c>
      <c r="D191">
        <v>2636.5463800000002</v>
      </c>
      <c r="E191">
        <v>18.664999999999999</v>
      </c>
      <c r="F191">
        <v>2.7424926975776658</v>
      </c>
      <c r="G191">
        <v>-2.0068069259796251</v>
      </c>
      <c r="H191">
        <v>0.73568577159804083</v>
      </c>
      <c r="I191">
        <v>3.4055201848681257E-2</v>
      </c>
      <c r="J191">
        <v>3.494596782215232E-2</v>
      </c>
      <c r="K191">
        <v>3.2567302127222579E-2</v>
      </c>
      <c r="L191" t="s">
        <v>96</v>
      </c>
      <c r="M191">
        <v>7281.897820175117</v>
      </c>
      <c r="N191">
        <v>-5328.496587323918</v>
      </c>
      <c r="O191">
        <v>1953.401232851199</v>
      </c>
      <c r="P191">
        <v>90.423759496815535</v>
      </c>
      <c r="Q191">
        <v>92.788931446492654</v>
      </c>
      <c r="R191">
        <v>85.865202529895001</v>
      </c>
      <c r="S191" t="s">
        <v>96</v>
      </c>
      <c r="T191">
        <v>-8149.0901298568833</v>
      </c>
    </row>
    <row r="192" spans="1:20" x14ac:dyDescent="0.25">
      <c r="A192" s="1" t="s">
        <v>28</v>
      </c>
      <c r="B192">
        <v>2010</v>
      </c>
      <c r="C192">
        <v>2657.3759100000002</v>
      </c>
      <c r="D192">
        <v>2638.7109099999998</v>
      </c>
      <c r="E192">
        <v>18.664999999999999</v>
      </c>
      <c r="F192">
        <v>2.7409221152344219</v>
      </c>
      <c r="G192">
        <v>-2.164631693101291</v>
      </c>
      <c r="H192">
        <v>0.5762904221331312</v>
      </c>
      <c r="I192">
        <v>6.6970672929283395E-2</v>
      </c>
      <c r="J192">
        <v>4.1335140783802793E-2</v>
      </c>
      <c r="K192">
        <v>3.3966697035793213E-2</v>
      </c>
      <c r="L192" t="s">
        <v>96</v>
      </c>
      <c r="M192">
        <v>7283.6604002101967</v>
      </c>
      <c r="N192">
        <v>-5752.2401152698831</v>
      </c>
      <c r="O192">
        <v>1531.4202849403141</v>
      </c>
      <c r="P192">
        <v>177.96625291876691</v>
      </c>
      <c r="Q192">
        <v>109.8430073553361</v>
      </c>
      <c r="R192">
        <v>89.628294045012211</v>
      </c>
      <c r="S192" t="s">
        <v>96</v>
      </c>
      <c r="T192">
        <v>-6999.145410618542</v>
      </c>
    </row>
    <row r="193" spans="1:20" x14ac:dyDescent="0.25">
      <c r="A193" s="1" t="s">
        <v>28</v>
      </c>
      <c r="B193">
        <v>2011</v>
      </c>
      <c r="C193">
        <v>2659.83842</v>
      </c>
      <c r="D193">
        <v>2641.1734200000001</v>
      </c>
      <c r="E193">
        <v>18.664999999999999</v>
      </c>
      <c r="F193">
        <v>2.755601843804333</v>
      </c>
      <c r="G193">
        <v>-1.9609466630685219</v>
      </c>
      <c r="H193">
        <v>0.79465518073581087</v>
      </c>
      <c r="I193">
        <v>1.6727839131311751E-2</v>
      </c>
      <c r="J193">
        <v>2.4703437069871069E-2</v>
      </c>
      <c r="K193">
        <v>2.8746955780781611E-2</v>
      </c>
      <c r="L193" t="s">
        <v>96</v>
      </c>
      <c r="M193">
        <v>7329.4556543736044</v>
      </c>
      <c r="N193">
        <v>-5215.8012740004506</v>
      </c>
      <c r="O193">
        <v>2113.6543803731538</v>
      </c>
      <c r="P193">
        <v>44.493349205042414</v>
      </c>
      <c r="Q193">
        <v>65.707151024495303</v>
      </c>
      <c r="R193">
        <v>75.925695514115745</v>
      </c>
      <c r="S193" t="s">
        <v>96</v>
      </c>
      <c r="T193">
        <v>-8432.5287790957263</v>
      </c>
    </row>
    <row r="194" spans="1:20" x14ac:dyDescent="0.25">
      <c r="A194" s="1" t="s">
        <v>28</v>
      </c>
      <c r="B194">
        <v>2012</v>
      </c>
      <c r="C194">
        <v>2661.8892599999999</v>
      </c>
      <c r="D194">
        <v>2643.22426</v>
      </c>
      <c r="E194">
        <v>18.664999999999999</v>
      </c>
      <c r="F194">
        <v>2.7632824368358122</v>
      </c>
      <c r="G194">
        <v>-1.9400769532818101</v>
      </c>
      <c r="H194">
        <v>0.82320548355400247</v>
      </c>
      <c r="I194">
        <v>1.471303961072877E-2</v>
      </c>
      <c r="J194">
        <v>2.469035771544463E-2</v>
      </c>
      <c r="K194">
        <v>3.8064673971987838E-2</v>
      </c>
      <c r="L194" t="s">
        <v>96</v>
      </c>
      <c r="M194">
        <v>7355.5518409598762</v>
      </c>
      <c r="N194">
        <v>-5164.2700055143696</v>
      </c>
      <c r="O194">
        <v>2191.2818354455062</v>
      </c>
      <c r="P194">
        <v>39.16448212175348</v>
      </c>
      <c r="Q194">
        <v>65.722998028300196</v>
      </c>
      <c r="R194">
        <v>100.6134696917488</v>
      </c>
      <c r="S194" t="s">
        <v>96</v>
      </c>
      <c r="T194">
        <v>-8788.2035460542611</v>
      </c>
    </row>
    <row r="195" spans="1:20" x14ac:dyDescent="0.25">
      <c r="A195" s="1" t="s">
        <v>28</v>
      </c>
      <c r="B195">
        <v>2013</v>
      </c>
      <c r="C195">
        <v>2663.73054</v>
      </c>
      <c r="D195">
        <v>2645.0655400000001</v>
      </c>
      <c r="E195">
        <v>18.664999999999999</v>
      </c>
      <c r="F195">
        <v>2.7662019214114442</v>
      </c>
      <c r="G195">
        <v>-1.968633797534646</v>
      </c>
      <c r="H195">
        <v>0.79756812387679843</v>
      </c>
      <c r="I195">
        <v>2.338040013605255E-2</v>
      </c>
      <c r="J195">
        <v>2.6019186540930921E-2</v>
      </c>
      <c r="K195">
        <v>3.7648028707720223E-2</v>
      </c>
      <c r="L195" t="s">
        <v>96</v>
      </c>
      <c r="M195">
        <v>7368.4165378703437</v>
      </c>
      <c r="N195">
        <v>-5243.9099685692127</v>
      </c>
      <c r="O195">
        <v>2124.5065693011311</v>
      </c>
      <c r="P195">
        <v>62.279085879823327</v>
      </c>
      <c r="Q195">
        <v>69.308101815034661</v>
      </c>
      <c r="R195">
        <v>99.581503383721468</v>
      </c>
      <c r="S195" t="s">
        <v>96</v>
      </c>
      <c r="T195">
        <v>-8637.4759547263911</v>
      </c>
    </row>
    <row r="196" spans="1:20" x14ac:dyDescent="0.25">
      <c r="A196" s="1" t="s">
        <v>28</v>
      </c>
      <c r="B196">
        <v>2014</v>
      </c>
      <c r="C196">
        <v>2666.3763600000002</v>
      </c>
      <c r="D196">
        <v>2647.7113599999998</v>
      </c>
      <c r="E196">
        <v>18.664999999999999</v>
      </c>
      <c r="F196">
        <v>2.7623324598124461</v>
      </c>
      <c r="G196">
        <v>-1.979076940678802</v>
      </c>
      <c r="H196">
        <v>0.78325551913364366</v>
      </c>
      <c r="I196">
        <v>2.6755738461311459E-2</v>
      </c>
      <c r="J196">
        <v>2.7505730940459841E-2</v>
      </c>
      <c r="K196">
        <v>3.8623224239197833E-2</v>
      </c>
      <c r="L196" t="s">
        <v>96</v>
      </c>
      <c r="M196">
        <v>7365.4179693045553</v>
      </c>
      <c r="N196">
        <v>-5276.9639692470801</v>
      </c>
      <c r="O196">
        <v>2088.4540000574748</v>
      </c>
      <c r="P196">
        <v>71.340868527583666</v>
      </c>
      <c r="Q196">
        <v>73.340630744162681</v>
      </c>
      <c r="R196">
        <v>102.26314957795149</v>
      </c>
      <c r="S196" t="s">
        <v>96</v>
      </c>
      <c r="T196">
        <v>-8563.1283793270795</v>
      </c>
    </row>
    <row r="197" spans="1:20" x14ac:dyDescent="0.25">
      <c r="A197" s="1" t="s">
        <v>28</v>
      </c>
      <c r="B197">
        <v>2015</v>
      </c>
      <c r="C197">
        <v>2668.3921599999999</v>
      </c>
      <c r="D197">
        <v>2649.7271599999999</v>
      </c>
      <c r="E197">
        <v>18.664999999999999</v>
      </c>
      <c r="F197">
        <v>2.7569918330759631</v>
      </c>
      <c r="G197">
        <v>-2.0566308097874582</v>
      </c>
      <c r="H197">
        <v>0.70036102328850536</v>
      </c>
      <c r="I197">
        <v>4.7900905795244357E-2</v>
      </c>
      <c r="J197">
        <v>3.4574997731007452E-2</v>
      </c>
      <c r="K197">
        <v>4.1440073607784421E-2</v>
      </c>
      <c r="L197" t="s">
        <v>96</v>
      </c>
      <c r="M197">
        <v>7356.7353925639291</v>
      </c>
      <c r="N197">
        <v>-5487.8975288513038</v>
      </c>
      <c r="O197">
        <v>1868.837863712625</v>
      </c>
      <c r="P197">
        <v>127.8184014809286</v>
      </c>
      <c r="Q197">
        <v>92.259652877438072</v>
      </c>
      <c r="R197">
        <v>109.80488855094561</v>
      </c>
      <c r="S197" t="s">
        <v>96</v>
      </c>
      <c r="T197">
        <v>-8061.9762909478368</v>
      </c>
    </row>
    <row r="198" spans="1:20" x14ac:dyDescent="0.25">
      <c r="A198" s="1" t="s">
        <v>28</v>
      </c>
      <c r="B198">
        <v>2016</v>
      </c>
      <c r="C198">
        <v>2669.8497600000001</v>
      </c>
      <c r="D198">
        <v>2651.1847600000001</v>
      </c>
      <c r="E198">
        <v>18.664999999999999</v>
      </c>
      <c r="F198">
        <v>2.757502453079538</v>
      </c>
      <c r="G198">
        <v>-2.2204901657406668</v>
      </c>
      <c r="H198">
        <v>0.53701228733887152</v>
      </c>
      <c r="I198">
        <v>8.1266453512430809E-2</v>
      </c>
      <c r="J198">
        <v>4.4746514167568259E-2</v>
      </c>
      <c r="K198">
        <v>4.1062548463395243E-2</v>
      </c>
      <c r="L198" t="s">
        <v>96</v>
      </c>
      <c r="M198">
        <v>7362.1172625538175</v>
      </c>
      <c r="N198">
        <v>-5928.3751360850792</v>
      </c>
      <c r="O198">
        <v>1433.7421264687371</v>
      </c>
      <c r="P198">
        <v>216.96922140621459</v>
      </c>
      <c r="Q198">
        <v>119.4664701111187</v>
      </c>
      <c r="R198">
        <v>108.86440269291489</v>
      </c>
      <c r="S198" t="s">
        <v>96</v>
      </c>
      <c r="T198">
        <v>-6889.8214758235727</v>
      </c>
    </row>
    <row r="199" spans="1:20" x14ac:dyDescent="0.25">
      <c r="A199" s="1" t="s">
        <v>28</v>
      </c>
      <c r="B199">
        <v>2017</v>
      </c>
      <c r="C199">
        <v>2671.6584999999991</v>
      </c>
      <c r="D199">
        <v>2652.9934999999991</v>
      </c>
      <c r="E199">
        <v>18.664999999999999</v>
      </c>
      <c r="F199">
        <v>2.749585054139684</v>
      </c>
      <c r="G199">
        <v>-2.4303312199360212</v>
      </c>
      <c r="H199">
        <v>0.31925383420366349</v>
      </c>
      <c r="I199">
        <v>0.1204526142315613</v>
      </c>
      <c r="J199">
        <v>5.5063155136352841E-2</v>
      </c>
      <c r="K199">
        <v>4.1939698159595022E-2</v>
      </c>
      <c r="L199" t="s">
        <v>96</v>
      </c>
      <c r="M199">
        <v>7345.9522813652447</v>
      </c>
      <c r="N199">
        <v>-6493.0150615574366</v>
      </c>
      <c r="O199">
        <v>852.93721980780811</v>
      </c>
      <c r="P199">
        <v>321.80825065897147</v>
      </c>
      <c r="Q199">
        <v>147.10994645685571</v>
      </c>
      <c r="R199">
        <v>111.2657466093675</v>
      </c>
      <c r="S199" t="s">
        <v>96</v>
      </c>
      <c r="T199">
        <v>-5254.7775996214868</v>
      </c>
    </row>
    <row r="200" spans="1:20" x14ac:dyDescent="0.25">
      <c r="A200" s="1" t="s">
        <v>28</v>
      </c>
      <c r="B200">
        <v>2018</v>
      </c>
      <c r="C200">
        <v>2673.39167</v>
      </c>
      <c r="D200">
        <v>2654.72667</v>
      </c>
      <c r="E200">
        <v>18.664999999999999</v>
      </c>
      <c r="F200">
        <v>2.7360832441762319</v>
      </c>
      <c r="G200">
        <v>-3.198429019213533</v>
      </c>
      <c r="H200">
        <v>-0.46234577503730118</v>
      </c>
      <c r="I200">
        <v>0.2807727199032512</v>
      </c>
      <c r="J200">
        <v>0.1001340288144705</v>
      </c>
      <c r="K200">
        <v>5.3157568307620258E-2</v>
      </c>
      <c r="L200" t="s">
        <v>96</v>
      </c>
      <c r="M200">
        <v>7314.6221534073147</v>
      </c>
      <c r="N200">
        <v>-8550.6534970517296</v>
      </c>
      <c r="O200">
        <v>-1236.0313436444151</v>
      </c>
      <c r="P200">
        <v>750.61545055259489</v>
      </c>
      <c r="Q200">
        <v>267.69747851614528</v>
      </c>
      <c r="R200">
        <v>141.1188142985863</v>
      </c>
      <c r="S200" t="s">
        <v>96</v>
      </c>
      <c r="T200">
        <v>280.8652010160161</v>
      </c>
    </row>
    <row r="201" spans="1:20" x14ac:dyDescent="0.25">
      <c r="A201" s="1" t="s">
        <v>28</v>
      </c>
      <c r="B201">
        <v>2019</v>
      </c>
      <c r="C201">
        <v>2675.6698799999999</v>
      </c>
      <c r="D201">
        <v>2657.00488</v>
      </c>
      <c r="E201">
        <v>18.664999999999999</v>
      </c>
      <c r="F201">
        <v>2.714552041205804</v>
      </c>
      <c r="G201">
        <v>-4.0147909531599302</v>
      </c>
      <c r="H201">
        <v>-1.300238911954126</v>
      </c>
      <c r="I201">
        <v>0.42354688399444601</v>
      </c>
      <c r="J201">
        <v>0.13883090152670791</v>
      </c>
      <c r="K201">
        <v>5.649214080255973E-2</v>
      </c>
      <c r="L201" t="s">
        <v>96</v>
      </c>
      <c r="M201">
        <v>7263.2451343468874</v>
      </c>
      <c r="N201">
        <v>-10742.255227866521</v>
      </c>
      <c r="O201">
        <v>-3479.0100935196278</v>
      </c>
      <c r="P201">
        <v>1133.2716402717931</v>
      </c>
      <c r="Q201">
        <v>371.4656616282582</v>
      </c>
      <c r="R201">
        <v>150.09989379404831</v>
      </c>
      <c r="S201" t="s">
        <v>96</v>
      </c>
      <c r="T201">
        <v>6688.6339586942113</v>
      </c>
    </row>
    <row r="202" spans="1:20" x14ac:dyDescent="0.25">
      <c r="A202" s="1" t="s">
        <v>28</v>
      </c>
      <c r="B202">
        <v>2020</v>
      </c>
      <c r="C202">
        <v>2677.3289799999998</v>
      </c>
      <c r="D202">
        <v>2658.6639799999998</v>
      </c>
      <c r="E202">
        <v>18.664999999999999</v>
      </c>
      <c r="F202">
        <v>2.6888262960282252</v>
      </c>
      <c r="G202">
        <v>-4.364058263018074</v>
      </c>
      <c r="H202">
        <v>-1.675231966989849</v>
      </c>
      <c r="I202">
        <v>0.4294633783437567</v>
      </c>
      <c r="J202">
        <v>0.1365193307329606</v>
      </c>
      <c r="K202">
        <v>5.7827433707782407E-2</v>
      </c>
      <c r="L202" t="s">
        <v>96</v>
      </c>
      <c r="M202">
        <v>7198.8725645424256</v>
      </c>
      <c r="N202">
        <v>-11684.01965798675</v>
      </c>
      <c r="O202">
        <v>-4485.1470934443259</v>
      </c>
      <c r="P202">
        <v>1149.8147486884441</v>
      </c>
      <c r="Q202">
        <v>365.50716050156018</v>
      </c>
      <c r="R202">
        <v>153.74371505471899</v>
      </c>
      <c r="S202" t="s">
        <v>96</v>
      </c>
      <c r="T202">
        <v>10325.63205373281</v>
      </c>
    </row>
    <row r="203" spans="1:20" x14ac:dyDescent="0.25">
      <c r="A203" s="1" t="s">
        <v>28</v>
      </c>
      <c r="B203">
        <v>2021</v>
      </c>
      <c r="C203">
        <v>2678.8041499999999</v>
      </c>
      <c r="D203">
        <v>2657.98767</v>
      </c>
      <c r="E203">
        <v>20.816479999999999</v>
      </c>
      <c r="F203">
        <v>2.6623416960557469</v>
      </c>
      <c r="G203">
        <v>-3.7079640896536019</v>
      </c>
      <c r="H203">
        <v>-1.045622393597855</v>
      </c>
      <c r="I203">
        <v>0.21802063150346579</v>
      </c>
      <c r="J203">
        <v>7.1355294454184232E-2</v>
      </c>
      <c r="K203">
        <v>5.0725686976583188E-2</v>
      </c>
      <c r="L203" t="s">
        <v>96</v>
      </c>
      <c r="M203">
        <v>7131.8919841121733</v>
      </c>
      <c r="N203">
        <v>-9932.9095914150403</v>
      </c>
      <c r="O203">
        <v>-2801.017607302867</v>
      </c>
      <c r="P203">
        <v>584.03457245710479</v>
      </c>
      <c r="Q203">
        <v>191.1468589083407</v>
      </c>
      <c r="R203">
        <v>134.8282505360377</v>
      </c>
      <c r="S203" t="s">
        <v>96</v>
      </c>
      <c r="T203">
        <v>6933.6957264723706</v>
      </c>
    </row>
    <row r="204" spans="1:20" x14ac:dyDescent="0.25">
      <c r="A204" s="1" t="s">
        <v>28</v>
      </c>
      <c r="B204">
        <v>2022</v>
      </c>
      <c r="C204">
        <v>2680.3719799999999</v>
      </c>
      <c r="D204">
        <v>2659.5554999999999</v>
      </c>
      <c r="E204">
        <v>20.816479999999999</v>
      </c>
      <c r="F204">
        <v>2.6457636819241261</v>
      </c>
      <c r="G204">
        <v>-3.12300571151974</v>
      </c>
      <c r="H204">
        <v>-0.47724202959561401</v>
      </c>
      <c r="I204">
        <v>6.1131797452824023E-2</v>
      </c>
      <c r="J204">
        <v>2.3521754099858891E-2</v>
      </c>
      <c r="K204">
        <v>4.6012406955611533E-2</v>
      </c>
      <c r="L204" t="s">
        <v>96</v>
      </c>
      <c r="M204">
        <v>7091.6308387310601</v>
      </c>
      <c r="N204">
        <v>-8370.8170025374748</v>
      </c>
      <c r="O204">
        <v>-1279.1861638064149</v>
      </c>
      <c r="P204">
        <v>163.8559569795849</v>
      </c>
      <c r="Q204">
        <v>63.04705060971191</v>
      </c>
      <c r="R204">
        <v>122.3725499870349</v>
      </c>
      <c r="S204" t="s">
        <v>96</v>
      </c>
      <c r="T204">
        <v>3409.672222843948</v>
      </c>
    </row>
    <row r="205" spans="1:20" x14ac:dyDescent="0.25">
      <c r="A205" s="1" t="s">
        <v>28</v>
      </c>
      <c r="B205">
        <v>2023</v>
      </c>
      <c r="C205">
        <v>2681.7636899999989</v>
      </c>
      <c r="D205">
        <v>2660.92805</v>
      </c>
      <c r="E205">
        <v>20.835640000000001</v>
      </c>
      <c r="F205">
        <v>2.6427036409875031</v>
      </c>
      <c r="G205">
        <v>-2.3331285703842299</v>
      </c>
      <c r="H205">
        <v>0.30957507060327227</v>
      </c>
      <c r="I205">
        <v>-0.11858157261340931</v>
      </c>
      <c r="J205">
        <v>-2.5596388376276449E-2</v>
      </c>
      <c r="K205">
        <v>4.3161241557850442E-2</v>
      </c>
      <c r="L205" t="s">
        <v>96</v>
      </c>
      <c r="M205">
        <v>7087.106667831079</v>
      </c>
      <c r="N205">
        <v>-6256.899484158037</v>
      </c>
      <c r="O205">
        <v>830.20718367304198</v>
      </c>
      <c r="P205">
        <v>-318.0077557377395</v>
      </c>
      <c r="Q205">
        <v>-68.643464942636214</v>
      </c>
      <c r="R205">
        <v>114.84895833410989</v>
      </c>
      <c r="S205" t="s">
        <v>96</v>
      </c>
      <c r="T205">
        <v>-2047.4847115316991</v>
      </c>
    </row>
    <row r="206" spans="1:20" x14ac:dyDescent="0.25">
      <c r="A206" s="1" t="s">
        <v>29</v>
      </c>
      <c r="B206">
        <v>1990</v>
      </c>
      <c r="C206">
        <v>10673.066999999999</v>
      </c>
      <c r="D206">
        <v>10405.878000000001</v>
      </c>
      <c r="E206">
        <v>267.18900000000002</v>
      </c>
      <c r="F206">
        <v>0.30822555824300552</v>
      </c>
      <c r="G206">
        <v>-2.762762932154365E-2</v>
      </c>
      <c r="H206">
        <v>0.28059792892146179</v>
      </c>
      <c r="I206">
        <v>6.5382133023244401E-2</v>
      </c>
      <c r="J206" t="s">
        <v>96</v>
      </c>
      <c r="K206">
        <v>0.39651749298713668</v>
      </c>
      <c r="L206">
        <v>-2.8908452443775752</v>
      </c>
      <c r="M206">
        <v>3289.7120342399999</v>
      </c>
      <c r="N206">
        <v>-294.8715388</v>
      </c>
      <c r="O206">
        <v>2994.8404954399998</v>
      </c>
      <c r="P206">
        <v>697.82788636000009</v>
      </c>
      <c r="Q206" t="s">
        <v>96</v>
      </c>
      <c r="R206">
        <v>4126.1126568899999</v>
      </c>
      <c r="S206">
        <v>-772.40204999999992</v>
      </c>
      <c r="T206">
        <v>-25836.722958532351</v>
      </c>
    </row>
    <row r="207" spans="1:20" x14ac:dyDescent="0.25">
      <c r="A207" s="1" t="s">
        <v>29</v>
      </c>
      <c r="B207">
        <v>1991</v>
      </c>
      <c r="C207">
        <v>10683.56</v>
      </c>
      <c r="D207">
        <v>10416.073</v>
      </c>
      <c r="E207">
        <v>267.48700000000002</v>
      </c>
      <c r="F207">
        <v>1.734547741916552</v>
      </c>
      <c r="G207">
        <v>-2.723298801897495E-2</v>
      </c>
      <c r="H207">
        <v>1.707314753897577</v>
      </c>
      <c r="I207">
        <v>2.87664053555182E-2</v>
      </c>
      <c r="J207" t="s">
        <v>96</v>
      </c>
      <c r="K207">
        <v>0.39673912858809651</v>
      </c>
      <c r="L207">
        <v>-2.8943999521472068</v>
      </c>
      <c r="M207">
        <v>18531.144873630001</v>
      </c>
      <c r="N207">
        <v>-290.94526148</v>
      </c>
      <c r="O207">
        <v>18240.199612150001</v>
      </c>
      <c r="P207">
        <v>307.3276176</v>
      </c>
      <c r="Q207" t="s">
        <v>96</v>
      </c>
      <c r="R207">
        <v>4132.4637253299998</v>
      </c>
      <c r="S207">
        <v>-774.21435999999994</v>
      </c>
      <c r="T207">
        <v>-80321.180848633972</v>
      </c>
    </row>
    <row r="208" spans="1:20" x14ac:dyDescent="0.25">
      <c r="A208" s="1" t="s">
        <v>29</v>
      </c>
      <c r="B208">
        <v>1992</v>
      </c>
      <c r="C208">
        <v>10694.045</v>
      </c>
      <c r="D208">
        <v>10426.263999999999</v>
      </c>
      <c r="E208">
        <v>267.78100000000001</v>
      </c>
      <c r="F208">
        <v>1.8467411018973641</v>
      </c>
      <c r="G208">
        <v>-2.7353504840310659E-2</v>
      </c>
      <c r="H208">
        <v>1.8193875970570541</v>
      </c>
      <c r="I208">
        <v>2.5886501863420251E-2</v>
      </c>
      <c r="J208" t="s">
        <v>96</v>
      </c>
      <c r="K208">
        <v>0.39667693179263452</v>
      </c>
      <c r="L208">
        <v>-2.893687080113974</v>
      </c>
      <c r="M208">
        <v>19749.13244704</v>
      </c>
      <c r="N208">
        <v>-292.51961167000002</v>
      </c>
      <c r="O208">
        <v>19456.612835370001</v>
      </c>
      <c r="P208">
        <v>276.83141582000002</v>
      </c>
      <c r="Q208" t="s">
        <v>96</v>
      </c>
      <c r="R208">
        <v>4135.8584135800002</v>
      </c>
      <c r="S208">
        <v>-774.87441999999999</v>
      </c>
      <c r="T208">
        <v>-84679.570230831043</v>
      </c>
    </row>
    <row r="209" spans="1:20" x14ac:dyDescent="0.25">
      <c r="A209" s="1" t="s">
        <v>29</v>
      </c>
      <c r="B209">
        <v>1993</v>
      </c>
      <c r="C209">
        <v>10704.522000000001</v>
      </c>
      <c r="D209">
        <v>10436.448</v>
      </c>
      <c r="E209">
        <v>268.07400000000001</v>
      </c>
      <c r="F209">
        <v>1.8478324208133721</v>
      </c>
      <c r="G209">
        <v>-2.7678425540159569E-2</v>
      </c>
      <c r="H209">
        <v>1.820153995273212</v>
      </c>
      <c r="I209">
        <v>2.5858781974571119E-2</v>
      </c>
      <c r="J209" t="s">
        <v>96</v>
      </c>
      <c r="K209">
        <v>0.39709660510740818</v>
      </c>
      <c r="L209">
        <v>-2.8833500078336578</v>
      </c>
      <c r="M209">
        <v>19780.162800909999</v>
      </c>
      <c r="N209">
        <v>-296.28431511999997</v>
      </c>
      <c r="O209">
        <v>19483.878485789999</v>
      </c>
      <c r="P209">
        <v>276.80590053999998</v>
      </c>
      <c r="Q209" t="s">
        <v>96</v>
      </c>
      <c r="R209">
        <v>4144.2780701800002</v>
      </c>
      <c r="S209">
        <v>-772.95116999999993</v>
      </c>
      <c r="T209">
        <v>-84817.374717211045</v>
      </c>
    </row>
    <row r="210" spans="1:20" x14ac:dyDescent="0.25">
      <c r="A210" s="1" t="s">
        <v>29</v>
      </c>
      <c r="B210">
        <v>1994</v>
      </c>
      <c r="C210">
        <v>10714.992</v>
      </c>
      <c r="D210">
        <v>10446.630999999999</v>
      </c>
      <c r="E210">
        <v>268.36099999999999</v>
      </c>
      <c r="F210">
        <v>1.638824591317473</v>
      </c>
      <c r="G210">
        <v>-2.7471551746375542E-2</v>
      </c>
      <c r="H210">
        <v>1.611353039571098</v>
      </c>
      <c r="I210">
        <v>3.1224642423438111E-2</v>
      </c>
      <c r="J210" t="s">
        <v>96</v>
      </c>
      <c r="K210">
        <v>0.39728880363631108</v>
      </c>
      <c r="L210">
        <v>-2.8886728324905628</v>
      </c>
      <c r="M210">
        <v>17559.992385369998</v>
      </c>
      <c r="N210">
        <v>-294.35745718999999</v>
      </c>
      <c r="O210">
        <v>17265.634928179999</v>
      </c>
      <c r="P210">
        <v>334.57179377</v>
      </c>
      <c r="Q210" t="s">
        <v>96</v>
      </c>
      <c r="R210">
        <v>4150.3295320200004</v>
      </c>
      <c r="S210">
        <v>-775.20713000000001</v>
      </c>
      <c r="T210">
        <v>-76909.540121230326</v>
      </c>
    </row>
    <row r="211" spans="1:20" x14ac:dyDescent="0.25">
      <c r="A211" s="1" t="s">
        <v>29</v>
      </c>
      <c r="B211">
        <v>1995</v>
      </c>
      <c r="C211">
        <v>10725.457</v>
      </c>
      <c r="D211">
        <v>10456.811</v>
      </c>
      <c r="E211">
        <v>268.64600000000002</v>
      </c>
      <c r="F211">
        <v>1.419847010909651</v>
      </c>
      <c r="G211">
        <v>-2.7717922001831711E-2</v>
      </c>
      <c r="H211">
        <v>1.3921290889078199</v>
      </c>
      <c r="I211">
        <v>3.6846448170926423E-2</v>
      </c>
      <c r="J211" t="s">
        <v>96</v>
      </c>
      <c r="K211">
        <v>0.3972958010879224</v>
      </c>
      <c r="L211">
        <v>-2.8886202288513512</v>
      </c>
      <c r="M211">
        <v>15228.508062090001</v>
      </c>
      <c r="N211">
        <v>-297.28738055999997</v>
      </c>
      <c r="O211">
        <v>14931.22068153</v>
      </c>
      <c r="P211">
        <v>395.19499545999997</v>
      </c>
      <c r="Q211" t="s">
        <v>96</v>
      </c>
      <c r="R211">
        <v>4154.4471030699997</v>
      </c>
      <c r="S211">
        <v>-776.01626999999996</v>
      </c>
      <c r="T211">
        <v>-68584.437203559573</v>
      </c>
    </row>
    <row r="212" spans="1:20" x14ac:dyDescent="0.25">
      <c r="A212" s="1" t="s">
        <v>29</v>
      </c>
      <c r="B212">
        <v>1996</v>
      </c>
      <c r="C212">
        <v>10735.921</v>
      </c>
      <c r="D212">
        <v>10466.991</v>
      </c>
      <c r="E212">
        <v>268.93</v>
      </c>
      <c r="F212">
        <v>1.5172799671197279</v>
      </c>
      <c r="G212">
        <v>-2.7636599294089442E-2</v>
      </c>
      <c r="H212">
        <v>1.4896433678256391</v>
      </c>
      <c r="I212">
        <v>3.4345481655463E-2</v>
      </c>
      <c r="J212" t="s">
        <v>96</v>
      </c>
      <c r="K212">
        <v>0.39759175864295671</v>
      </c>
      <c r="L212">
        <v>-2.895023240248392</v>
      </c>
      <c r="M212">
        <v>16289.397861879999</v>
      </c>
      <c r="N212">
        <v>-296.70434673</v>
      </c>
      <c r="O212">
        <v>15992.69351515</v>
      </c>
      <c r="P212">
        <v>368.73037776000001</v>
      </c>
      <c r="Q212" t="s">
        <v>96</v>
      </c>
      <c r="R212">
        <v>4161.58935939</v>
      </c>
      <c r="S212">
        <v>-778.55859999999996</v>
      </c>
      <c r="T212">
        <v>-72396.333725106582</v>
      </c>
    </row>
    <row r="213" spans="1:20" x14ac:dyDescent="0.25">
      <c r="A213" s="1" t="s">
        <v>29</v>
      </c>
      <c r="B213">
        <v>1997</v>
      </c>
      <c r="C213">
        <v>10746.379000000001</v>
      </c>
      <c r="D213">
        <v>10477.168</v>
      </c>
      <c r="E213">
        <v>269.21100000000001</v>
      </c>
      <c r="F213">
        <v>1.495571892316472</v>
      </c>
      <c r="G213">
        <v>-2.7627841899117839E-2</v>
      </c>
      <c r="H213">
        <v>1.4679440504173551</v>
      </c>
      <c r="I213">
        <v>3.4903071222408967E-2</v>
      </c>
      <c r="J213" t="s">
        <v>96</v>
      </c>
      <c r="K213">
        <v>0.39785488490783011</v>
      </c>
      <c r="L213">
        <v>-2.89446460211507</v>
      </c>
      <c r="M213">
        <v>16071.982376579999</v>
      </c>
      <c r="N213">
        <v>-296.89926000000003</v>
      </c>
      <c r="O213">
        <v>15775.083116579999</v>
      </c>
      <c r="P213">
        <v>375.08163162</v>
      </c>
      <c r="Q213" t="s">
        <v>96</v>
      </c>
      <c r="R213">
        <v>4168.3924687999997</v>
      </c>
      <c r="S213">
        <v>-779.22170999999992</v>
      </c>
      <c r="T213">
        <v>-71644.230192339834</v>
      </c>
    </row>
    <row r="214" spans="1:20" x14ac:dyDescent="0.25">
      <c r="A214" s="1" t="s">
        <v>29</v>
      </c>
      <c r="B214">
        <v>1998</v>
      </c>
      <c r="C214">
        <v>10756.83</v>
      </c>
      <c r="D214">
        <v>10487.341</v>
      </c>
      <c r="E214">
        <v>269.48899999999998</v>
      </c>
      <c r="F214">
        <v>1.407898700289026</v>
      </c>
      <c r="G214">
        <v>-2.7577059445952009E-2</v>
      </c>
      <c r="H214">
        <v>1.3803216408430741</v>
      </c>
      <c r="I214">
        <v>3.7154092345979252E-2</v>
      </c>
      <c r="J214" t="s">
        <v>96</v>
      </c>
      <c r="K214">
        <v>0.39757983625782739</v>
      </c>
      <c r="L214">
        <v>-2.8795467347090229</v>
      </c>
      <c r="M214">
        <v>15144.526976229999</v>
      </c>
      <c r="N214">
        <v>-296.64174035999997</v>
      </c>
      <c r="O214">
        <v>14847.885235870001</v>
      </c>
      <c r="P214">
        <v>399.66025517000003</v>
      </c>
      <c r="Q214" t="s">
        <v>96</v>
      </c>
      <c r="R214">
        <v>4169.5553175599998</v>
      </c>
      <c r="S214">
        <v>-776.00616998999999</v>
      </c>
      <c r="T214">
        <v>-68350.680341576212</v>
      </c>
    </row>
    <row r="215" spans="1:20" x14ac:dyDescent="0.25">
      <c r="A215" s="1" t="s">
        <v>29</v>
      </c>
      <c r="B215">
        <v>1999</v>
      </c>
      <c r="C215">
        <v>10767.272999999999</v>
      </c>
      <c r="D215">
        <v>10497.51</v>
      </c>
      <c r="E215">
        <v>269.76299999999998</v>
      </c>
      <c r="F215">
        <v>1.459264068535274</v>
      </c>
      <c r="G215">
        <v>-2.741278944445822E-2</v>
      </c>
      <c r="H215">
        <v>1.4318512790908151</v>
      </c>
      <c r="I215">
        <v>3.5835777011505143E-2</v>
      </c>
      <c r="J215" t="s">
        <v>96</v>
      </c>
      <c r="K215">
        <v>0.39816926133340191</v>
      </c>
      <c r="L215">
        <v>-2.8908871490901271</v>
      </c>
      <c r="M215">
        <v>15712.29460501</v>
      </c>
      <c r="N215">
        <v>-295.16098763999997</v>
      </c>
      <c r="O215">
        <v>15417.13361737</v>
      </c>
      <c r="P215">
        <v>385.85359425000001</v>
      </c>
      <c r="Q215" t="s">
        <v>96</v>
      </c>
      <c r="R215">
        <v>4179.7858025400001</v>
      </c>
      <c r="S215">
        <v>-779.85439000000008</v>
      </c>
      <c r="T215">
        <v>-70410.701621926419</v>
      </c>
    </row>
    <row r="216" spans="1:20" x14ac:dyDescent="0.25">
      <c r="A216" s="1" t="s">
        <v>29</v>
      </c>
      <c r="B216">
        <v>2000</v>
      </c>
      <c r="C216">
        <v>10777.714</v>
      </c>
      <c r="D216">
        <v>10507.678</v>
      </c>
      <c r="E216">
        <v>270.036</v>
      </c>
      <c r="F216">
        <v>0.98728322403062463</v>
      </c>
      <c r="G216">
        <v>-2.756478327500618E-2</v>
      </c>
      <c r="H216">
        <v>0.95971844075561852</v>
      </c>
      <c r="I216">
        <v>4.795261134040113E-2</v>
      </c>
      <c r="J216" t="s">
        <v>96</v>
      </c>
      <c r="K216">
        <v>0.39782056304066421</v>
      </c>
      <c r="L216">
        <v>-2.8899872609577981</v>
      </c>
      <c r="M216">
        <v>10640.6562256</v>
      </c>
      <c r="N216">
        <v>-297.08535060999998</v>
      </c>
      <c r="O216">
        <v>10343.57087499</v>
      </c>
      <c r="P216">
        <v>516.81953057999999</v>
      </c>
      <c r="Q216" t="s">
        <v>96</v>
      </c>
      <c r="R216">
        <v>4180.1703782100003</v>
      </c>
      <c r="S216">
        <v>-780.40059999999994</v>
      </c>
      <c r="T216">
        <v>-52287.254007198091</v>
      </c>
    </row>
    <row r="217" spans="1:20" x14ac:dyDescent="0.25">
      <c r="A217" s="1" t="s">
        <v>29</v>
      </c>
      <c r="B217">
        <v>2001</v>
      </c>
      <c r="C217">
        <v>10779.374</v>
      </c>
      <c r="D217">
        <v>10508.869000000001</v>
      </c>
      <c r="E217">
        <v>270.505</v>
      </c>
      <c r="F217">
        <v>1.4036512305816651</v>
      </c>
      <c r="G217">
        <v>-2.8800485708168219E-2</v>
      </c>
      <c r="H217">
        <v>1.3748507448734959</v>
      </c>
      <c r="I217">
        <v>3.7269534235476007E-2</v>
      </c>
      <c r="J217" t="s">
        <v>96</v>
      </c>
      <c r="K217">
        <v>0.39828668384200039</v>
      </c>
      <c r="L217">
        <v>-2.8828340326426498</v>
      </c>
      <c r="M217">
        <v>15130.48158</v>
      </c>
      <c r="N217">
        <v>-310.45120682999999</v>
      </c>
      <c r="O217">
        <v>14820.030373170001</v>
      </c>
      <c r="P217">
        <v>401.74224833</v>
      </c>
      <c r="Q217" t="s">
        <v>96</v>
      </c>
      <c r="R217">
        <v>4185.5425849399999</v>
      </c>
      <c r="S217">
        <v>-779.82101999999998</v>
      </c>
      <c r="T217">
        <v>-68300.81201695287</v>
      </c>
    </row>
    <row r="218" spans="1:20" x14ac:dyDescent="0.25">
      <c r="A218" s="1" t="s">
        <v>29</v>
      </c>
      <c r="B218">
        <v>2002</v>
      </c>
      <c r="C218">
        <v>10781.008</v>
      </c>
      <c r="D218">
        <v>10510.04</v>
      </c>
      <c r="E218">
        <v>270.96800000000002</v>
      </c>
      <c r="F218">
        <v>0.49554673558075463</v>
      </c>
      <c r="G218">
        <v>-2.8951533488334302E-2</v>
      </c>
      <c r="H218">
        <v>0.46659520209242028</v>
      </c>
      <c r="I218">
        <v>8.6833218942978241E-2</v>
      </c>
      <c r="J218" t="s">
        <v>96</v>
      </c>
      <c r="K218">
        <v>0.39796197807429851</v>
      </c>
      <c r="L218">
        <v>-2.8773181334696352</v>
      </c>
      <c r="M218">
        <v>5342.4933206699998</v>
      </c>
      <c r="N218">
        <v>-312.12671415</v>
      </c>
      <c r="O218">
        <v>5030.3666065199996</v>
      </c>
      <c r="P218">
        <v>936.14962808999996</v>
      </c>
      <c r="Q218" t="s">
        <v>96</v>
      </c>
      <c r="R218">
        <v>4182.5963080399997</v>
      </c>
      <c r="S218">
        <v>-779.66113999000004</v>
      </c>
      <c r="T218">
        <v>-34354.655143089803</v>
      </c>
    </row>
    <row r="219" spans="1:20" x14ac:dyDescent="0.25">
      <c r="A219" s="1" t="s">
        <v>29</v>
      </c>
      <c r="B219">
        <v>2003</v>
      </c>
      <c r="C219">
        <v>10782.621999999999</v>
      </c>
      <c r="D219">
        <v>10511.197</v>
      </c>
      <c r="E219">
        <v>271.42500000000001</v>
      </c>
      <c r="F219">
        <v>0.51164280424278996</v>
      </c>
      <c r="G219">
        <v>-2.854396796437823E-2</v>
      </c>
      <c r="H219">
        <v>0.48309883627841171</v>
      </c>
      <c r="I219">
        <v>8.3465798774175717E-2</v>
      </c>
      <c r="J219" t="s">
        <v>96</v>
      </c>
      <c r="K219">
        <v>0.39786861490370701</v>
      </c>
      <c r="L219">
        <v>-2.8990237450492771</v>
      </c>
      <c r="M219">
        <v>5516.8509571699997</v>
      </c>
      <c r="N219">
        <v>-307.77881694000001</v>
      </c>
      <c r="O219">
        <v>5209.0721402299996</v>
      </c>
      <c r="P219">
        <v>899.98015811000005</v>
      </c>
      <c r="Q219" t="s">
        <v>96</v>
      </c>
      <c r="R219">
        <v>4182.07539137</v>
      </c>
      <c r="S219">
        <v>-786.86752000000001</v>
      </c>
      <c r="T219">
        <v>-34848.953955606499</v>
      </c>
    </row>
    <row r="220" spans="1:20" x14ac:dyDescent="0.25">
      <c r="A220" s="1" t="s">
        <v>29</v>
      </c>
      <c r="B220">
        <v>2004</v>
      </c>
      <c r="C220">
        <v>10784.227999999999</v>
      </c>
      <c r="D220">
        <v>10512.352000000001</v>
      </c>
      <c r="E220">
        <v>271.87599999999998</v>
      </c>
      <c r="F220">
        <v>0.48780744468774212</v>
      </c>
      <c r="G220">
        <v>-2.8957210930629439E-2</v>
      </c>
      <c r="H220">
        <v>0.45885023375711259</v>
      </c>
      <c r="I220">
        <v>8.8535538489171395E-2</v>
      </c>
      <c r="J220" t="s">
        <v>96</v>
      </c>
      <c r="K220">
        <v>0.39805349913321009</v>
      </c>
      <c r="L220">
        <v>-2.8877838058526679</v>
      </c>
      <c r="M220">
        <v>5260.6267036099998</v>
      </c>
      <c r="N220">
        <v>-312.28116491999998</v>
      </c>
      <c r="O220">
        <v>4948.3455386899996</v>
      </c>
      <c r="P220">
        <v>954.78743316999999</v>
      </c>
      <c r="Q220" t="s">
        <v>96</v>
      </c>
      <c r="R220">
        <v>4184.4784977199997</v>
      </c>
      <c r="S220">
        <v>-785.11911000000009</v>
      </c>
      <c r="T220">
        <v>-34109.138651796427</v>
      </c>
    </row>
    <row r="221" spans="1:20" x14ac:dyDescent="0.25">
      <c r="A221" s="1" t="s">
        <v>29</v>
      </c>
      <c r="B221">
        <v>2005</v>
      </c>
      <c r="C221">
        <v>10785.817999999999</v>
      </c>
      <c r="D221">
        <v>10513.499</v>
      </c>
      <c r="E221">
        <v>272.31900000000002</v>
      </c>
      <c r="F221">
        <v>0.46852900604478948</v>
      </c>
      <c r="G221">
        <v>-2.904890870771229E-2</v>
      </c>
      <c r="H221">
        <v>0.43948009733707721</v>
      </c>
      <c r="I221">
        <v>9.2642608790543299E-2</v>
      </c>
      <c r="J221" t="s">
        <v>96</v>
      </c>
      <c r="K221">
        <v>0.39785454770861728</v>
      </c>
      <c r="L221">
        <v>-2.890397144525354</v>
      </c>
      <c r="M221">
        <v>5053.4685869199993</v>
      </c>
      <c r="N221">
        <v>-313.31624241999992</v>
      </c>
      <c r="O221">
        <v>4740.1523444999993</v>
      </c>
      <c r="P221">
        <v>999.22631746000002</v>
      </c>
      <c r="Q221" t="s">
        <v>96</v>
      </c>
      <c r="R221">
        <v>4182.84338948</v>
      </c>
      <c r="S221">
        <v>-787.11005999999998</v>
      </c>
      <c r="T221">
        <v>-33495.410635283049</v>
      </c>
    </row>
    <row r="222" spans="1:20" x14ac:dyDescent="0.25">
      <c r="A222" s="1" t="s">
        <v>29</v>
      </c>
      <c r="B222">
        <v>2006</v>
      </c>
      <c r="C222">
        <v>10790.109</v>
      </c>
      <c r="D222">
        <v>10516.984</v>
      </c>
      <c r="E222">
        <v>273.125</v>
      </c>
      <c r="F222">
        <v>0.43009662667170462</v>
      </c>
      <c r="G222">
        <v>-2.4015435284296019E-2</v>
      </c>
      <c r="H222">
        <v>0.4060811913874085</v>
      </c>
      <c r="I222">
        <v>0.1007839662713324</v>
      </c>
      <c r="J222" t="s">
        <v>96</v>
      </c>
      <c r="K222">
        <v>0.39776851772523381</v>
      </c>
      <c r="L222">
        <v>-2.893246864988559</v>
      </c>
      <c r="M222">
        <v>4640.7894823199986</v>
      </c>
      <c r="N222">
        <v>-259.12916439999998</v>
      </c>
      <c r="O222">
        <v>4381.6603179199992</v>
      </c>
      <c r="P222">
        <v>1087.4699815199999</v>
      </c>
      <c r="Q222" t="s">
        <v>96</v>
      </c>
      <c r="R222">
        <v>4183.3251366200002</v>
      </c>
      <c r="S222">
        <v>-790.21805000000006</v>
      </c>
      <c r="T222">
        <v>-32494.870415556288</v>
      </c>
    </row>
    <row r="223" spans="1:20" x14ac:dyDescent="0.25">
      <c r="A223" s="1" t="s">
        <v>29</v>
      </c>
      <c r="B223">
        <v>2007</v>
      </c>
      <c r="C223">
        <v>10794.353999999999</v>
      </c>
      <c r="D223">
        <v>10520.445</v>
      </c>
      <c r="E223">
        <v>273.90899999999999</v>
      </c>
      <c r="F223">
        <v>0.33373912275621131</v>
      </c>
      <c r="G223">
        <v>-2.4632554675342311E-2</v>
      </c>
      <c r="H223">
        <v>0.309106568080869</v>
      </c>
      <c r="I223">
        <v>0.1211646963523709</v>
      </c>
      <c r="J223" t="s">
        <v>96</v>
      </c>
      <c r="K223">
        <v>0.39795002241064897</v>
      </c>
      <c r="L223">
        <v>-2.879615565717081</v>
      </c>
      <c r="M223">
        <v>3602.4982346800002</v>
      </c>
      <c r="N223">
        <v>-265.89251509000002</v>
      </c>
      <c r="O223">
        <v>3336.6057195899998</v>
      </c>
      <c r="P223">
        <v>1307.89462473</v>
      </c>
      <c r="Q223" t="s">
        <v>96</v>
      </c>
      <c r="R223">
        <v>4186.61132352</v>
      </c>
      <c r="S223">
        <v>-788.75261998999997</v>
      </c>
      <c r="T223">
        <v>-29488.649842119339</v>
      </c>
    </row>
    <row r="224" spans="1:20" x14ac:dyDescent="0.25">
      <c r="A224" s="1" t="s">
        <v>29</v>
      </c>
      <c r="B224">
        <v>2008</v>
      </c>
      <c r="C224">
        <v>10798.566999999999</v>
      </c>
      <c r="D224">
        <v>10523.884</v>
      </c>
      <c r="E224">
        <v>274.68299999999999</v>
      </c>
      <c r="F224">
        <v>1.1803239487230111</v>
      </c>
      <c r="G224">
        <v>-2.549832774848737E-2</v>
      </c>
      <c r="H224">
        <v>1.154825620974524</v>
      </c>
      <c r="I224">
        <v>-0.18291495969789329</v>
      </c>
      <c r="J224" t="s">
        <v>96</v>
      </c>
      <c r="K224">
        <v>0.39773815936302598</v>
      </c>
      <c r="L224">
        <v>-2.8922732750115592</v>
      </c>
      <c r="M224">
        <v>12745.80724199</v>
      </c>
      <c r="N224">
        <v>-275.34540057999999</v>
      </c>
      <c r="O224">
        <v>12470.46184141</v>
      </c>
      <c r="P224">
        <v>-1975.2194476</v>
      </c>
      <c r="Q224" t="s">
        <v>96</v>
      </c>
      <c r="R224">
        <v>4185.7502515100005</v>
      </c>
      <c r="S224">
        <v>-794.45830000000001</v>
      </c>
      <c r="T224">
        <v>-50917.292599511289</v>
      </c>
    </row>
    <row r="225" spans="1:20" x14ac:dyDescent="0.25">
      <c r="A225" s="1" t="s">
        <v>29</v>
      </c>
      <c r="B225">
        <v>2009</v>
      </c>
      <c r="C225">
        <v>10802.754999999999</v>
      </c>
      <c r="D225">
        <v>10527.302</v>
      </c>
      <c r="E225">
        <v>275.45299999999997</v>
      </c>
      <c r="F225">
        <v>1.27035956755013</v>
      </c>
      <c r="G225">
        <v>-2.7017880600828222E-2</v>
      </c>
      <c r="H225">
        <v>1.243341686949301</v>
      </c>
      <c r="I225">
        <v>-0.19789486252442079</v>
      </c>
      <c r="J225" t="s">
        <v>96</v>
      </c>
      <c r="K225">
        <v>0.26067572645393849</v>
      </c>
      <c r="L225">
        <v>-2.8926300675614338</v>
      </c>
      <c r="M225">
        <v>13723.38317015</v>
      </c>
      <c r="N225">
        <v>-291.86754474999998</v>
      </c>
      <c r="O225">
        <v>13431.515625399999</v>
      </c>
      <c r="P225">
        <v>-2137.8097156099998</v>
      </c>
      <c r="Q225" t="s">
        <v>96</v>
      </c>
      <c r="R225">
        <v>2744.21209645</v>
      </c>
      <c r="S225">
        <v>-796.7836299999999</v>
      </c>
      <c r="T225">
        <v>-48550.82604621775</v>
      </c>
    </row>
    <row r="226" spans="1:20" x14ac:dyDescent="0.25">
      <c r="A226" s="1" t="s">
        <v>29</v>
      </c>
      <c r="B226">
        <v>2010</v>
      </c>
      <c r="C226">
        <v>10806.924999999999</v>
      </c>
      <c r="D226">
        <v>10530.709000000001</v>
      </c>
      <c r="E226">
        <v>276.21600000000001</v>
      </c>
      <c r="F226">
        <v>1.130007602033881</v>
      </c>
      <c r="G226">
        <v>-2.8301681973364301E-2</v>
      </c>
      <c r="H226">
        <v>1.101705920060517</v>
      </c>
      <c r="I226">
        <v>-0.17495371263425999</v>
      </c>
      <c r="J226" t="s">
        <v>96</v>
      </c>
      <c r="K226">
        <v>0.17588074648345139</v>
      </c>
      <c r="L226">
        <v>-2.886215353201842</v>
      </c>
      <c r="M226">
        <v>12211.90740461</v>
      </c>
      <c r="N226">
        <v>-305.85415446000002</v>
      </c>
      <c r="O226">
        <v>11906.05325015</v>
      </c>
      <c r="P226">
        <v>-1890.7116509099999</v>
      </c>
      <c r="Q226" t="s">
        <v>96</v>
      </c>
      <c r="R226">
        <v>1852.1489599199999</v>
      </c>
      <c r="S226">
        <v>-797.21885999999995</v>
      </c>
      <c r="T226">
        <v>-40590.99623025702</v>
      </c>
    </row>
    <row r="227" spans="1:20" x14ac:dyDescent="0.25">
      <c r="A227" s="1" t="s">
        <v>29</v>
      </c>
      <c r="B227">
        <v>2011</v>
      </c>
      <c r="C227">
        <v>10809.583000000001</v>
      </c>
      <c r="D227">
        <v>10532.98</v>
      </c>
      <c r="E227">
        <v>276.60300000000001</v>
      </c>
      <c r="F227">
        <v>1.0838086330333001</v>
      </c>
      <c r="G227">
        <v>-1.9862493540222601E-2</v>
      </c>
      <c r="H227">
        <v>1.063946139493078</v>
      </c>
      <c r="I227">
        <v>-0.1676624295969604</v>
      </c>
      <c r="J227" t="s">
        <v>96</v>
      </c>
      <c r="K227">
        <v>0.37848907658896153</v>
      </c>
      <c r="L227">
        <v>-2.8894987400715109</v>
      </c>
      <c r="M227">
        <v>11715.51937489</v>
      </c>
      <c r="N227">
        <v>-214.70527250999999</v>
      </c>
      <c r="O227">
        <v>11500.81410238</v>
      </c>
      <c r="P227">
        <v>-1812.36094871</v>
      </c>
      <c r="Q227" t="s">
        <v>96</v>
      </c>
      <c r="R227">
        <v>3986.6178739299999</v>
      </c>
      <c r="S227">
        <v>-799.24402000000009</v>
      </c>
      <c r="T227">
        <v>-47211.365694537621</v>
      </c>
    </row>
    <row r="228" spans="1:20" x14ac:dyDescent="0.25">
      <c r="A228" s="1" t="s">
        <v>29</v>
      </c>
      <c r="B228">
        <v>2012</v>
      </c>
      <c r="C228">
        <v>10812.225</v>
      </c>
      <c r="D228">
        <v>10535.239</v>
      </c>
      <c r="E228">
        <v>276.98599999999999</v>
      </c>
      <c r="F228">
        <v>0.89928014735264938</v>
      </c>
      <c r="G228">
        <v>-2.1526880504244041E-2</v>
      </c>
      <c r="H228">
        <v>0.87775326684840527</v>
      </c>
      <c r="I228">
        <v>8.8250954785902072E-2</v>
      </c>
      <c r="J228" t="s">
        <v>96</v>
      </c>
      <c r="K228">
        <v>0.30586708954775488</v>
      </c>
      <c r="L228">
        <v>-2.891196847494097</v>
      </c>
      <c r="M228">
        <v>9723.2192912099999</v>
      </c>
      <c r="N228">
        <v>-232.75347556</v>
      </c>
      <c r="O228">
        <v>9490.4658156499991</v>
      </c>
      <c r="P228">
        <v>954.18917961</v>
      </c>
      <c r="Q228" t="s">
        <v>96</v>
      </c>
      <c r="R228">
        <v>3222.3828906200001</v>
      </c>
      <c r="S228">
        <v>-800.82105000000001</v>
      </c>
      <c r="T228">
        <v>-47176.128398230947</v>
      </c>
    </row>
    <row r="229" spans="1:20" x14ac:dyDescent="0.25">
      <c r="A229" s="1" t="s">
        <v>29</v>
      </c>
      <c r="B229">
        <v>2013</v>
      </c>
      <c r="C229">
        <v>10814.853999999999</v>
      </c>
      <c r="D229">
        <v>10537.49</v>
      </c>
      <c r="E229">
        <v>277.36399999999998</v>
      </c>
      <c r="F229">
        <v>1.072820775779312</v>
      </c>
      <c r="G229">
        <v>-2.2827364153043581E-2</v>
      </c>
      <c r="H229">
        <v>1.049993411626269</v>
      </c>
      <c r="I229">
        <v>7.7834588205259167E-2</v>
      </c>
      <c r="J229" t="s">
        <v>96</v>
      </c>
      <c r="K229">
        <v>0.31250497854992038</v>
      </c>
      <c r="L229">
        <v>-2.8897103445292101</v>
      </c>
      <c r="M229">
        <v>11602.400058220001</v>
      </c>
      <c r="N229">
        <v>-246.87461052</v>
      </c>
      <c r="O229">
        <v>11355.5254477</v>
      </c>
      <c r="P229">
        <v>841.76970758999994</v>
      </c>
      <c r="Q229" t="s">
        <v>96</v>
      </c>
      <c r="R229">
        <v>3293.0180864200001</v>
      </c>
      <c r="S229">
        <v>-801.50162</v>
      </c>
      <c r="T229">
        <v>-53858.975946274892</v>
      </c>
    </row>
    <row r="230" spans="1:20" x14ac:dyDescent="0.25">
      <c r="A230" s="1" t="s">
        <v>29</v>
      </c>
      <c r="B230">
        <v>2014</v>
      </c>
      <c r="C230">
        <v>10817.472</v>
      </c>
      <c r="D230">
        <v>10539.728999999999</v>
      </c>
      <c r="E230">
        <v>277.74299999999999</v>
      </c>
      <c r="F230">
        <v>1.051495301685089</v>
      </c>
      <c r="G230">
        <v>-2.348203289271282E-2</v>
      </c>
      <c r="H230">
        <v>1.028013268792376</v>
      </c>
      <c r="I230">
        <v>7.9011698075114045E-2</v>
      </c>
      <c r="J230" t="s">
        <v>96</v>
      </c>
      <c r="K230">
        <v>0.1099265362600879</v>
      </c>
      <c r="L230">
        <v>-2.8949173516524271</v>
      </c>
      <c r="M230">
        <v>11374.52098411</v>
      </c>
      <c r="N230">
        <v>-254.01623332</v>
      </c>
      <c r="O230">
        <v>11120.50475079</v>
      </c>
      <c r="P230">
        <v>854.70683159999999</v>
      </c>
      <c r="Q230" t="s">
        <v>96</v>
      </c>
      <c r="R230">
        <v>1158.59590209</v>
      </c>
      <c r="S230">
        <v>-804.04303000000004</v>
      </c>
      <c r="T230">
        <v>-45209.136333097442</v>
      </c>
    </row>
    <row r="231" spans="1:20" x14ac:dyDescent="0.25">
      <c r="A231" s="1" t="s">
        <v>29</v>
      </c>
      <c r="B231">
        <v>2015</v>
      </c>
      <c r="C231">
        <v>10820.072</v>
      </c>
      <c r="D231">
        <v>10541.958000000001</v>
      </c>
      <c r="E231">
        <v>278.11399999999998</v>
      </c>
      <c r="F231">
        <v>1.013301239728349</v>
      </c>
      <c r="G231">
        <v>-2.45580020364005E-2</v>
      </c>
      <c r="H231">
        <v>0.98874323769194894</v>
      </c>
      <c r="I231">
        <v>8.1190866626395825E-2</v>
      </c>
      <c r="J231" t="s">
        <v>96</v>
      </c>
      <c r="K231">
        <v>0.2157344903555867</v>
      </c>
      <c r="L231">
        <v>-2.8933155109055999</v>
      </c>
      <c r="M231">
        <v>10963.992371550001</v>
      </c>
      <c r="N231">
        <v>-265.71935021000002</v>
      </c>
      <c r="O231">
        <v>10698.273021339999</v>
      </c>
      <c r="P231">
        <v>878.49102263999998</v>
      </c>
      <c r="Q231" t="s">
        <v>96</v>
      </c>
      <c r="R231">
        <v>2274.2639364800002</v>
      </c>
      <c r="S231">
        <v>-804.67155000000002</v>
      </c>
      <c r="T231">
        <v>-47836.640245024348</v>
      </c>
    </row>
    <row r="232" spans="1:20" x14ac:dyDescent="0.25">
      <c r="A232" s="1" t="s">
        <v>29</v>
      </c>
      <c r="B232">
        <v>2016</v>
      </c>
      <c r="C232">
        <v>10828.324000000001</v>
      </c>
      <c r="D232">
        <v>10549.108</v>
      </c>
      <c r="E232">
        <v>279.21600000000001</v>
      </c>
      <c r="F232">
        <v>1.057864790119875</v>
      </c>
      <c r="G232">
        <v>-4.431676463412066E-2</v>
      </c>
      <c r="H232">
        <v>1.0135480254857541</v>
      </c>
      <c r="I232">
        <v>7.8546829054985792E-2</v>
      </c>
      <c r="J232" t="s">
        <v>96</v>
      </c>
      <c r="K232">
        <v>0.20135389129014511</v>
      </c>
      <c r="L232">
        <v>-2.8912306601340889</v>
      </c>
      <c r="M232">
        <v>11454.902695610001</v>
      </c>
      <c r="N232">
        <v>-479.87628609000001</v>
      </c>
      <c r="O232">
        <v>10975.02640952</v>
      </c>
      <c r="P232">
        <v>850.53051417999995</v>
      </c>
      <c r="Q232" t="s">
        <v>96</v>
      </c>
      <c r="R232">
        <v>2124.1039454400002</v>
      </c>
      <c r="S232">
        <v>-807.27785999999992</v>
      </c>
      <c r="T232">
        <v>-48188.737700184378</v>
      </c>
    </row>
    <row r="233" spans="1:20" x14ac:dyDescent="0.25">
      <c r="A233" s="1" t="s">
        <v>29</v>
      </c>
      <c r="B233">
        <v>2017</v>
      </c>
      <c r="C233">
        <v>10836.562</v>
      </c>
      <c r="D233">
        <v>10556.252</v>
      </c>
      <c r="E233">
        <v>280.31</v>
      </c>
      <c r="F233">
        <v>1.053660297795556</v>
      </c>
      <c r="G233">
        <v>-4.5795535501019599E-2</v>
      </c>
      <c r="H233">
        <v>1.007864762294536</v>
      </c>
      <c r="I233">
        <v>7.8802192915982019E-2</v>
      </c>
      <c r="J233" t="s">
        <v>96</v>
      </c>
      <c r="K233">
        <v>0.1142953349578998</v>
      </c>
      <c r="L233">
        <v>-2.8765550640005708</v>
      </c>
      <c r="M233">
        <v>11418.055144</v>
      </c>
      <c r="N233">
        <v>-496.26615978000001</v>
      </c>
      <c r="O233">
        <v>10921.78898422</v>
      </c>
      <c r="P233">
        <v>853.94484926999996</v>
      </c>
      <c r="Q233" t="s">
        <v>96</v>
      </c>
      <c r="R233">
        <v>1206.5303582399999</v>
      </c>
      <c r="S233">
        <v>-806.32714998999995</v>
      </c>
      <c r="T233">
        <v>-44645.102486384058</v>
      </c>
    </row>
    <row r="234" spans="1:20" x14ac:dyDescent="0.25">
      <c r="A234" s="1" t="s">
        <v>29</v>
      </c>
      <c r="B234">
        <v>2018</v>
      </c>
      <c r="C234">
        <v>10844.775</v>
      </c>
      <c r="D234">
        <v>10563.383</v>
      </c>
      <c r="E234">
        <v>281.392</v>
      </c>
      <c r="F234">
        <v>5.1806434201723872E-2</v>
      </c>
      <c r="G234">
        <v>-0.84437363962276779</v>
      </c>
      <c r="H234">
        <v>-0.79256720542104386</v>
      </c>
      <c r="I234">
        <v>0.20584190438713579</v>
      </c>
      <c r="J234" t="s">
        <v>96</v>
      </c>
      <c r="K234">
        <v>9.5916641822037504E-2</v>
      </c>
      <c r="L234">
        <v>-2.8981652285779269</v>
      </c>
      <c r="M234">
        <v>561.82912247000002</v>
      </c>
      <c r="N234">
        <v>-9157.0421376400009</v>
      </c>
      <c r="O234">
        <v>-8595.2130151700003</v>
      </c>
      <c r="P234">
        <v>2232.30913865</v>
      </c>
      <c r="Q234" t="s">
        <v>96</v>
      </c>
      <c r="R234">
        <v>1013.20422364</v>
      </c>
      <c r="S234">
        <v>-815.52050999999994</v>
      </c>
      <c r="T234">
        <v>22605.807263895389</v>
      </c>
    </row>
    <row r="235" spans="1:20" x14ac:dyDescent="0.25">
      <c r="A235" s="1" t="s">
        <v>29</v>
      </c>
      <c r="B235">
        <v>2019</v>
      </c>
      <c r="C235">
        <v>10852.975</v>
      </c>
      <c r="D235">
        <v>10570.504000000001</v>
      </c>
      <c r="E235">
        <v>282.471</v>
      </c>
      <c r="F235">
        <v>5.200232368451968E-2</v>
      </c>
      <c r="G235">
        <v>-0.82091575486721391</v>
      </c>
      <c r="H235">
        <v>-0.76891343118269428</v>
      </c>
      <c r="I235">
        <v>0.19944986924046171</v>
      </c>
      <c r="J235" t="s">
        <v>96</v>
      </c>
      <c r="K235">
        <v>0.20070410179968709</v>
      </c>
      <c r="L235">
        <v>-2.8943273468780868</v>
      </c>
      <c r="M235">
        <v>564.37991888999989</v>
      </c>
      <c r="N235">
        <v>-8909.3781646799998</v>
      </c>
      <c r="O235">
        <v>-8344.9982457900005</v>
      </c>
      <c r="P235">
        <v>2164.6244446199998</v>
      </c>
      <c r="Q235" t="s">
        <v>96</v>
      </c>
      <c r="R235">
        <v>2121.5435108900001</v>
      </c>
      <c r="S235">
        <v>-817.5635400000001</v>
      </c>
      <c r="T235">
        <v>17880.11071102829</v>
      </c>
    </row>
    <row r="236" spans="1:20" x14ac:dyDescent="0.25">
      <c r="A236" s="1" t="s">
        <v>29</v>
      </c>
      <c r="B236">
        <v>2020</v>
      </c>
      <c r="C236">
        <v>10861.162</v>
      </c>
      <c r="D236">
        <v>10577.618</v>
      </c>
      <c r="E236">
        <v>283.54399999999998</v>
      </c>
      <c r="F236">
        <v>5.2202090085756929E-2</v>
      </c>
      <c r="G236">
        <v>-0.91250767962764934</v>
      </c>
      <c r="H236">
        <v>-0.8603055895418924</v>
      </c>
      <c r="I236">
        <v>0.2234772136277868</v>
      </c>
      <c r="J236" t="s">
        <v>96</v>
      </c>
      <c r="K236">
        <v>0.1179596073246358</v>
      </c>
      <c r="L236">
        <v>-2.8950082879553078</v>
      </c>
      <c r="M236">
        <v>566.97535715999993</v>
      </c>
      <c r="N236">
        <v>-9910.8937346799994</v>
      </c>
      <c r="O236">
        <v>-9343.9183775199999</v>
      </c>
      <c r="P236">
        <v>2427.2222205200001</v>
      </c>
      <c r="Q236" t="s">
        <v>96</v>
      </c>
      <c r="R236">
        <v>1247.73166571</v>
      </c>
      <c r="S236">
        <v>-820.86222999999995</v>
      </c>
      <c r="T236">
        <v>23796.03131139883</v>
      </c>
    </row>
    <row r="237" spans="1:20" x14ac:dyDescent="0.25">
      <c r="A237" s="1" t="s">
        <v>29</v>
      </c>
      <c r="B237">
        <v>2021</v>
      </c>
      <c r="C237">
        <v>10868.209000000001</v>
      </c>
      <c r="D237">
        <v>10584.293</v>
      </c>
      <c r="E237">
        <v>283.916</v>
      </c>
      <c r="F237">
        <v>5.3410383478087332E-2</v>
      </c>
      <c r="G237">
        <v>-0.83279994747064578</v>
      </c>
      <c r="H237">
        <v>-0.77938956399255843</v>
      </c>
      <c r="I237">
        <v>0.20394598692664079</v>
      </c>
      <c r="J237" t="s">
        <v>96</v>
      </c>
      <c r="K237">
        <v>0.26707906327612058</v>
      </c>
      <c r="L237">
        <v>-2.8876814269009139</v>
      </c>
      <c r="M237">
        <v>580.47521040999993</v>
      </c>
      <c r="N237">
        <v>-9051.0438842999993</v>
      </c>
      <c r="O237">
        <v>-8470.5686738899985</v>
      </c>
      <c r="P237">
        <v>2216.5276106299998</v>
      </c>
      <c r="Q237" t="s">
        <v>96</v>
      </c>
      <c r="R237">
        <v>2826.8430598800001</v>
      </c>
      <c r="S237">
        <v>-819.85896000000002</v>
      </c>
      <c r="T237">
        <v>15572.54219906141</v>
      </c>
    </row>
    <row r="238" spans="1:20" x14ac:dyDescent="0.25">
      <c r="A238" s="1" t="s">
        <v>29</v>
      </c>
      <c r="B238">
        <v>2022</v>
      </c>
      <c r="C238">
        <v>10875.236000000001</v>
      </c>
      <c r="D238">
        <v>10590.96</v>
      </c>
      <c r="E238">
        <v>284.27600000000001</v>
      </c>
      <c r="F238">
        <v>5.4607474107228583E-2</v>
      </c>
      <c r="G238">
        <v>-0.80160076343630615</v>
      </c>
      <c r="H238">
        <v>-0.7469932893290776</v>
      </c>
      <c r="I238">
        <v>0.19550718758838889</v>
      </c>
      <c r="J238" t="s">
        <v>96</v>
      </c>
      <c r="K238">
        <v>0.17226306381291209</v>
      </c>
      <c r="L238">
        <v>-2.895784730332494</v>
      </c>
      <c r="M238">
        <v>593.86916828000005</v>
      </c>
      <c r="N238">
        <v>-8717.5974801499997</v>
      </c>
      <c r="O238">
        <v>-8123.7283118699997</v>
      </c>
      <c r="P238">
        <v>2126.1868047200001</v>
      </c>
      <c r="Q238" t="s">
        <v>96</v>
      </c>
      <c r="R238">
        <v>1824.43121832</v>
      </c>
      <c r="S238">
        <v>-823.20209999999997</v>
      </c>
      <c r="T238">
        <v>18319.812092378332</v>
      </c>
    </row>
    <row r="239" spans="1:20" x14ac:dyDescent="0.25">
      <c r="A239" s="1" t="s">
        <v>29</v>
      </c>
      <c r="B239">
        <v>2023</v>
      </c>
      <c r="C239">
        <v>10882.244000000001</v>
      </c>
      <c r="D239">
        <v>10597.62</v>
      </c>
      <c r="E239">
        <v>284.62400000000002</v>
      </c>
      <c r="F239">
        <v>5.5814402659047163E-2</v>
      </c>
      <c r="G239">
        <v>-0.66469132543343079</v>
      </c>
      <c r="H239">
        <v>-0.60887692277438366</v>
      </c>
      <c r="I239">
        <v>0.1603595204959565</v>
      </c>
      <c r="J239" t="s">
        <v>96</v>
      </c>
      <c r="K239">
        <v>1.1035181553971551E-2</v>
      </c>
      <c r="L239">
        <v>-2.8853111473382418</v>
      </c>
      <c r="M239">
        <v>607.38594845</v>
      </c>
      <c r="N239">
        <v>-7233.33318805</v>
      </c>
      <c r="O239">
        <v>-6625.9472396000001</v>
      </c>
      <c r="P239">
        <v>1745.07142976</v>
      </c>
      <c r="Q239" t="s">
        <v>96</v>
      </c>
      <c r="R239">
        <v>116.94666074</v>
      </c>
      <c r="S239">
        <v>-821.22879999999998</v>
      </c>
      <c r="T239">
        <v>20478.9124800352</v>
      </c>
    </row>
    <row r="240" spans="1:20" x14ac:dyDescent="0.25">
      <c r="A240" s="1" t="s">
        <v>30</v>
      </c>
      <c r="B240">
        <v>1990</v>
      </c>
      <c r="C240">
        <v>546.44059583225203</v>
      </c>
      <c r="D240">
        <v>513.16454402283</v>
      </c>
      <c r="E240">
        <v>33.276051809422</v>
      </c>
      <c r="F240">
        <v>0.63679817814125506</v>
      </c>
      <c r="G240">
        <v>-5.5075459410850201E-2</v>
      </c>
      <c r="H240">
        <v>0.58172271873040482</v>
      </c>
      <c r="I240">
        <v>9.1169148354972203E-3</v>
      </c>
      <c r="J240">
        <v>0.12554603839137179</v>
      </c>
      <c r="K240">
        <v>3.5459494704471357E-2</v>
      </c>
      <c r="L240">
        <v>-2.0390791379188742</v>
      </c>
      <c r="M240">
        <v>347.97237588839999</v>
      </c>
      <c r="N240">
        <v>-30.095466856200002</v>
      </c>
      <c r="O240">
        <v>317.87690903219999</v>
      </c>
      <c r="P240">
        <v>4.9818523748609991</v>
      </c>
      <c r="Q240">
        <v>68.603452022959999</v>
      </c>
      <c r="R240">
        <v>18.196555431299998</v>
      </c>
      <c r="S240">
        <v>-67.852503036900004</v>
      </c>
      <c r="T240">
        <v>-1253.289641356324</v>
      </c>
    </row>
    <row r="241" spans="1:20" x14ac:dyDescent="0.25">
      <c r="A241" s="1" t="s">
        <v>30</v>
      </c>
      <c r="B241">
        <v>1991</v>
      </c>
      <c r="C241">
        <v>550.77050000357076</v>
      </c>
      <c r="D241">
        <v>517.31660078098537</v>
      </c>
      <c r="E241">
        <v>33.453899222585378</v>
      </c>
      <c r="F241">
        <v>0.63179196396278126</v>
      </c>
      <c r="G241">
        <v>-3.2397663145483133E-2</v>
      </c>
      <c r="H241">
        <v>0.59939430081729816</v>
      </c>
      <c r="I241">
        <v>9.0452418472484752E-3</v>
      </c>
      <c r="J241">
        <v>0.1245590532236887</v>
      </c>
      <c r="K241">
        <v>3.5251534054521097E-2</v>
      </c>
      <c r="L241">
        <v>-2.007773949963283</v>
      </c>
      <c r="M241">
        <v>347.97237589001901</v>
      </c>
      <c r="N241">
        <v>-17.843677129585</v>
      </c>
      <c r="O241">
        <v>330.12869876043402</v>
      </c>
      <c r="P241">
        <v>4.9818523748622647</v>
      </c>
      <c r="Q241">
        <v>68.603452023982385</v>
      </c>
      <c r="R241">
        <v>18.236203769399999</v>
      </c>
      <c r="S241">
        <v>-67.167867383803838</v>
      </c>
      <c r="T241">
        <v>-1300.868578331326</v>
      </c>
    </row>
    <row r="242" spans="1:20" x14ac:dyDescent="0.25">
      <c r="A242" s="1" t="s">
        <v>30</v>
      </c>
      <c r="B242">
        <v>1992</v>
      </c>
      <c r="C242">
        <v>555.27362499711944</v>
      </c>
      <c r="D242">
        <v>521.64187836141525</v>
      </c>
      <c r="E242">
        <v>33.631746635704133</v>
      </c>
      <c r="F242">
        <v>0.62666829510162425</v>
      </c>
      <c r="G242">
        <v>-3.2122402949856528E-2</v>
      </c>
      <c r="H242">
        <v>0.59454589215176767</v>
      </c>
      <c r="I242">
        <v>8.9718872833042338E-3</v>
      </c>
      <c r="J242">
        <v>0.12354891162783579</v>
      </c>
      <c r="K242">
        <v>3.5035302511002973E-2</v>
      </c>
      <c r="L242">
        <v>-1.9764568212227009</v>
      </c>
      <c r="M242">
        <v>347.97237589184351</v>
      </c>
      <c r="N242">
        <v>-17.836723129585</v>
      </c>
      <c r="O242">
        <v>330.13565276225847</v>
      </c>
      <c r="P242">
        <v>4.9818523748659</v>
      </c>
      <c r="Q242">
        <v>68.603452024037168</v>
      </c>
      <c r="R242">
        <v>18.275881010799999</v>
      </c>
      <c r="S242">
        <v>-66.47169504777105</v>
      </c>
      <c r="T242">
        <v>-1303.592191455484</v>
      </c>
    </row>
    <row r="243" spans="1:20" x14ac:dyDescent="0.25">
      <c r="A243" s="1" t="s">
        <v>30</v>
      </c>
      <c r="B243">
        <v>1993</v>
      </c>
      <c r="C243">
        <v>559.77675000186787</v>
      </c>
      <c r="D243">
        <v>525.96715595192506</v>
      </c>
      <c r="E243">
        <v>33.809594049942852</v>
      </c>
      <c r="F243">
        <v>0.62162706095131359</v>
      </c>
      <c r="G243">
        <v>-3.1851571415792999E-2</v>
      </c>
      <c r="H243">
        <v>0.58977548953552061</v>
      </c>
      <c r="I243">
        <v>8.8997129210025422E-3</v>
      </c>
      <c r="J243">
        <v>0.1225550221999951</v>
      </c>
      <c r="K243">
        <v>3.4822682511327953E-2</v>
      </c>
      <c r="L243">
        <v>-1.945127940138025</v>
      </c>
      <c r="M243">
        <v>347.97237589253928</v>
      </c>
      <c r="N243">
        <v>-17.829769129584999</v>
      </c>
      <c r="O243">
        <v>330.14260676295441</v>
      </c>
      <c r="P243">
        <v>4.9818523748684331</v>
      </c>
      <c r="Q243">
        <v>68.603452023520006</v>
      </c>
      <c r="R243">
        <v>18.315587283100001</v>
      </c>
      <c r="S243">
        <v>-65.763986031268161</v>
      </c>
      <c r="T243">
        <v>-1306.358212181759</v>
      </c>
    </row>
    <row r="244" spans="1:20" x14ac:dyDescent="0.25">
      <c r="A244" s="1" t="s">
        <v>30</v>
      </c>
      <c r="B244">
        <v>1994</v>
      </c>
      <c r="C244">
        <v>564.27987499632673</v>
      </c>
      <c r="D244">
        <v>530.29243353316156</v>
      </c>
      <c r="E244">
        <v>33.98744146316519</v>
      </c>
      <c r="F244">
        <v>0.61666628797315526</v>
      </c>
      <c r="G244">
        <v>-3.073584031274889E-2</v>
      </c>
      <c r="H244">
        <v>0.58593044766040647</v>
      </c>
      <c r="I244">
        <v>8.8286905055764836E-3</v>
      </c>
      <c r="J244">
        <v>0.1215769958555195</v>
      </c>
      <c r="K244">
        <v>3.4613585920328163E-2</v>
      </c>
      <c r="L244">
        <v>-1.9137874913142969</v>
      </c>
      <c r="M244">
        <v>347.97237589194089</v>
      </c>
      <c r="N244">
        <v>-17.343616129585001</v>
      </c>
      <c r="O244">
        <v>330.62875976235591</v>
      </c>
      <c r="P244">
        <v>4.9818523748679544</v>
      </c>
      <c r="Q244">
        <v>68.6034520237815</v>
      </c>
      <c r="R244">
        <v>18.355322710999999</v>
      </c>
      <c r="S244">
        <v>-65.044740333982418</v>
      </c>
      <c r="T244">
        <v>-1310.92370397287</v>
      </c>
    </row>
    <row r="245" spans="1:20" x14ac:dyDescent="0.25">
      <c r="A245" s="1" t="s">
        <v>30</v>
      </c>
      <c r="B245">
        <v>1995</v>
      </c>
      <c r="C245">
        <v>568.78299999609533</v>
      </c>
      <c r="D245">
        <v>534.39770320656692</v>
      </c>
      <c r="E245">
        <v>34.385296789528446</v>
      </c>
      <c r="F245">
        <v>0.60992213970564146</v>
      </c>
      <c r="G245">
        <v>-2.863057550014117E-2</v>
      </c>
      <c r="H245">
        <v>0.58129156420550021</v>
      </c>
      <c r="I245">
        <v>8.7587926764521491E-3</v>
      </c>
      <c r="J245">
        <v>0.1206144558190308</v>
      </c>
      <c r="K245">
        <v>3.4277955936347478E-2</v>
      </c>
      <c r="L245">
        <v>-1.881253886256455</v>
      </c>
      <c r="M245">
        <v>346.91334438581231</v>
      </c>
      <c r="N245">
        <v>-16.284584624585001</v>
      </c>
      <c r="O245">
        <v>330.62875976122729</v>
      </c>
      <c r="P245">
        <v>4.9818523748562829</v>
      </c>
      <c r="Q245">
        <v>68.603452023644849</v>
      </c>
      <c r="R245">
        <v>18.318060923000001</v>
      </c>
      <c r="S245">
        <v>-64.687473215381999</v>
      </c>
      <c r="T245">
        <v>-1312.0970568470559</v>
      </c>
    </row>
    <row r="246" spans="1:20" x14ac:dyDescent="0.25">
      <c r="A246" s="1" t="s">
        <v>30</v>
      </c>
      <c r="B246">
        <v>1996</v>
      </c>
      <c r="C246">
        <v>573.28612500128406</v>
      </c>
      <c r="D246">
        <v>538.50297288534034</v>
      </c>
      <c r="E246">
        <v>34.783152115943658</v>
      </c>
      <c r="F246">
        <v>0.60513124120190864</v>
      </c>
      <c r="G246">
        <v>-2.8405684202715571E-2</v>
      </c>
      <c r="H246">
        <v>0.57672555699919303</v>
      </c>
      <c r="I246">
        <v>8.6899929330081106E-3</v>
      </c>
      <c r="J246">
        <v>0.1196670371596622</v>
      </c>
      <c r="K246">
        <v>3.5244205007093042E-2</v>
      </c>
      <c r="L246">
        <v>-1.848722554973891</v>
      </c>
      <c r="M246">
        <v>346.9133443858596</v>
      </c>
      <c r="N246">
        <v>-16.284584624585001</v>
      </c>
      <c r="O246">
        <v>330.62875976127458</v>
      </c>
      <c r="P246">
        <v>4.981852374852763</v>
      </c>
      <c r="Q246">
        <v>68.603452023647435</v>
      </c>
      <c r="R246">
        <v>18.979109173299999</v>
      </c>
      <c r="S246">
        <v>-64.304397849832895</v>
      </c>
      <c r="T246">
        <v>-1315.92551010534</v>
      </c>
    </row>
    <row r="247" spans="1:20" x14ac:dyDescent="0.25">
      <c r="A247" s="1" t="s">
        <v>30</v>
      </c>
      <c r="B247">
        <v>1997</v>
      </c>
      <c r="C247">
        <v>577.78924999627259</v>
      </c>
      <c r="D247">
        <v>542.60824255383966</v>
      </c>
      <c r="E247">
        <v>35.181007442432922</v>
      </c>
      <c r="F247">
        <v>0.60041502050801554</v>
      </c>
      <c r="G247">
        <v>-2.8184298383346618E-2</v>
      </c>
      <c r="H247">
        <v>0.57223072212466886</v>
      </c>
      <c r="I247">
        <v>8.6222656009610349E-3</v>
      </c>
      <c r="J247">
        <v>0.1187343863253635</v>
      </c>
      <c r="K247">
        <v>3.6195908682406762E-2</v>
      </c>
      <c r="L247">
        <v>-1.8161934203240639</v>
      </c>
      <c r="M247">
        <v>346.91334438582288</v>
      </c>
      <c r="N247">
        <v>-16.284584624585001</v>
      </c>
      <c r="O247">
        <v>330.62875976123792</v>
      </c>
      <c r="P247">
        <v>4.9818523748479366</v>
      </c>
      <c r="Q247">
        <v>68.603452023699475</v>
      </c>
      <c r="R247">
        <v>19.640198397799999</v>
      </c>
      <c r="S247">
        <v>-63.895514237318586</v>
      </c>
      <c r="T247">
        <v>-1319.848743841098</v>
      </c>
    </row>
    <row r="248" spans="1:20" x14ac:dyDescent="0.25">
      <c r="A248" s="1" t="s">
        <v>30</v>
      </c>
      <c r="B248">
        <v>1998</v>
      </c>
      <c r="C248">
        <v>582.29237500090233</v>
      </c>
      <c r="D248">
        <v>546.71351223298939</v>
      </c>
      <c r="E248">
        <v>35.578862767912888</v>
      </c>
      <c r="F248">
        <v>0.59577174505522923</v>
      </c>
      <c r="G248">
        <v>-2.7966336712823631E-2</v>
      </c>
      <c r="H248">
        <v>0.56780540834240556</v>
      </c>
      <c r="I248">
        <v>8.5555857997327411E-3</v>
      </c>
      <c r="J248">
        <v>0.1178161606933605</v>
      </c>
      <c r="K248">
        <v>3.7133387901428547E-2</v>
      </c>
      <c r="L248">
        <v>-1.7836664086565439</v>
      </c>
      <c r="M248">
        <v>346.91334438664148</v>
      </c>
      <c r="N248">
        <v>-16.284584624585001</v>
      </c>
      <c r="O248">
        <v>330.62875976205652</v>
      </c>
      <c r="P248">
        <v>4.981852374850372</v>
      </c>
      <c r="Q248">
        <v>68.60345202362484</v>
      </c>
      <c r="R248">
        <v>20.301324920700001</v>
      </c>
      <c r="S248">
        <v>-63.460822377327197</v>
      </c>
      <c r="T248">
        <v>-1323.8667445811041</v>
      </c>
    </row>
    <row r="249" spans="1:20" x14ac:dyDescent="0.25">
      <c r="A249" s="1" t="s">
        <v>30</v>
      </c>
      <c r="B249">
        <v>1999</v>
      </c>
      <c r="C249">
        <v>586.79549999532105</v>
      </c>
      <c r="D249">
        <v>550.81878190109819</v>
      </c>
      <c r="E249">
        <v>35.976718094222797</v>
      </c>
      <c r="F249">
        <v>0.59119973549233629</v>
      </c>
      <c r="G249">
        <v>-2.775172036035527E-2</v>
      </c>
      <c r="H249">
        <v>0.56344801513198095</v>
      </c>
      <c r="I249">
        <v>8.4899294130448832E-3</v>
      </c>
      <c r="J249">
        <v>0.1169120281669478</v>
      </c>
      <c r="K249">
        <v>3.8056954813614013E-2</v>
      </c>
      <c r="L249">
        <v>-1.7511414494883311</v>
      </c>
      <c r="M249">
        <v>346.91334438532698</v>
      </c>
      <c r="N249">
        <v>-16.284584624585001</v>
      </c>
      <c r="O249">
        <v>330.62875976074201</v>
      </c>
      <c r="P249">
        <v>4.9818523748526546</v>
      </c>
      <c r="Q249">
        <v>68.60345202369119</v>
      </c>
      <c r="R249">
        <v>20.962485493300001</v>
      </c>
      <c r="S249">
        <v>-63.000322271350399</v>
      </c>
      <c r="T249">
        <v>-1327.9795003979841</v>
      </c>
    </row>
    <row r="250" spans="1:20" x14ac:dyDescent="0.25">
      <c r="A250" s="1" t="s">
        <v>30</v>
      </c>
      <c r="B250">
        <v>2000</v>
      </c>
      <c r="C250">
        <v>591.29862500073955</v>
      </c>
      <c r="D250">
        <v>554.92405158000406</v>
      </c>
      <c r="E250">
        <v>36.374573420735501</v>
      </c>
      <c r="F250">
        <v>0.59781873174416145</v>
      </c>
      <c r="G250">
        <v>-2.7708094498383969E-2</v>
      </c>
      <c r="H250">
        <v>0.57011063724577749</v>
      </c>
      <c r="I250">
        <v>8.5751180968916419E-3</v>
      </c>
      <c r="J250">
        <v>0.11823707469917411</v>
      </c>
      <c r="K250">
        <v>3.8966912987159437E-2</v>
      </c>
      <c r="L250">
        <v>-1.718618475464039</v>
      </c>
      <c r="M250">
        <v>353.48939408000871</v>
      </c>
      <c r="N250">
        <v>-16.383758178284999</v>
      </c>
      <c r="O250">
        <v>337.10563590172359</v>
      </c>
      <c r="P250">
        <v>5.0704555399109861</v>
      </c>
      <c r="Q250">
        <v>69.913419693731399</v>
      </c>
      <c r="R250">
        <v>21.623677232399999</v>
      </c>
      <c r="S250">
        <v>-62.514013917999193</v>
      </c>
      <c r="T250">
        <v>-1361.0636396492689</v>
      </c>
    </row>
    <row r="251" spans="1:20" x14ac:dyDescent="0.25">
      <c r="A251" s="1" t="s">
        <v>30</v>
      </c>
      <c r="B251">
        <v>2001</v>
      </c>
      <c r="C251">
        <v>595.80174999605845</v>
      </c>
      <c r="D251">
        <v>559.02932124889514</v>
      </c>
      <c r="E251">
        <v>36.772428747163303</v>
      </c>
      <c r="F251">
        <v>0.57184925909897522</v>
      </c>
      <c r="G251">
        <v>-2.7498674145205831E-2</v>
      </c>
      <c r="H251">
        <v>0.54435058495376942</v>
      </c>
      <c r="I251">
        <v>3.8464146381461911E-3</v>
      </c>
      <c r="J251">
        <v>0.1101476452298273</v>
      </c>
      <c r="K251">
        <v>3.9863557646340607E-2</v>
      </c>
      <c r="L251">
        <v>-1.6860974221963421</v>
      </c>
      <c r="M251">
        <v>340.7087893051189</v>
      </c>
      <c r="N251">
        <v>-16.383758178284999</v>
      </c>
      <c r="O251">
        <v>324.32503112683389</v>
      </c>
      <c r="P251">
        <v>2.2917005726179558</v>
      </c>
      <c r="Q251">
        <v>65.626159785876112</v>
      </c>
      <c r="R251">
        <v>22.284897573599999</v>
      </c>
      <c r="S251">
        <v>-62.001897318490698</v>
      </c>
      <c r="T251">
        <v>-1292.594936381721</v>
      </c>
    </row>
    <row r="252" spans="1:20" x14ac:dyDescent="0.25">
      <c r="A252" s="1" t="s">
        <v>30</v>
      </c>
      <c r="B252">
        <v>2002</v>
      </c>
      <c r="C252">
        <v>600.30487500008712</v>
      </c>
      <c r="D252">
        <v>563.13459092748803</v>
      </c>
      <c r="E252">
        <v>37.170284072599102</v>
      </c>
      <c r="F252">
        <v>0.54597243825747566</v>
      </c>
      <c r="G252">
        <v>-2.729239568191516E-2</v>
      </c>
      <c r="H252">
        <v>0.51868004257556044</v>
      </c>
      <c r="I252">
        <v>-8.6811428956478699E-4</v>
      </c>
      <c r="J252">
        <v>0.1020850651866709</v>
      </c>
      <c r="K252">
        <v>4.0747175887397513E-2</v>
      </c>
      <c r="L252">
        <v>-1.6535782280424789</v>
      </c>
      <c r="M252">
        <v>327.74991630164669</v>
      </c>
      <c r="N252">
        <v>-16.383758178284999</v>
      </c>
      <c r="O252">
        <v>311.36615812336169</v>
      </c>
      <c r="P252">
        <v>-0.5211332400829789</v>
      </c>
      <c r="Q252">
        <v>61.282162296260204</v>
      </c>
      <c r="R252">
        <v>22.946144224800001</v>
      </c>
      <c r="S252">
        <v>-61.463972472603999</v>
      </c>
      <c r="T252">
        <v>-1223.234316083139</v>
      </c>
    </row>
    <row r="253" spans="1:20" x14ac:dyDescent="0.25">
      <c r="A253" s="1" t="s">
        <v>30</v>
      </c>
      <c r="B253">
        <v>2003</v>
      </c>
      <c r="C253">
        <v>604.80799999510555</v>
      </c>
      <c r="D253">
        <v>567.23986059610399</v>
      </c>
      <c r="E253">
        <v>37.568139399001502</v>
      </c>
      <c r="F253">
        <v>0.52018619970638091</v>
      </c>
      <c r="G253">
        <v>-2.7089188930069681E-2</v>
      </c>
      <c r="H253">
        <v>0.49309701077631118</v>
      </c>
      <c r="I253">
        <v>-5.5687852978200964E-3</v>
      </c>
      <c r="J253">
        <v>9.4048734845651877E-2</v>
      </c>
      <c r="K253">
        <v>4.161804691703315E-2</v>
      </c>
      <c r="L253">
        <v>-1.621060833795323</v>
      </c>
      <c r="M253">
        <v>314.61277506947079</v>
      </c>
      <c r="N253">
        <v>-16.383758178284999</v>
      </c>
      <c r="O253">
        <v>298.22901689118578</v>
      </c>
      <c r="P253">
        <v>-3.368045898376721</v>
      </c>
      <c r="Q253">
        <v>56.881427224068702</v>
      </c>
      <c r="R253">
        <v>23.607415131500002</v>
      </c>
      <c r="S253">
        <v>-60.900239378284297</v>
      </c>
      <c r="T253">
        <v>-1152.9817712237809</v>
      </c>
    </row>
    <row r="254" spans="1:20" x14ac:dyDescent="0.25">
      <c r="A254" s="1" t="s">
        <v>30</v>
      </c>
      <c r="B254">
        <v>2004</v>
      </c>
      <c r="C254">
        <v>609.31112500092411</v>
      </c>
      <c r="D254">
        <v>571.34513027512605</v>
      </c>
      <c r="E254">
        <v>37.965994725798097</v>
      </c>
      <c r="F254">
        <v>0.49448853505961837</v>
      </c>
      <c r="G254">
        <v>-2.6888985784167568E-2</v>
      </c>
      <c r="H254">
        <v>0.46759954927545078</v>
      </c>
      <c r="I254">
        <v>-1.025590563798018E-2</v>
      </c>
      <c r="J254">
        <v>8.60380722080515E-2</v>
      </c>
      <c r="K254">
        <v>4.2476442284742372E-2</v>
      </c>
      <c r="L254">
        <v>-1.5885451829891231</v>
      </c>
      <c r="M254">
        <v>301.297365597235</v>
      </c>
      <c r="N254">
        <v>-16.383758178284999</v>
      </c>
      <c r="O254">
        <v>284.91360741894999</v>
      </c>
      <c r="P254">
        <v>-6.2490374021810231</v>
      </c>
      <c r="Q254">
        <v>52.4239545699986</v>
      </c>
      <c r="R254">
        <v>24.268708450799998</v>
      </c>
      <c r="S254">
        <v>-60.310698039057002</v>
      </c>
      <c r="T254">
        <v>-1081.837294994637</v>
      </c>
    </row>
    <row r="255" spans="1:20" x14ac:dyDescent="0.25">
      <c r="A255" s="1" t="s">
        <v>30</v>
      </c>
      <c r="B255">
        <v>2005</v>
      </c>
      <c r="C255">
        <v>613.81425000049467</v>
      </c>
      <c r="D255">
        <v>575.505331094908</v>
      </c>
      <c r="E255">
        <v>38.308918905586701</v>
      </c>
      <c r="F255">
        <v>0.46092359563473229</v>
      </c>
      <c r="G255">
        <v>-2.7776652825461871E-2</v>
      </c>
      <c r="H255">
        <v>0.43314694280927052</v>
      </c>
      <c r="I255">
        <v>-1.5054320948401921E-2</v>
      </c>
      <c r="J255">
        <v>7.6216582064058944E-2</v>
      </c>
      <c r="K255">
        <v>4.3317630442747043E-2</v>
      </c>
      <c r="L255">
        <v>-1.554943154579068</v>
      </c>
      <c r="M255">
        <v>282.92147116206451</v>
      </c>
      <c r="N255">
        <v>-17.049705321585002</v>
      </c>
      <c r="O255">
        <v>265.8717658404795</v>
      </c>
      <c r="P255">
        <v>-9.2405567222100622</v>
      </c>
      <c r="Q255">
        <v>46.782824157251497</v>
      </c>
      <c r="R255">
        <v>24.9295272502</v>
      </c>
      <c r="S255">
        <v>-59.568191211566699</v>
      </c>
      <c r="T255">
        <v>-985.50968748532205</v>
      </c>
    </row>
    <row r="256" spans="1:20" x14ac:dyDescent="0.25">
      <c r="A256" s="1" t="s">
        <v>30</v>
      </c>
      <c r="B256">
        <v>2006</v>
      </c>
      <c r="C256">
        <v>618.4053541675554</v>
      </c>
      <c r="D256">
        <v>580.10772550153183</v>
      </c>
      <c r="E256">
        <v>38.297628666023613</v>
      </c>
      <c r="F256">
        <v>0.46592713843256722</v>
      </c>
      <c r="G256">
        <v>-3.7554889269378493E-2</v>
      </c>
      <c r="H256">
        <v>0.42837224916318872</v>
      </c>
      <c r="I256">
        <v>-1.5201312346017669E-2</v>
      </c>
      <c r="J256">
        <v>7.5392383552067149E-2</v>
      </c>
      <c r="K256">
        <v>4.4569054997582049E-2</v>
      </c>
      <c r="L256">
        <v>-1.52256575432692</v>
      </c>
      <c r="M256">
        <v>288.13183705866732</v>
      </c>
      <c r="N256">
        <v>-23.22414459935333</v>
      </c>
      <c r="O256">
        <v>264.90769245931398</v>
      </c>
      <c r="P256">
        <v>-9.4005729451506905</v>
      </c>
      <c r="Q256">
        <v>46.623053652052263</v>
      </c>
      <c r="R256">
        <v>25.854853122400002</v>
      </c>
      <c r="S256">
        <v>-58.310657878816507</v>
      </c>
      <c r="T256">
        <v>-988.80601750268647</v>
      </c>
    </row>
    <row r="257" spans="1:20" x14ac:dyDescent="0.25">
      <c r="A257" s="1" t="s">
        <v>30</v>
      </c>
      <c r="B257">
        <v>2007</v>
      </c>
      <c r="C257">
        <v>622.99645833448562</v>
      </c>
      <c r="D257">
        <v>584.7101199085339</v>
      </c>
      <c r="E257">
        <v>38.286338425951698</v>
      </c>
      <c r="F257">
        <v>0.56254348513711216</v>
      </c>
      <c r="G257">
        <v>-4.6089398654232942E-2</v>
      </c>
      <c r="H257">
        <v>0.51645408648287916</v>
      </c>
      <c r="I257">
        <v>-6.6040842130485637E-3</v>
      </c>
      <c r="J257">
        <v>7.4579334044464637E-2</v>
      </c>
      <c r="K257">
        <v>4.3843879632201738E-2</v>
      </c>
      <c r="L257">
        <v>-1.490188387650762</v>
      </c>
      <c r="M257">
        <v>350.46259889955923</v>
      </c>
      <c r="N257">
        <v>-28.713532128353329</v>
      </c>
      <c r="O257">
        <v>321.74906677120589</v>
      </c>
      <c r="P257">
        <v>-4.1143210752719437</v>
      </c>
      <c r="Q257">
        <v>46.462660974645999</v>
      </c>
      <c r="R257">
        <v>25.635960117</v>
      </c>
      <c r="S257">
        <v>-57.053856928020387</v>
      </c>
      <c r="T257">
        <v>-1219.824869485162</v>
      </c>
    </row>
    <row r="258" spans="1:20" x14ac:dyDescent="0.25">
      <c r="A258" s="1" t="s">
        <v>30</v>
      </c>
      <c r="B258">
        <v>2008</v>
      </c>
      <c r="C258">
        <v>627.58756249879525</v>
      </c>
      <c r="D258">
        <v>589.31251431391127</v>
      </c>
      <c r="E258">
        <v>38.275048184884028</v>
      </c>
      <c r="F258">
        <v>0.89679819916535997</v>
      </c>
      <c r="G258">
        <v>-5.4499039976463819E-2</v>
      </c>
      <c r="H258">
        <v>0.84229915918889631</v>
      </c>
      <c r="I258">
        <v>-1.2919082442840229E-3</v>
      </c>
      <c r="J258">
        <v>7.3777188860033954E-2</v>
      </c>
      <c r="K258">
        <v>4.3130275708960969E-2</v>
      </c>
      <c r="L258">
        <v>-1.457811054528996</v>
      </c>
      <c r="M258">
        <v>562.81939586749741</v>
      </c>
      <c r="N258">
        <v>-34.202919657353327</v>
      </c>
      <c r="O258">
        <v>528.61647621014413</v>
      </c>
      <c r="P258">
        <v>-0.81078554600230823</v>
      </c>
      <c r="Q258">
        <v>46.30164612468198</v>
      </c>
      <c r="R258">
        <v>25.417211221100001</v>
      </c>
      <c r="S258">
        <v>-55.797788356553909</v>
      </c>
      <c r="T258">
        <v>-1993.6647853958709</v>
      </c>
    </row>
    <row r="259" spans="1:20" x14ac:dyDescent="0.25">
      <c r="A259" s="1" t="s">
        <v>30</v>
      </c>
      <c r="B259">
        <v>2009</v>
      </c>
      <c r="C259">
        <v>632.17866666372663</v>
      </c>
      <c r="D259">
        <v>593.91490871869667</v>
      </c>
      <c r="E259">
        <v>38.263757945029987</v>
      </c>
      <c r="F259">
        <v>0.91759118113775795</v>
      </c>
      <c r="G259">
        <v>-6.2786533743421566E-2</v>
      </c>
      <c r="H259">
        <v>0.85480464739433637</v>
      </c>
      <c r="I259">
        <v>8.2435398813329661E-3</v>
      </c>
      <c r="J259">
        <v>7.2985710424631117E-2</v>
      </c>
      <c r="K259">
        <v>4.2427983472856597E-2</v>
      </c>
      <c r="L259">
        <v>-1.425433754918807</v>
      </c>
      <c r="M259">
        <v>580.08156943406186</v>
      </c>
      <c r="N259">
        <v>-39.692307186353332</v>
      </c>
      <c r="O259">
        <v>540.38926224770853</v>
      </c>
      <c r="P259">
        <v>5.2113900507703299</v>
      </c>
      <c r="Q259">
        <v>46.140009101748149</v>
      </c>
      <c r="R259">
        <v>25.198611931399999</v>
      </c>
      <c r="S259">
        <v>-54.542452164888452</v>
      </c>
      <c r="T259">
        <v>-2062.121677611563</v>
      </c>
    </row>
    <row r="260" spans="1:20" x14ac:dyDescent="0.25">
      <c r="A260" s="1" t="s">
        <v>30</v>
      </c>
      <c r="B260">
        <v>2010</v>
      </c>
      <c r="C260">
        <v>636.76977082915278</v>
      </c>
      <c r="D260">
        <v>598.51730312431664</v>
      </c>
      <c r="E260">
        <v>38.252467704836171</v>
      </c>
      <c r="F260">
        <v>1.0050819878329369</v>
      </c>
      <c r="G260">
        <v>-6.9908701090487274E-2</v>
      </c>
      <c r="H260">
        <v>0.93517328674244971</v>
      </c>
      <c r="I260">
        <v>2.4006315495727331E-2</v>
      </c>
      <c r="J260">
        <v>7.3974413107667558E-2</v>
      </c>
      <c r="K260">
        <v>4.1736751632577992E-2</v>
      </c>
      <c r="L260">
        <v>-1.425490699412846</v>
      </c>
      <c r="M260">
        <v>640.00582705688862</v>
      </c>
      <c r="N260">
        <v>-44.515747572353327</v>
      </c>
      <c r="O260">
        <v>595.49007948453527</v>
      </c>
      <c r="P260">
        <v>15.28649601666663</v>
      </c>
      <c r="Q260">
        <v>47.104670081790537</v>
      </c>
      <c r="R260">
        <v>24.9801680283</v>
      </c>
      <c r="S260">
        <v>-54.528536942834222</v>
      </c>
      <c r="T260">
        <v>-2303.8872144512229</v>
      </c>
    </row>
    <row r="261" spans="1:20" x14ac:dyDescent="0.25">
      <c r="A261" s="1" t="s">
        <v>30</v>
      </c>
      <c r="B261">
        <v>2011</v>
      </c>
      <c r="C261">
        <v>641.36087499558982</v>
      </c>
      <c r="D261">
        <v>603.1196975308842</v>
      </c>
      <c r="E261">
        <v>38.241177464705672</v>
      </c>
      <c r="F261">
        <v>1.335196045051855</v>
      </c>
      <c r="G261">
        <v>-6.9408268118412164E-2</v>
      </c>
      <c r="H261">
        <v>1.2657877769334429</v>
      </c>
      <c r="I261">
        <v>3.10713967854832E-2</v>
      </c>
      <c r="J261">
        <v>0.15421837347141179</v>
      </c>
      <c r="K261">
        <v>4.1056337068699378E-2</v>
      </c>
      <c r="L261">
        <v>-1.4255476775554921</v>
      </c>
      <c r="M261">
        <v>856.34250374510862</v>
      </c>
      <c r="N261">
        <v>-44.515747572353327</v>
      </c>
      <c r="O261">
        <v>811.82675617275527</v>
      </c>
      <c r="P261">
        <v>19.927978229672661</v>
      </c>
      <c r="Q261">
        <v>98.909630950021352</v>
      </c>
      <c r="R261">
        <v>24.761885594599999</v>
      </c>
      <c r="S261">
        <v>-54.514621721798591</v>
      </c>
      <c r="T261">
        <v>-3303.3426404928859</v>
      </c>
    </row>
    <row r="262" spans="1:20" x14ac:dyDescent="0.25">
      <c r="A262" s="1" t="s">
        <v>30</v>
      </c>
      <c r="B262">
        <v>2012</v>
      </c>
      <c r="C262">
        <v>643.56499999681978</v>
      </c>
      <c r="D262">
        <v>605.60373885276579</v>
      </c>
      <c r="E262">
        <v>37.961261144054014</v>
      </c>
      <c r="F262">
        <v>1.4068652866177791</v>
      </c>
      <c r="G262">
        <v>-7.6989719580251942E-2</v>
      </c>
      <c r="H262">
        <v>1.3298755670375271</v>
      </c>
      <c r="I262">
        <v>3.1632305480285408E-2</v>
      </c>
      <c r="J262">
        <v>0.2239615707683501</v>
      </c>
      <c r="K262">
        <v>3.9299983486043667E-2</v>
      </c>
      <c r="L262">
        <v>-1.4269711601832871</v>
      </c>
      <c r="M262">
        <v>905.40925817769676</v>
      </c>
      <c r="N262">
        <v>-49.54788888142</v>
      </c>
      <c r="O262">
        <v>855.86136929627673</v>
      </c>
      <c r="P262">
        <v>20.357444676319279</v>
      </c>
      <c r="Q262">
        <v>144.13382829082099</v>
      </c>
      <c r="R262">
        <v>23.800216936000002</v>
      </c>
      <c r="S262">
        <v>-54.169624856751469</v>
      </c>
      <c r="T262">
        <v>-3629.9385259234368</v>
      </c>
    </row>
    <row r="263" spans="1:20" x14ac:dyDescent="0.25">
      <c r="A263" s="1" t="s">
        <v>30</v>
      </c>
      <c r="B263">
        <v>2013</v>
      </c>
      <c r="C263">
        <v>648.53049999926975</v>
      </c>
      <c r="D263">
        <v>610.47927249947168</v>
      </c>
      <c r="E263">
        <v>38.051227499798017</v>
      </c>
      <c r="F263">
        <v>1.2528460503438359</v>
      </c>
      <c r="G263">
        <v>-6.4697526710844347E-2</v>
      </c>
      <c r="H263">
        <v>1.1881485236329909</v>
      </c>
      <c r="I263">
        <v>3.619428892070773E-2</v>
      </c>
      <c r="J263">
        <v>0.30647355614711602</v>
      </c>
      <c r="K263">
        <v>3.870701233123431E-2</v>
      </c>
      <c r="L263">
        <v>-1.426511362615567</v>
      </c>
      <c r="M263">
        <v>812.50887545159799</v>
      </c>
      <c r="N263">
        <v>-41.958319346499998</v>
      </c>
      <c r="O263">
        <v>770.55055610509794</v>
      </c>
      <c r="P263">
        <v>23.473100290864611</v>
      </c>
      <c r="Q263">
        <v>198.7574486046434</v>
      </c>
      <c r="R263">
        <v>23.6298287286</v>
      </c>
      <c r="S263">
        <v>-54.280508389931811</v>
      </c>
      <c r="T263">
        <v>-3527.811559577659</v>
      </c>
    </row>
    <row r="264" spans="1:20" x14ac:dyDescent="0.25">
      <c r="A264" s="1" t="s">
        <v>30</v>
      </c>
      <c r="B264">
        <v>2014</v>
      </c>
      <c r="C264">
        <v>649.40581249878028</v>
      </c>
      <c r="D264">
        <v>611.67750196372867</v>
      </c>
      <c r="E264">
        <v>37.728310535051577</v>
      </c>
      <c r="F264">
        <v>1.36475449715594</v>
      </c>
      <c r="G264">
        <v>-6.0321722114403731E-2</v>
      </c>
      <c r="H264">
        <v>1.304432775041537</v>
      </c>
      <c r="I264">
        <v>4.6782585179333668E-2</v>
      </c>
      <c r="J264">
        <v>0.37762813267590728</v>
      </c>
      <c r="K264">
        <v>3.7100909029421363E-2</v>
      </c>
      <c r="L264">
        <v>-1.428171907721147</v>
      </c>
      <c r="M264">
        <v>886.27950308691777</v>
      </c>
      <c r="N264">
        <v>-39.173276961029998</v>
      </c>
      <c r="O264">
        <v>847.10622612588782</v>
      </c>
      <c r="P264">
        <v>30.380882739178581</v>
      </c>
      <c r="Q264">
        <v>245.23390432279481</v>
      </c>
      <c r="R264">
        <v>22.6937913557</v>
      </c>
      <c r="S264">
        <v>-53.882513231940457</v>
      </c>
      <c r="T264">
        <v>-4002.2850681429741</v>
      </c>
    </row>
    <row r="265" spans="1:20" x14ac:dyDescent="0.25">
      <c r="A265" s="1" t="s">
        <v>30</v>
      </c>
      <c r="B265">
        <v>2015</v>
      </c>
      <c r="C265">
        <v>652.12237499845003</v>
      </c>
      <c r="D265">
        <v>614.60834580760343</v>
      </c>
      <c r="E265">
        <v>37.514029190846557</v>
      </c>
      <c r="F265">
        <v>1.337872491547454</v>
      </c>
      <c r="G265">
        <v>-7.2409910629522928E-2</v>
      </c>
      <c r="H265">
        <v>1.265462580917931</v>
      </c>
      <c r="I265">
        <v>3.4855876466036252E-2</v>
      </c>
      <c r="J265">
        <v>0.44746901482069068</v>
      </c>
      <c r="K265">
        <v>3.5791245455664727E-2</v>
      </c>
      <c r="L265">
        <v>-1.4292895919337489</v>
      </c>
      <c r="M265">
        <v>872.4565866330197</v>
      </c>
      <c r="N265">
        <v>-47.220122893150013</v>
      </c>
      <c r="O265">
        <v>825.23646373986969</v>
      </c>
      <c r="P265">
        <v>22.730296943684142</v>
      </c>
      <c r="Q265">
        <v>291.80455668308548</v>
      </c>
      <c r="R265">
        <v>21.997598163900001</v>
      </c>
      <c r="S265">
        <v>-53.618411473975833</v>
      </c>
      <c r="T265">
        <v>-4063.2185148744361</v>
      </c>
    </row>
    <row r="266" spans="1:20" x14ac:dyDescent="0.25">
      <c r="A266" s="1" t="s">
        <v>30</v>
      </c>
      <c r="B266">
        <v>2016</v>
      </c>
      <c r="C266">
        <v>653.33912499561995</v>
      </c>
      <c r="D266">
        <v>616.11181712386133</v>
      </c>
      <c r="E266">
        <v>37.227307871758669</v>
      </c>
      <c r="F266">
        <v>0.94214671630965208</v>
      </c>
      <c r="G266">
        <v>-6.7554891089181127E-2</v>
      </c>
      <c r="H266">
        <v>0.87459182522047096</v>
      </c>
      <c r="I266">
        <v>4.4089963819032657E-2</v>
      </c>
      <c r="J266">
        <v>0.43710171960548022</v>
      </c>
      <c r="K266">
        <v>3.4347187020348467E-2</v>
      </c>
      <c r="L266">
        <v>-1.4308052473809241</v>
      </c>
      <c r="M266">
        <v>615.54131125124468</v>
      </c>
      <c r="N266">
        <v>-44.136253433379999</v>
      </c>
      <c r="O266">
        <v>571.40505781786464</v>
      </c>
      <c r="P266">
        <v>28.80569838261534</v>
      </c>
      <c r="Q266">
        <v>285.57565502112533</v>
      </c>
      <c r="R266">
        <v>21.161707808199999</v>
      </c>
      <c r="S266">
        <v>-53.265027448777481</v>
      </c>
      <c r="T266">
        <v>-3130.1713357973872</v>
      </c>
    </row>
    <row r="267" spans="1:20" x14ac:dyDescent="0.25">
      <c r="A267" s="1" t="s">
        <v>30</v>
      </c>
      <c r="B267">
        <v>2017</v>
      </c>
      <c r="C267">
        <v>654.90150000287974</v>
      </c>
      <c r="D267">
        <v>617.99870139343932</v>
      </c>
      <c r="E267">
        <v>36.902798609440381</v>
      </c>
      <c r="F267">
        <v>0.7286780411740672</v>
      </c>
      <c r="G267">
        <v>-6.4176942697245595E-2</v>
      </c>
      <c r="H267">
        <v>0.66450109847682159</v>
      </c>
      <c r="I267">
        <v>5.0836751174083282E-2</v>
      </c>
      <c r="J267">
        <v>0.43537749556992827</v>
      </c>
      <c r="K267">
        <v>3.2752527378554913E-2</v>
      </c>
      <c r="L267">
        <v>-1.4325490687591931</v>
      </c>
      <c r="M267">
        <v>477.21234218405681</v>
      </c>
      <c r="N267">
        <v>-42.029576038024999</v>
      </c>
      <c r="O267">
        <v>435.18276614603178</v>
      </c>
      <c r="P267">
        <v>33.293064599180298</v>
      </c>
      <c r="Q267">
        <v>285.12937491624319</v>
      </c>
      <c r="R267">
        <v>20.2410193873</v>
      </c>
      <c r="S267">
        <v>-52.865069782561868</v>
      </c>
      <c r="T267">
        <v>-2643.5975693096161</v>
      </c>
    </row>
    <row r="268" spans="1:20" x14ac:dyDescent="0.25">
      <c r="A268" s="1" t="s">
        <v>30</v>
      </c>
      <c r="B268">
        <v>2018</v>
      </c>
      <c r="C268">
        <v>656.40387499984263</v>
      </c>
      <c r="D268">
        <v>619.78764167822828</v>
      </c>
      <c r="E268">
        <v>36.616233321614303</v>
      </c>
      <c r="F268">
        <v>0.54097720123154547</v>
      </c>
      <c r="G268">
        <v>-6.6366555834607835E-2</v>
      </c>
      <c r="H268">
        <v>0.4746106453969377</v>
      </c>
      <c r="I268">
        <v>5.6344305139047042E-2</v>
      </c>
      <c r="J268">
        <v>0.42070288769053338</v>
      </c>
      <c r="K268">
        <v>3.1307550707140239E-2</v>
      </c>
      <c r="L268">
        <v>-1.4341146891037391</v>
      </c>
      <c r="M268">
        <v>355.0995311749561</v>
      </c>
      <c r="N268">
        <v>-43.563264420229999</v>
      </c>
      <c r="O268">
        <v>311.53626675472611</v>
      </c>
      <c r="P268">
        <v>36.984620227444033</v>
      </c>
      <c r="Q268">
        <v>276.15100570368969</v>
      </c>
      <c r="R268">
        <v>19.404033019500002</v>
      </c>
      <c r="S268">
        <v>-52.511878066176848</v>
      </c>
      <c r="T268">
        <v>-2169.068174677202</v>
      </c>
    </row>
    <row r="269" spans="1:20" x14ac:dyDescent="0.25">
      <c r="A269" s="1" t="s">
        <v>30</v>
      </c>
      <c r="B269">
        <v>2019</v>
      </c>
      <c r="C269">
        <v>657.78231249574935</v>
      </c>
      <c r="D269">
        <v>621.45249076499113</v>
      </c>
      <c r="E269">
        <v>36.329821730758212</v>
      </c>
      <c r="F269">
        <v>0.669935928544373</v>
      </c>
      <c r="G269">
        <v>-6.1557652381754577E-2</v>
      </c>
      <c r="H269">
        <v>0.60837827616261853</v>
      </c>
      <c r="I269">
        <v>5.7257572916772637E-2</v>
      </c>
      <c r="J269">
        <v>0.41904982086947828</v>
      </c>
      <c r="K269">
        <v>2.9866204416773061E-2</v>
      </c>
      <c r="L269">
        <v>-1.435704148707285</v>
      </c>
      <c r="M269">
        <v>440.67200430190479</v>
      </c>
      <c r="N269">
        <v>-40.491534935479997</v>
      </c>
      <c r="O269">
        <v>400.1804693664248</v>
      </c>
      <c r="P269">
        <v>37.663018721088697</v>
      </c>
      <c r="Q269">
        <v>275.64356022245488</v>
      </c>
      <c r="R269">
        <v>18.560427124499999</v>
      </c>
      <c r="S269">
        <v>-52.158875780645658</v>
      </c>
      <c r="T269">
        <v>-2492.9248653975769</v>
      </c>
    </row>
    <row r="270" spans="1:20" x14ac:dyDescent="0.25">
      <c r="A270" s="1" t="s">
        <v>30</v>
      </c>
      <c r="B270">
        <v>2020</v>
      </c>
      <c r="C270">
        <v>659.59300000153598</v>
      </c>
      <c r="D270">
        <v>623.35058195001807</v>
      </c>
      <c r="E270">
        <v>36.242418051517888</v>
      </c>
      <c r="F270">
        <v>0.64262231161288541</v>
      </c>
      <c r="G270">
        <v>-7.069696945748577E-2</v>
      </c>
      <c r="H270">
        <v>0.5719253421553997</v>
      </c>
      <c r="I270">
        <v>5.7719882041067767E-2</v>
      </c>
      <c r="J270">
        <v>0.33324067344539438</v>
      </c>
      <c r="K270">
        <v>2.8514609578603418E-2</v>
      </c>
      <c r="L270">
        <v>-1.440398775064788</v>
      </c>
      <c r="M270">
        <v>423.86917838466502</v>
      </c>
      <c r="N270">
        <v>-46.631226175480002</v>
      </c>
      <c r="O270">
        <v>377.23795220918498</v>
      </c>
      <c r="P270">
        <v>38.071630155202669</v>
      </c>
      <c r="Q270">
        <v>219.80321552037989</v>
      </c>
      <c r="R270">
        <v>17.774598474899999</v>
      </c>
      <c r="S270">
        <v>-52.203534566792342</v>
      </c>
      <c r="T270">
        <v>-2202.5074932407429</v>
      </c>
    </row>
    <row r="271" spans="1:20" x14ac:dyDescent="0.25">
      <c r="A271" s="1" t="s">
        <v>30</v>
      </c>
      <c r="B271">
        <v>2021</v>
      </c>
      <c r="C271">
        <v>664.62518750366439</v>
      </c>
      <c r="D271">
        <v>628.28389139694139</v>
      </c>
      <c r="E271">
        <v>36.341296106722979</v>
      </c>
      <c r="F271">
        <v>1.027441513801596</v>
      </c>
      <c r="G271">
        <v>-8.0329454429961158E-2</v>
      </c>
      <c r="H271">
        <v>0.94711205937163501</v>
      </c>
      <c r="I271">
        <v>4.6091670576777502E-2</v>
      </c>
      <c r="J271">
        <v>0.29305234528741392</v>
      </c>
      <c r="K271">
        <v>2.832393347159216E-2</v>
      </c>
      <c r="L271">
        <v>-1.454648306346453</v>
      </c>
      <c r="M271">
        <v>682.86350875943458</v>
      </c>
      <c r="N271">
        <v>-53.388978712579998</v>
      </c>
      <c r="O271">
        <v>629.47453004685462</v>
      </c>
      <c r="P271">
        <v>30.633685199447878</v>
      </c>
      <c r="Q271">
        <v>194.76996993503599</v>
      </c>
      <c r="R271">
        <v>17.7954711412</v>
      </c>
      <c r="S271">
        <v>-52.863804832079509</v>
      </c>
      <c r="T271">
        <v>-3005.9694554652901</v>
      </c>
    </row>
    <row r="272" spans="1:20" x14ac:dyDescent="0.25">
      <c r="A272" s="1" t="s">
        <v>30</v>
      </c>
      <c r="B272">
        <v>2022</v>
      </c>
      <c r="C272">
        <v>666.02631249752869</v>
      </c>
      <c r="D272">
        <v>629.7668284192016</v>
      </c>
      <c r="E272">
        <v>36.259484078327112</v>
      </c>
      <c r="F272">
        <v>1.187398650042494</v>
      </c>
      <c r="G272">
        <v>-6.6514078346933736E-2</v>
      </c>
      <c r="H272">
        <v>1.12088457169556</v>
      </c>
      <c r="I272">
        <v>3.5689652382516722E-2</v>
      </c>
      <c r="J272">
        <v>0.31198245179843243</v>
      </c>
      <c r="K272">
        <v>2.7784049212025E-2</v>
      </c>
      <c r="L272">
        <v>-1.458305322767228</v>
      </c>
      <c r="M272">
        <v>790.838744352346</v>
      </c>
      <c r="N272">
        <v>-44.300126330579999</v>
      </c>
      <c r="O272">
        <v>746.53861802176596</v>
      </c>
      <c r="P272">
        <v>23.770247570646251</v>
      </c>
      <c r="Q272">
        <v>207.7885219352479</v>
      </c>
      <c r="R272">
        <v>17.4974725529</v>
      </c>
      <c r="S272">
        <v>-52.877398632217968</v>
      </c>
      <c r="T272">
        <v>-3456.6306919775689</v>
      </c>
    </row>
    <row r="273" spans="1:20" x14ac:dyDescent="0.25">
      <c r="A273" s="1" t="s">
        <v>30</v>
      </c>
      <c r="B273">
        <v>2023</v>
      </c>
      <c r="C273">
        <v>666.63099999883775</v>
      </c>
      <c r="D273">
        <v>630.42441363433818</v>
      </c>
      <c r="E273">
        <v>36.206586364499543</v>
      </c>
      <c r="F273">
        <v>1.5549290287279181</v>
      </c>
      <c r="G273">
        <v>-7.2552398773960886E-2</v>
      </c>
      <c r="H273">
        <v>1.4823766299539569</v>
      </c>
      <c r="I273">
        <v>2.4112051987320811E-2</v>
      </c>
      <c r="J273">
        <v>0.1930813515193581</v>
      </c>
      <c r="K273">
        <v>2.7263559776524209E-2</v>
      </c>
      <c r="L273">
        <v>-1.459295124334248</v>
      </c>
      <c r="M273">
        <v>1036.563893348113</v>
      </c>
      <c r="N273">
        <v>-48.365678146999997</v>
      </c>
      <c r="O273">
        <v>988.19821520111316</v>
      </c>
      <c r="P273">
        <v>16.073841328331639</v>
      </c>
      <c r="Q273">
        <v>128.71401444447679</v>
      </c>
      <c r="R273">
        <v>17.187613685700001</v>
      </c>
      <c r="S273">
        <v>-52.836094950501042</v>
      </c>
      <c r="T273">
        <v>-4023.5711622671402</v>
      </c>
    </row>
    <row r="274" spans="1:20" x14ac:dyDescent="0.25">
      <c r="A274" s="1" t="s">
        <v>31</v>
      </c>
      <c r="B274">
        <v>1990</v>
      </c>
      <c r="C274">
        <v>14200.430869318179</v>
      </c>
      <c r="D274">
        <v>14200.430869318179</v>
      </c>
      <c r="E274" t="s">
        <v>96</v>
      </c>
      <c r="F274">
        <v>0.59276100047187497</v>
      </c>
      <c r="G274" t="s">
        <v>96</v>
      </c>
      <c r="H274">
        <v>0.59276100047187497</v>
      </c>
      <c r="I274">
        <v>5.0444735968142279E-2</v>
      </c>
      <c r="J274">
        <v>2.1206650355147089E-2</v>
      </c>
      <c r="K274">
        <v>4.6696144298267801E-2</v>
      </c>
      <c r="L274" t="s">
        <v>96</v>
      </c>
      <c r="M274">
        <v>8417.4616092287415</v>
      </c>
      <c r="N274" t="s">
        <v>96</v>
      </c>
      <c r="O274">
        <v>8417.4616092287415</v>
      </c>
      <c r="P274">
        <v>716.33698583661283</v>
      </c>
      <c r="Q274">
        <v>301.14357233806822</v>
      </c>
      <c r="R274">
        <v>663.10536897125826</v>
      </c>
      <c r="S274" t="s">
        <v>96</v>
      </c>
      <c r="T274">
        <v>-37026.174300043873</v>
      </c>
    </row>
    <row r="275" spans="1:20" x14ac:dyDescent="0.25">
      <c r="A275" s="1" t="s">
        <v>31</v>
      </c>
      <c r="B275">
        <v>1991</v>
      </c>
      <c r="C275">
        <v>14326.377988636361</v>
      </c>
      <c r="D275">
        <v>14326.377988636361</v>
      </c>
      <c r="E275" t="s">
        <v>96</v>
      </c>
      <c r="F275">
        <v>0.59286700029911588</v>
      </c>
      <c r="G275" t="s">
        <v>96</v>
      </c>
      <c r="H275">
        <v>0.59286700029911588</v>
      </c>
      <c r="I275">
        <v>5.0091827121312528E-2</v>
      </c>
      <c r="J275">
        <v>2.1290144102656131E-2</v>
      </c>
      <c r="K275">
        <v>4.708610038443823E-2</v>
      </c>
      <c r="L275" t="s">
        <v>96</v>
      </c>
      <c r="M275">
        <v>8493.6367432741208</v>
      </c>
      <c r="N275" t="s">
        <v>96</v>
      </c>
      <c r="O275">
        <v>8493.6367432741208</v>
      </c>
      <c r="P275">
        <v>717.63444948134986</v>
      </c>
      <c r="Q275">
        <v>305.01065184718902</v>
      </c>
      <c r="R275">
        <v>674.57327211833808</v>
      </c>
      <c r="S275" t="s">
        <v>96</v>
      </c>
      <c r="T275">
        <v>-37366.468761313721</v>
      </c>
    </row>
    <row r="276" spans="1:20" x14ac:dyDescent="0.25">
      <c r="A276" s="1" t="s">
        <v>31</v>
      </c>
      <c r="B276">
        <v>1992</v>
      </c>
      <c r="C276">
        <v>14452.325107954541</v>
      </c>
      <c r="D276">
        <v>14452.325107954541</v>
      </c>
      <c r="E276" t="s">
        <v>96</v>
      </c>
      <c r="F276">
        <v>0.59297115262115752</v>
      </c>
      <c r="G276" t="s">
        <v>96</v>
      </c>
      <c r="H276">
        <v>0.59297115262115752</v>
      </c>
      <c r="I276">
        <v>4.9745069236671657E-2</v>
      </c>
      <c r="J276">
        <v>2.1372182610693131E-2</v>
      </c>
      <c r="K276">
        <v>4.7469259800128727E-2</v>
      </c>
      <c r="L276" t="s">
        <v>96</v>
      </c>
      <c r="M276">
        <v>8569.8118773195001</v>
      </c>
      <c r="N276" t="s">
        <v>96</v>
      </c>
      <c r="O276">
        <v>8569.8118773195001</v>
      </c>
      <c r="P276">
        <v>718.93191312608701</v>
      </c>
      <c r="Q276">
        <v>308.87773135630982</v>
      </c>
      <c r="R276">
        <v>686.04117526541779</v>
      </c>
      <c r="S276" t="s">
        <v>96</v>
      </c>
      <c r="T276">
        <v>-37706.763222583577</v>
      </c>
    </row>
    <row r="277" spans="1:20" x14ac:dyDescent="0.25">
      <c r="A277" s="1" t="s">
        <v>31</v>
      </c>
      <c r="B277">
        <v>1993</v>
      </c>
      <c r="C277">
        <v>14578.27222727273</v>
      </c>
      <c r="D277">
        <v>14578.27222727273</v>
      </c>
      <c r="E277" t="s">
        <v>96</v>
      </c>
      <c r="F277">
        <v>0.59307350532185465</v>
      </c>
      <c r="G277" t="s">
        <v>96</v>
      </c>
      <c r="H277">
        <v>0.59307350532185465</v>
      </c>
      <c r="I277">
        <v>4.9404302892865001E-2</v>
      </c>
      <c r="J277">
        <v>2.1452803596324271E-2</v>
      </c>
      <c r="K277">
        <v>4.784579870223659E-2</v>
      </c>
      <c r="L277" t="s">
        <v>96</v>
      </c>
      <c r="M277">
        <v>8645.9870113648794</v>
      </c>
      <c r="N277" t="s">
        <v>96</v>
      </c>
      <c r="O277">
        <v>8645.9870113648794</v>
      </c>
      <c r="P277">
        <v>720.22937677082359</v>
      </c>
      <c r="Q277">
        <v>312.74481086543062</v>
      </c>
      <c r="R277">
        <v>697.50907841249727</v>
      </c>
      <c r="S277" t="s">
        <v>96</v>
      </c>
      <c r="T277">
        <v>-38047.057683853433</v>
      </c>
    </row>
    <row r="278" spans="1:20" x14ac:dyDescent="0.25">
      <c r="A278" s="1" t="s">
        <v>31</v>
      </c>
      <c r="B278">
        <v>1994</v>
      </c>
      <c r="C278">
        <v>14704.219346590909</v>
      </c>
      <c r="D278">
        <v>14704.219346590909</v>
      </c>
      <c r="E278" t="s">
        <v>96</v>
      </c>
      <c r="F278">
        <v>0.59317410464449061</v>
      </c>
      <c r="G278" t="s">
        <v>96</v>
      </c>
      <c r="H278">
        <v>0.59317410464449061</v>
      </c>
      <c r="I278">
        <v>4.9069374130551312E-2</v>
      </c>
      <c r="J278">
        <v>2.153204348437281E-2</v>
      </c>
      <c r="K278">
        <v>4.8215887212261249E-2</v>
      </c>
      <c r="L278" t="s">
        <v>96</v>
      </c>
      <c r="M278">
        <v>8722.1621454102587</v>
      </c>
      <c r="N278" t="s">
        <v>96</v>
      </c>
      <c r="O278">
        <v>8722.1621454102587</v>
      </c>
      <c r="P278">
        <v>721.52684041556006</v>
      </c>
      <c r="Q278">
        <v>316.61189037455142</v>
      </c>
      <c r="R278">
        <v>708.9769815595771</v>
      </c>
      <c r="S278" t="s">
        <v>96</v>
      </c>
      <c r="T278">
        <v>-38387.352145123303</v>
      </c>
    </row>
    <row r="279" spans="1:20" x14ac:dyDescent="0.25">
      <c r="A279" s="1" t="s">
        <v>31</v>
      </c>
      <c r="B279">
        <v>1995</v>
      </c>
      <c r="C279">
        <v>14830.166465909089</v>
      </c>
      <c r="D279">
        <v>14830.166465909089</v>
      </c>
      <c r="E279" t="s">
        <v>96</v>
      </c>
      <c r="F279">
        <v>0.59327299526143917</v>
      </c>
      <c r="G279" t="s">
        <v>96</v>
      </c>
      <c r="H279">
        <v>0.59327299526143917</v>
      </c>
      <c r="I279">
        <v>4.8740134220468342E-2</v>
      </c>
      <c r="J279">
        <v>2.1609937462291791E-2</v>
      </c>
      <c r="K279">
        <v>4.8579689672586121E-2</v>
      </c>
      <c r="L279" t="s">
        <v>96</v>
      </c>
      <c r="M279">
        <v>8798.3372794556381</v>
      </c>
      <c r="N279" t="s">
        <v>96</v>
      </c>
      <c r="O279">
        <v>8798.3372794556381</v>
      </c>
      <c r="P279">
        <v>722.82430406029778</v>
      </c>
      <c r="Q279">
        <v>320.47896988367228</v>
      </c>
      <c r="R279">
        <v>720.44488470665692</v>
      </c>
      <c r="S279" t="s">
        <v>96</v>
      </c>
      <c r="T279">
        <v>-38727.646606393151</v>
      </c>
    </row>
    <row r="280" spans="1:20" x14ac:dyDescent="0.25">
      <c r="A280" s="1" t="s">
        <v>31</v>
      </c>
      <c r="B280">
        <v>1996</v>
      </c>
      <c r="C280">
        <v>14956.113585227269</v>
      </c>
      <c r="D280">
        <v>14956.113585227269</v>
      </c>
      <c r="E280" t="s">
        <v>96</v>
      </c>
      <c r="F280">
        <v>0.59337022034031051</v>
      </c>
      <c r="G280" t="s">
        <v>96</v>
      </c>
      <c r="H280">
        <v>0.59337022034031051</v>
      </c>
      <c r="I280">
        <v>4.8416439443217177E-2</v>
      </c>
      <c r="J280">
        <v>2.1686519532264199E-2</v>
      </c>
      <c r="K280">
        <v>4.893736488981168E-2</v>
      </c>
      <c r="L280" t="s">
        <v>96</v>
      </c>
      <c r="M280">
        <v>8874.5124135010174</v>
      </c>
      <c r="N280" t="s">
        <v>96</v>
      </c>
      <c r="O280">
        <v>8874.5124135010174</v>
      </c>
      <c r="P280">
        <v>724.12176770503413</v>
      </c>
      <c r="Q280">
        <v>324.34604939279308</v>
      </c>
      <c r="R280">
        <v>731.91278785373663</v>
      </c>
      <c r="S280" t="s">
        <v>96</v>
      </c>
      <c r="T280">
        <v>-39067.941067663007</v>
      </c>
    </row>
    <row r="281" spans="1:20" x14ac:dyDescent="0.25">
      <c r="A281" s="1" t="s">
        <v>31</v>
      </c>
      <c r="B281">
        <v>1997</v>
      </c>
      <c r="C281">
        <v>15082.060704545451</v>
      </c>
      <c r="D281">
        <v>15082.060704545451</v>
      </c>
      <c r="E281" t="s">
        <v>96</v>
      </c>
      <c r="F281">
        <v>0.59346582160677985</v>
      </c>
      <c r="G281" t="s">
        <v>96</v>
      </c>
      <c r="H281">
        <v>0.59346582160677985</v>
      </c>
      <c r="I281">
        <v>4.8098150880081181E-2</v>
      </c>
      <c r="J281">
        <v>2.176182256069268E-2</v>
      </c>
      <c r="K281">
        <v>4.9289066365896222E-2</v>
      </c>
      <c r="L281" t="s">
        <v>96</v>
      </c>
      <c r="M281">
        <v>8950.6875475463967</v>
      </c>
      <c r="N281" t="s">
        <v>96</v>
      </c>
      <c r="O281">
        <v>8950.6875475463967</v>
      </c>
      <c r="P281">
        <v>725.41923134977071</v>
      </c>
      <c r="Q281">
        <v>328.21312890191388</v>
      </c>
      <c r="R281">
        <v>743.38069100081634</v>
      </c>
      <c r="S281" t="s">
        <v>96</v>
      </c>
      <c r="T281">
        <v>-39408.235528932877</v>
      </c>
    </row>
    <row r="282" spans="1:20" x14ac:dyDescent="0.25">
      <c r="A282" s="1" t="s">
        <v>31</v>
      </c>
      <c r="B282">
        <v>1998</v>
      </c>
      <c r="C282">
        <v>15208.00782386364</v>
      </c>
      <c r="D282">
        <v>15208.00782386364</v>
      </c>
      <c r="E282" t="s">
        <v>96</v>
      </c>
      <c r="F282">
        <v>0.61080009926762879</v>
      </c>
      <c r="G282" t="s">
        <v>96</v>
      </c>
      <c r="H282">
        <v>0.61080009926762879</v>
      </c>
      <c r="I282">
        <v>4.4724915649485622E-2</v>
      </c>
      <c r="J282">
        <v>2.1835878325230158E-2</v>
      </c>
      <c r="K282">
        <v>4.9634942517811302E-2</v>
      </c>
      <c r="L282" t="s">
        <v>96</v>
      </c>
      <c r="M282">
        <v>9289.0526884787851</v>
      </c>
      <c r="N282" t="s">
        <v>96</v>
      </c>
      <c r="O282">
        <v>9289.0526884787851</v>
      </c>
      <c r="P282">
        <v>680.17686711901854</v>
      </c>
      <c r="Q282">
        <v>332.08020841103468</v>
      </c>
      <c r="R282">
        <v>754.84859414789605</v>
      </c>
      <c r="S282" t="s">
        <v>96</v>
      </c>
      <c r="T282">
        <v>-40539.24731324504</v>
      </c>
    </row>
    <row r="283" spans="1:20" x14ac:dyDescent="0.25">
      <c r="A283" s="1" t="s">
        <v>31</v>
      </c>
      <c r="B283">
        <v>1999</v>
      </c>
      <c r="C283">
        <v>15333.95494318182</v>
      </c>
      <c r="D283">
        <v>15333.95494318182</v>
      </c>
      <c r="E283" t="s">
        <v>96</v>
      </c>
      <c r="F283">
        <v>0.63316668617728933</v>
      </c>
      <c r="G283" t="s">
        <v>96</v>
      </c>
      <c r="H283">
        <v>0.63316668617728933</v>
      </c>
      <c r="I283">
        <v>3.2837803426671627E-2</v>
      </c>
      <c r="J283">
        <v>2.1908717559492571E-2</v>
      </c>
      <c r="K283">
        <v>4.997513688637225E-2</v>
      </c>
      <c r="L283" t="s">
        <v>96</v>
      </c>
      <c r="M283">
        <v>9708.9494373662965</v>
      </c>
      <c r="N283" t="s">
        <v>96</v>
      </c>
      <c r="O283">
        <v>9708.9494373662965</v>
      </c>
      <c r="P283">
        <v>503.53339817764419</v>
      </c>
      <c r="Q283">
        <v>335.94728792015547</v>
      </c>
      <c r="R283">
        <v>766.31649729497576</v>
      </c>
      <c r="S283" t="s">
        <v>96</v>
      </c>
      <c r="T283">
        <v>-41487.404276120367</v>
      </c>
    </row>
    <row r="284" spans="1:20" x14ac:dyDescent="0.25">
      <c r="A284" s="1" t="s">
        <v>31</v>
      </c>
      <c r="B284">
        <v>2000</v>
      </c>
      <c r="C284">
        <v>15459.902062499999</v>
      </c>
      <c r="D284">
        <v>15459.902062499999</v>
      </c>
      <c r="E284" t="s">
        <v>96</v>
      </c>
      <c r="F284">
        <v>0.6624177908831157</v>
      </c>
      <c r="G284" t="s">
        <v>96</v>
      </c>
      <c r="H284">
        <v>0.6624177908831157</v>
      </c>
      <c r="I284">
        <v>2.8731015040410649E-2</v>
      </c>
      <c r="J284">
        <v>2.198036999558621E-2</v>
      </c>
      <c r="K284">
        <v>5.030978833486096E-2</v>
      </c>
      <c r="L284" t="s">
        <v>96</v>
      </c>
      <c r="M284">
        <v>10240.914171510571</v>
      </c>
      <c r="N284" t="s">
        <v>96</v>
      </c>
      <c r="O284">
        <v>10240.914171510571</v>
      </c>
      <c r="P284">
        <v>444.17867868096317</v>
      </c>
      <c r="Q284">
        <v>339.81436742927627</v>
      </c>
      <c r="R284">
        <v>777.78440044205547</v>
      </c>
      <c r="S284" t="s">
        <v>96</v>
      </c>
      <c r="T284">
        <v>-43276.535932901119</v>
      </c>
    </row>
    <row r="285" spans="1:20" x14ac:dyDescent="0.25">
      <c r="A285" s="1" t="s">
        <v>31</v>
      </c>
      <c r="B285">
        <v>2001</v>
      </c>
      <c r="C285">
        <v>15617.650374999999</v>
      </c>
      <c r="D285">
        <v>15617.650374999999</v>
      </c>
      <c r="E285" t="s">
        <v>96</v>
      </c>
      <c r="F285">
        <v>0.67085823034463332</v>
      </c>
      <c r="G285" t="s">
        <v>96</v>
      </c>
      <c r="H285">
        <v>0.67085823034463332</v>
      </c>
      <c r="I285">
        <v>2.6765003604231011E-2</v>
      </c>
      <c r="J285">
        <v>2.2253738768047811E-2</v>
      </c>
      <c r="K285">
        <v>5.1002792832168568E-2</v>
      </c>
      <c r="L285" t="s">
        <v>96</v>
      </c>
      <c r="M285">
        <v>10477.2292927137</v>
      </c>
      <c r="N285" t="s">
        <v>96</v>
      </c>
      <c r="O285">
        <v>10477.2292927137</v>
      </c>
      <c r="P285">
        <v>418.00646857649491</v>
      </c>
      <c r="Q285">
        <v>347.55111161595403</v>
      </c>
      <c r="R285">
        <v>796.54378660136479</v>
      </c>
      <c r="S285" t="s">
        <v>96</v>
      </c>
      <c r="T285">
        <v>-44144.212418198244</v>
      </c>
    </row>
    <row r="286" spans="1:20" x14ac:dyDescent="0.25">
      <c r="A286" s="1" t="s">
        <v>31</v>
      </c>
      <c r="B286">
        <v>2002</v>
      </c>
      <c r="C286">
        <v>15775.398687499999</v>
      </c>
      <c r="D286">
        <v>15775.398687499999</v>
      </c>
      <c r="E286" t="s">
        <v>96</v>
      </c>
      <c r="F286">
        <v>0.65878540121663709</v>
      </c>
      <c r="G286" t="s">
        <v>96</v>
      </c>
      <c r="H286">
        <v>0.65878540121663709</v>
      </c>
      <c r="I286">
        <v>1.9555289347909701E-2</v>
      </c>
      <c r="J286">
        <v>2.2521640361720441E-2</v>
      </c>
      <c r="K286">
        <v>5.16819377380743E-2</v>
      </c>
      <c r="L286" t="s">
        <v>96</v>
      </c>
      <c r="M286">
        <v>10392.602353697101</v>
      </c>
      <c r="N286" t="s">
        <v>96</v>
      </c>
      <c r="O286">
        <v>10392.602353697101</v>
      </c>
      <c r="P286">
        <v>308.49248591269742</v>
      </c>
      <c r="Q286">
        <v>355.28785580263161</v>
      </c>
      <c r="R286">
        <v>815.30317276067399</v>
      </c>
      <c r="S286" t="s">
        <v>96</v>
      </c>
      <c r="T286">
        <v>-43529.514849971987</v>
      </c>
    </row>
    <row r="287" spans="1:20" x14ac:dyDescent="0.25">
      <c r="A287" s="1" t="s">
        <v>31</v>
      </c>
      <c r="B287">
        <v>2003</v>
      </c>
      <c r="C287">
        <v>15933.147000000001</v>
      </c>
      <c r="D287">
        <v>15933.147000000001</v>
      </c>
      <c r="E287" t="s">
        <v>96</v>
      </c>
      <c r="F287">
        <v>0.65287417684534854</v>
      </c>
      <c r="G287" t="s">
        <v>96</v>
      </c>
      <c r="H287">
        <v>0.65287417684534854</v>
      </c>
      <c r="I287">
        <v>1.430811532302491E-2</v>
      </c>
      <c r="J287">
        <v>2.2784237162269901E-2</v>
      </c>
      <c r="K287">
        <v>5.2347634708948793E-2</v>
      </c>
      <c r="L287" t="s">
        <v>96</v>
      </c>
      <c r="M287">
        <v>10402.340232180941</v>
      </c>
      <c r="N287" t="s">
        <v>96</v>
      </c>
      <c r="O287">
        <v>10402.340232180941</v>
      </c>
      <c r="P287">
        <v>227.97330473470839</v>
      </c>
      <c r="Q287">
        <v>363.02459998930919</v>
      </c>
      <c r="R287">
        <v>834.0625589199833</v>
      </c>
      <c r="S287" t="s">
        <v>96</v>
      </c>
      <c r="T287">
        <v>-43367.135884695374</v>
      </c>
    </row>
    <row r="288" spans="1:20" x14ac:dyDescent="0.25">
      <c r="A288" s="1" t="s">
        <v>31</v>
      </c>
      <c r="B288">
        <v>2004</v>
      </c>
      <c r="C288">
        <v>16090.895312500001</v>
      </c>
      <c r="D288">
        <v>16090.895312500001</v>
      </c>
      <c r="E288" t="s">
        <v>96</v>
      </c>
      <c r="F288">
        <v>0.65468647149449932</v>
      </c>
      <c r="G288" t="s">
        <v>96</v>
      </c>
      <c r="H288">
        <v>0.65468647149449932</v>
      </c>
      <c r="I288">
        <v>9.013299438337747E-3</v>
      </c>
      <c r="J288">
        <v>2.3041685187521289E-2</v>
      </c>
      <c r="K288">
        <v>5.3000279258344878E-2</v>
      </c>
      <c r="L288" t="s">
        <v>96</v>
      </c>
      <c r="M288">
        <v>10534.491475328001</v>
      </c>
      <c r="N288" t="s">
        <v>96</v>
      </c>
      <c r="O288">
        <v>10534.491475328001</v>
      </c>
      <c r="P288">
        <v>145.03205768250771</v>
      </c>
      <c r="Q288">
        <v>370.76134417598689</v>
      </c>
      <c r="R288">
        <v>852.82194507929262</v>
      </c>
      <c r="S288" t="s">
        <v>96</v>
      </c>
      <c r="T288">
        <v>-43644.725014978532</v>
      </c>
    </row>
    <row r="289" spans="1:20" x14ac:dyDescent="0.25">
      <c r="A289" s="1" t="s">
        <v>31</v>
      </c>
      <c r="B289">
        <v>2005</v>
      </c>
      <c r="C289">
        <v>16248.643625000001</v>
      </c>
      <c r="D289">
        <v>16248.643625000001</v>
      </c>
      <c r="E289" t="s">
        <v>96</v>
      </c>
      <c r="F289">
        <v>0.67480017694139272</v>
      </c>
      <c r="G289" t="s">
        <v>96</v>
      </c>
      <c r="H289">
        <v>0.67480017694139272</v>
      </c>
      <c r="I289">
        <v>4.4844035934775376E-3</v>
      </c>
      <c r="J289">
        <v>2.3294134396566558E-2</v>
      </c>
      <c r="K289">
        <v>5.364025154060216E-2</v>
      </c>
      <c r="L289" t="s">
        <v>96</v>
      </c>
      <c r="M289">
        <v>10964.587593207631</v>
      </c>
      <c r="N289" t="s">
        <v>96</v>
      </c>
      <c r="O289">
        <v>10964.587593207631</v>
      </c>
      <c r="P289">
        <v>72.865475861085883</v>
      </c>
      <c r="Q289">
        <v>378.49808836266448</v>
      </c>
      <c r="R289">
        <v>871.58133123860171</v>
      </c>
      <c r="S289" t="s">
        <v>96</v>
      </c>
      <c r="T289">
        <v>-45054.285791794042</v>
      </c>
    </row>
    <row r="290" spans="1:20" x14ac:dyDescent="0.25">
      <c r="A290" s="1" t="s">
        <v>31</v>
      </c>
      <c r="B290">
        <v>2006</v>
      </c>
      <c r="C290">
        <v>16406.3919375</v>
      </c>
      <c r="D290">
        <v>16406.3919375</v>
      </c>
      <c r="E290" t="s">
        <v>96</v>
      </c>
      <c r="F290">
        <v>0.67644306876506766</v>
      </c>
      <c r="G290" t="s">
        <v>96</v>
      </c>
      <c r="H290">
        <v>0.67644306876506766</v>
      </c>
      <c r="I290">
        <v>2.632671445377815E-3</v>
      </c>
      <c r="J290">
        <v>2.3541728981039841E-2</v>
      </c>
      <c r="K290">
        <v>5.4267917089245207E-2</v>
      </c>
      <c r="L290" t="s">
        <v>96</v>
      </c>
      <c r="M290">
        <v>11097.99010956496</v>
      </c>
      <c r="N290" t="s">
        <v>96</v>
      </c>
      <c r="O290">
        <v>11097.99010956496</v>
      </c>
      <c r="P290">
        <v>43.192639575533057</v>
      </c>
      <c r="Q290">
        <v>386.23483254934217</v>
      </c>
      <c r="R290">
        <v>890.34071739791113</v>
      </c>
      <c r="S290" t="s">
        <v>96</v>
      </c>
      <c r="T290">
        <v>-45531.780429992563</v>
      </c>
    </row>
    <row r="291" spans="1:20" x14ac:dyDescent="0.25">
      <c r="A291" s="1" t="s">
        <v>31</v>
      </c>
      <c r="B291">
        <v>2007</v>
      </c>
      <c r="C291">
        <v>16516.326458333329</v>
      </c>
      <c r="D291">
        <v>16516.326458333329</v>
      </c>
      <c r="E291" t="s">
        <v>96</v>
      </c>
      <c r="F291">
        <v>0.67489079295548249</v>
      </c>
      <c r="G291" t="s">
        <v>96</v>
      </c>
      <c r="H291">
        <v>0.67489079295548249</v>
      </c>
      <c r="I291">
        <v>2.7008405583818641E-3</v>
      </c>
      <c r="J291">
        <v>2.343831891754147E-2</v>
      </c>
      <c r="K291">
        <v>5.462634456558111E-2</v>
      </c>
      <c r="L291" t="s">
        <v>96</v>
      </c>
      <c r="M291">
        <v>11146.7166601762</v>
      </c>
      <c r="N291" t="s">
        <v>96</v>
      </c>
      <c r="O291">
        <v>11146.7166601762</v>
      </c>
      <c r="P291">
        <v>44.607964374142163</v>
      </c>
      <c r="Q291">
        <v>387.1149268766448</v>
      </c>
      <c r="R291">
        <v>902.22654007054052</v>
      </c>
      <c r="S291" t="s">
        <v>96</v>
      </c>
      <c r="T291">
        <v>-45762.442335495078</v>
      </c>
    </row>
    <row r="292" spans="1:20" x14ac:dyDescent="0.25">
      <c r="A292" s="1" t="s">
        <v>31</v>
      </c>
      <c r="B292">
        <v>2008</v>
      </c>
      <c r="C292">
        <v>16626.260979166669</v>
      </c>
      <c r="D292">
        <v>16626.260979166669</v>
      </c>
      <c r="E292" t="s">
        <v>96</v>
      </c>
      <c r="F292">
        <v>0.67352554210687143</v>
      </c>
      <c r="G292" t="s">
        <v>96</v>
      </c>
      <c r="H292">
        <v>0.67352554210687143</v>
      </c>
      <c r="I292">
        <v>2.70101396570664E-3</v>
      </c>
      <c r="J292">
        <v>2.3336276369661211E-2</v>
      </c>
      <c r="K292">
        <v>5.4980032124395693E-2</v>
      </c>
      <c r="L292" t="s">
        <v>96</v>
      </c>
      <c r="M292">
        <v>11198.211439203549</v>
      </c>
      <c r="N292" t="s">
        <v>96</v>
      </c>
      <c r="O292">
        <v>11198.211439203549</v>
      </c>
      <c r="P292">
        <v>44.907763102212527</v>
      </c>
      <c r="Q292">
        <v>387.99502120394737</v>
      </c>
      <c r="R292">
        <v>914.11236274317002</v>
      </c>
      <c r="S292" t="s">
        <v>96</v>
      </c>
      <c r="T292">
        <v>-45999.164149598088</v>
      </c>
    </row>
    <row r="293" spans="1:20" x14ac:dyDescent="0.25">
      <c r="A293" s="1" t="s">
        <v>31</v>
      </c>
      <c r="B293">
        <v>2009</v>
      </c>
      <c r="C293">
        <v>16736.195500000002</v>
      </c>
      <c r="D293">
        <v>16736.195500000002</v>
      </c>
      <c r="E293" t="s">
        <v>96</v>
      </c>
      <c r="F293">
        <v>0.67217822701885321</v>
      </c>
      <c r="G293" t="s">
        <v>96</v>
      </c>
      <c r="H293">
        <v>0.67217822701885321</v>
      </c>
      <c r="I293">
        <v>2.701185094920918E-3</v>
      </c>
      <c r="J293">
        <v>2.3235574389128641E-2</v>
      </c>
      <c r="K293">
        <v>5.5329073170530263E-2</v>
      </c>
      <c r="L293" t="s">
        <v>96</v>
      </c>
      <c r="M293">
        <v>11249.706218230909</v>
      </c>
      <c r="N293" t="s">
        <v>96</v>
      </c>
      <c r="O293">
        <v>11249.706218230909</v>
      </c>
      <c r="P293">
        <v>45.207561830282543</v>
      </c>
      <c r="Q293">
        <v>388.87511553125</v>
      </c>
      <c r="R293">
        <v>925.9981854157993</v>
      </c>
      <c r="S293" t="s">
        <v>96</v>
      </c>
      <c r="T293">
        <v>-46235.88596370109</v>
      </c>
    </row>
    <row r="294" spans="1:20" x14ac:dyDescent="0.25">
      <c r="A294" s="1" t="s">
        <v>31</v>
      </c>
      <c r="B294">
        <v>2010</v>
      </c>
      <c r="C294">
        <v>16900.45414583333</v>
      </c>
      <c r="D294">
        <v>16900.45414583333</v>
      </c>
      <c r="E294" t="s">
        <v>96</v>
      </c>
      <c r="F294">
        <v>0.6687323193618836</v>
      </c>
      <c r="G294" t="s">
        <v>96</v>
      </c>
      <c r="H294">
        <v>0.6687323193618836</v>
      </c>
      <c r="I294">
        <v>2.7413848131238108E-3</v>
      </c>
      <c r="J294">
        <v>2.320364996290334E-2</v>
      </c>
      <c r="K294">
        <v>5.6664086787395401E-2</v>
      </c>
      <c r="L294" t="s">
        <v>96</v>
      </c>
      <c r="M294">
        <v>11301.87989921229</v>
      </c>
      <c r="N294" t="s">
        <v>96</v>
      </c>
      <c r="O294">
        <v>11301.87989921229</v>
      </c>
      <c r="P294">
        <v>46.330648330282862</v>
      </c>
      <c r="Q294">
        <v>392.15222221401518</v>
      </c>
      <c r="R294">
        <v>957.64880046589644</v>
      </c>
      <c r="S294" t="s">
        <v>96</v>
      </c>
      <c r="T294">
        <v>-46559.375757486661</v>
      </c>
    </row>
    <row r="295" spans="1:20" x14ac:dyDescent="0.25">
      <c r="A295" s="1" t="s">
        <v>31</v>
      </c>
      <c r="B295">
        <v>2011</v>
      </c>
      <c r="C295">
        <v>17064.712791666661</v>
      </c>
      <c r="D295">
        <v>17064.712791666661</v>
      </c>
      <c r="E295" t="s">
        <v>96</v>
      </c>
      <c r="F295">
        <v>0.66535274978306502</v>
      </c>
      <c r="G295" t="s">
        <v>96</v>
      </c>
      <c r="H295">
        <v>0.66535274978306502</v>
      </c>
      <c r="I295">
        <v>2.7808106359373348E-3</v>
      </c>
      <c r="J295">
        <v>2.3172340122236519E-2</v>
      </c>
      <c r="K295">
        <v>5.7973399704629378E-2</v>
      </c>
      <c r="L295" t="s">
        <v>96</v>
      </c>
      <c r="M295">
        <v>11354.05358019366</v>
      </c>
      <c r="N295" t="s">
        <v>96</v>
      </c>
      <c r="O295">
        <v>11354.05358019366</v>
      </c>
      <c r="P295">
        <v>47.453734830282563</v>
      </c>
      <c r="Q295">
        <v>395.42932889678031</v>
      </c>
      <c r="R295">
        <v>989.29941551599336</v>
      </c>
      <c r="S295" t="s">
        <v>96</v>
      </c>
      <c r="T295">
        <v>-46882.865551272233</v>
      </c>
    </row>
    <row r="296" spans="1:20" x14ac:dyDescent="0.25">
      <c r="A296" s="1" t="s">
        <v>31</v>
      </c>
      <c r="B296">
        <v>2012</v>
      </c>
      <c r="C296">
        <v>17228.9714375</v>
      </c>
      <c r="D296">
        <v>17228.9714375</v>
      </c>
      <c r="E296" t="s">
        <v>96</v>
      </c>
      <c r="F296">
        <v>0.66203762090803753</v>
      </c>
      <c r="G296" t="s">
        <v>96</v>
      </c>
      <c r="H296">
        <v>0.66203762090803753</v>
      </c>
      <c r="I296">
        <v>2.8194846979983732E-3</v>
      </c>
      <c r="J296">
        <v>2.3141627289005449E-2</v>
      </c>
      <c r="K296">
        <v>5.9257747003046563E-2</v>
      </c>
      <c r="L296" t="s">
        <v>96</v>
      </c>
      <c r="M296">
        <v>11406.22726117503</v>
      </c>
      <c r="N296" t="s">
        <v>96</v>
      </c>
      <c r="O296">
        <v>11406.22726117503</v>
      </c>
      <c r="P296">
        <v>48.576821330282293</v>
      </c>
      <c r="Q296">
        <v>398.70643557954548</v>
      </c>
      <c r="R296">
        <v>1020.950030566091</v>
      </c>
      <c r="S296" t="s">
        <v>96</v>
      </c>
      <c r="T296">
        <v>-47206.355345057767</v>
      </c>
    </row>
    <row r="297" spans="1:20" x14ac:dyDescent="0.25">
      <c r="A297" s="1" t="s">
        <v>31</v>
      </c>
      <c r="B297">
        <v>2013</v>
      </c>
      <c r="C297">
        <v>17388.940395833339</v>
      </c>
      <c r="D297">
        <v>17388.940395833339</v>
      </c>
      <c r="E297" t="s">
        <v>96</v>
      </c>
      <c r="F297">
        <v>0.65838063876704811</v>
      </c>
      <c r="G297" t="s">
        <v>96</v>
      </c>
      <c r="H297">
        <v>0.65838063876704811</v>
      </c>
      <c r="I297">
        <v>2.851369378176539E-3</v>
      </c>
      <c r="J297">
        <v>2.309635542615996E-2</v>
      </c>
      <c r="K297">
        <v>6.0597782259655737E-2</v>
      </c>
      <c r="L297" t="s">
        <v>96</v>
      </c>
      <c r="M297">
        <v>11448.54168529088</v>
      </c>
      <c r="N297" t="s">
        <v>96</v>
      </c>
      <c r="O297">
        <v>11448.54168529088</v>
      </c>
      <c r="P297">
        <v>49.582292163616188</v>
      </c>
      <c r="Q297">
        <v>401.62114786647732</v>
      </c>
      <c r="R297">
        <v>1053.73122383284</v>
      </c>
      <c r="S297" t="s">
        <v>96</v>
      </c>
      <c r="T297">
        <v>-47496.07994690162</v>
      </c>
    </row>
    <row r="298" spans="1:20" x14ac:dyDescent="0.25">
      <c r="A298" s="1" t="s">
        <v>31</v>
      </c>
      <c r="B298">
        <v>2014</v>
      </c>
      <c r="C298">
        <v>17548.90935416667</v>
      </c>
      <c r="D298">
        <v>17548.90935416667</v>
      </c>
      <c r="E298" t="s">
        <v>96</v>
      </c>
      <c r="F298">
        <v>0.65479032784897451</v>
      </c>
      <c r="G298" t="s">
        <v>96</v>
      </c>
      <c r="H298">
        <v>0.65479032784897451</v>
      </c>
      <c r="I298">
        <v>2.882672761936505E-3</v>
      </c>
      <c r="J298">
        <v>2.3051908924320672E-2</v>
      </c>
      <c r="K298">
        <v>6.1913387047133978E-2</v>
      </c>
      <c r="L298" t="s">
        <v>96</v>
      </c>
      <c r="M298">
        <v>11490.85610940673</v>
      </c>
      <c r="N298" t="s">
        <v>96</v>
      </c>
      <c r="O298">
        <v>11490.85610940673</v>
      </c>
      <c r="P298">
        <v>50.587762996949003</v>
      </c>
      <c r="Q298">
        <v>404.53586015340909</v>
      </c>
      <c r="R298">
        <v>1086.5124170995909</v>
      </c>
      <c r="S298" t="s">
        <v>96</v>
      </c>
      <c r="T298">
        <v>-47785.804548745487</v>
      </c>
    </row>
    <row r="299" spans="1:20" x14ac:dyDescent="0.25">
      <c r="A299" s="1" t="s">
        <v>31</v>
      </c>
      <c r="B299">
        <v>2015</v>
      </c>
      <c r="C299">
        <v>17708.878312500001</v>
      </c>
      <c r="D299">
        <v>17708.878312500001</v>
      </c>
      <c r="E299" t="s">
        <v>96</v>
      </c>
      <c r="F299">
        <v>0.65126488137770777</v>
      </c>
      <c r="G299" t="s">
        <v>96</v>
      </c>
      <c r="H299">
        <v>0.65126488137770777</v>
      </c>
      <c r="I299">
        <v>2.9134106022889639E-3</v>
      </c>
      <c r="J299">
        <v>2.300826541637805E-2</v>
      </c>
      <c r="K299">
        <v>6.3205223426052684E-2</v>
      </c>
      <c r="L299" t="s">
        <v>96</v>
      </c>
      <c r="M299">
        <v>11533.170533522571</v>
      </c>
      <c r="N299" t="s">
        <v>96</v>
      </c>
      <c r="O299">
        <v>11533.170533522571</v>
      </c>
      <c r="P299">
        <v>51.593233830282593</v>
      </c>
      <c r="Q299">
        <v>407.45057244034098</v>
      </c>
      <c r="R299">
        <v>1119.293610366341</v>
      </c>
      <c r="S299" t="s">
        <v>96</v>
      </c>
      <c r="T299">
        <v>-48075.52915058934</v>
      </c>
    </row>
    <row r="300" spans="1:20" x14ac:dyDescent="0.25">
      <c r="A300" s="1" t="s">
        <v>31</v>
      </c>
      <c r="B300">
        <v>2016</v>
      </c>
      <c r="C300">
        <v>17797.577874999999</v>
      </c>
      <c r="D300">
        <v>17797.577874999999</v>
      </c>
      <c r="E300" t="s">
        <v>96</v>
      </c>
      <c r="F300">
        <v>0.64779531392918632</v>
      </c>
      <c r="G300" t="s">
        <v>96</v>
      </c>
      <c r="H300">
        <v>0.64779531392918632</v>
      </c>
      <c r="I300">
        <v>2.782896714643495E-3</v>
      </c>
      <c r="J300">
        <v>2.2544736412165079E-2</v>
      </c>
      <c r="K300">
        <v>6.2334639591478218E-2</v>
      </c>
      <c r="L300" t="s">
        <v>96</v>
      </c>
      <c r="M300">
        <v>11529.187546714769</v>
      </c>
      <c r="N300" t="s">
        <v>96</v>
      </c>
      <c r="O300">
        <v>11529.187546714769</v>
      </c>
      <c r="P300">
        <v>49.52882099694925</v>
      </c>
      <c r="Q300">
        <v>401.24170196685611</v>
      </c>
      <c r="R300">
        <v>1109.4056024393919</v>
      </c>
      <c r="S300" t="s">
        <v>96</v>
      </c>
      <c r="T300">
        <v>-47994.333464436902</v>
      </c>
    </row>
    <row r="301" spans="1:20" x14ac:dyDescent="0.25">
      <c r="A301" s="1" t="s">
        <v>31</v>
      </c>
      <c r="B301">
        <v>2017</v>
      </c>
      <c r="C301">
        <v>17886.277437500001</v>
      </c>
      <c r="D301">
        <v>17886.277437500001</v>
      </c>
      <c r="E301" t="s">
        <v>96</v>
      </c>
      <c r="F301">
        <v>0.64436015823747939</v>
      </c>
      <c r="G301" t="s">
        <v>96</v>
      </c>
      <c r="H301">
        <v>0.64436015823747939</v>
      </c>
      <c r="I301">
        <v>2.6536772858114679E-3</v>
      </c>
      <c r="J301">
        <v>2.2085804767019521E-2</v>
      </c>
      <c r="K301">
        <v>6.1472690354630002E-2</v>
      </c>
      <c r="L301" t="s">
        <v>96</v>
      </c>
      <c r="M301">
        <v>11525.204559906961</v>
      </c>
      <c r="N301" t="s">
        <v>96</v>
      </c>
      <c r="O301">
        <v>11525.204559906961</v>
      </c>
      <c r="P301">
        <v>47.4644081636159</v>
      </c>
      <c r="Q301">
        <v>395.03283149337119</v>
      </c>
      <c r="R301">
        <v>1099.517594512442</v>
      </c>
      <c r="S301" t="s">
        <v>96</v>
      </c>
      <c r="T301">
        <v>-47913.137778284443</v>
      </c>
    </row>
    <row r="302" spans="1:20" x14ac:dyDescent="0.25">
      <c r="A302" s="1" t="s">
        <v>31</v>
      </c>
      <c r="B302">
        <v>2018</v>
      </c>
      <c r="C302">
        <v>17974.976999999999</v>
      </c>
      <c r="D302">
        <v>17974.976999999999</v>
      </c>
      <c r="E302" t="s">
        <v>96</v>
      </c>
      <c r="F302">
        <v>0.64095890487643759</v>
      </c>
      <c r="G302" t="s">
        <v>96</v>
      </c>
      <c r="H302">
        <v>0.64095890487643759</v>
      </c>
      <c r="I302">
        <v>2.5257331528314212E-3</v>
      </c>
      <c r="J302">
        <v>2.1631402422372301E-2</v>
      </c>
      <c r="K302">
        <v>6.0619247890302902E-2</v>
      </c>
      <c r="L302" t="s">
        <v>96</v>
      </c>
      <c r="M302">
        <v>11521.22157309915</v>
      </c>
      <c r="N302" t="s">
        <v>96</v>
      </c>
      <c r="O302">
        <v>11521.22157309915</v>
      </c>
      <c r="P302">
        <v>45.39999533028228</v>
      </c>
      <c r="Q302">
        <v>388.82396101988638</v>
      </c>
      <c r="R302">
        <v>1089.6295865854929</v>
      </c>
      <c r="S302" t="s">
        <v>96</v>
      </c>
      <c r="T302">
        <v>-47831.942092132012</v>
      </c>
    </row>
    <row r="303" spans="1:20" x14ac:dyDescent="0.25">
      <c r="A303" s="1" t="s">
        <v>31</v>
      </c>
      <c r="B303">
        <v>2019</v>
      </c>
      <c r="C303">
        <v>18003.983979166671</v>
      </c>
      <c r="D303">
        <v>18003.983979166671</v>
      </c>
      <c r="E303" t="s">
        <v>96</v>
      </c>
      <c r="F303">
        <v>0.63692547882040751</v>
      </c>
      <c r="G303" t="s">
        <v>96</v>
      </c>
      <c r="H303">
        <v>0.63692547882040751</v>
      </c>
      <c r="I303">
        <v>2.2638773429692299E-3</v>
      </c>
      <c r="J303">
        <v>2.0825036847344811E-2</v>
      </c>
      <c r="K303">
        <v>5.8818915737643293E-2</v>
      </c>
      <c r="L303" t="s">
        <v>96</v>
      </c>
      <c r="M303">
        <v>11467.196116605681</v>
      </c>
      <c r="N303" t="s">
        <v>96</v>
      </c>
      <c r="O303">
        <v>11467.196116605681</v>
      </c>
      <c r="P303">
        <v>40.758811413616428</v>
      </c>
      <c r="Q303">
        <v>374.93362976515152</v>
      </c>
      <c r="R303">
        <v>1058.9748166124839</v>
      </c>
      <c r="S303" t="s">
        <v>96</v>
      </c>
      <c r="T303">
        <v>-47453.499039459719</v>
      </c>
    </row>
    <row r="304" spans="1:20" x14ac:dyDescent="0.25">
      <c r="A304" s="1" t="s">
        <v>31</v>
      </c>
      <c r="B304">
        <v>2020</v>
      </c>
      <c r="C304">
        <v>18032.990958333328</v>
      </c>
      <c r="D304">
        <v>18032.990958333328</v>
      </c>
      <c r="E304" t="s">
        <v>96</v>
      </c>
      <c r="F304">
        <v>0.63290502870451393</v>
      </c>
      <c r="G304" t="s">
        <v>96</v>
      </c>
      <c r="H304">
        <v>0.63290502870451393</v>
      </c>
      <c r="I304">
        <v>2.0028639497685959E-3</v>
      </c>
      <c r="J304">
        <v>2.0021265432042652E-2</v>
      </c>
      <c r="K304">
        <v>5.7024375435860343E-2</v>
      </c>
      <c r="L304" t="s">
        <v>96</v>
      </c>
      <c r="M304">
        <v>11413.1706601122</v>
      </c>
      <c r="N304" t="s">
        <v>96</v>
      </c>
      <c r="O304">
        <v>11413.1706601122</v>
      </c>
      <c r="P304">
        <v>36.117627496948877</v>
      </c>
      <c r="Q304">
        <v>361.04329851041678</v>
      </c>
      <c r="R304">
        <v>1028.3200466394751</v>
      </c>
      <c r="S304" t="s">
        <v>96</v>
      </c>
      <c r="T304">
        <v>-47075.055986787418</v>
      </c>
    </row>
    <row r="305" spans="1:20" x14ac:dyDescent="0.25">
      <c r="A305" s="1" t="s">
        <v>31</v>
      </c>
      <c r="B305">
        <v>2021</v>
      </c>
      <c r="C305">
        <v>18061.9979375</v>
      </c>
      <c r="D305">
        <v>18061.9979375</v>
      </c>
      <c r="E305" t="s">
        <v>96</v>
      </c>
      <c r="F305">
        <v>0.62827067068869524</v>
      </c>
      <c r="G305" t="s">
        <v>96</v>
      </c>
      <c r="H305">
        <v>0.62827067068869524</v>
      </c>
      <c r="I305">
        <v>1.6702808027112071E-3</v>
      </c>
      <c r="J305">
        <v>1.9005832232181039E-2</v>
      </c>
      <c r="K305">
        <v>5.4831907139023611E-2</v>
      </c>
      <c r="L305" t="s">
        <v>96</v>
      </c>
      <c r="M305">
        <v>11347.82355817096</v>
      </c>
      <c r="N305" t="s">
        <v>96</v>
      </c>
      <c r="O305">
        <v>11347.82355817096</v>
      </c>
      <c r="P305">
        <v>30.168608413615669</v>
      </c>
      <c r="Q305">
        <v>343.28330257812502</v>
      </c>
      <c r="R305">
        <v>990.37379365423601</v>
      </c>
      <c r="S305" t="s">
        <v>96</v>
      </c>
      <c r="T305">
        <v>-46609.380630332998</v>
      </c>
    </row>
    <row r="306" spans="1:20" x14ac:dyDescent="0.25">
      <c r="A306" s="1" t="s">
        <v>31</v>
      </c>
      <c r="B306">
        <v>2022</v>
      </c>
      <c r="C306">
        <v>18091.004916666661</v>
      </c>
      <c r="D306">
        <v>18091.004916666661</v>
      </c>
      <c r="E306" t="s">
        <v>96</v>
      </c>
      <c r="F306">
        <v>0.62365117406139936</v>
      </c>
      <c r="G306" t="s">
        <v>96</v>
      </c>
      <c r="H306">
        <v>0.62365117406139936</v>
      </c>
      <c r="I306">
        <v>1.3387641782115879E-3</v>
      </c>
      <c r="J306">
        <v>1.7993655308000001E-2</v>
      </c>
      <c r="K306">
        <v>5.2646469616044168E-2</v>
      </c>
      <c r="L306" t="s">
        <v>96</v>
      </c>
      <c r="M306">
        <v>11282.47645622971</v>
      </c>
      <c r="N306" t="s">
        <v>96</v>
      </c>
      <c r="O306">
        <v>11282.47645622971</v>
      </c>
      <c r="P306">
        <v>24.219589330283039</v>
      </c>
      <c r="Q306">
        <v>325.52330664583332</v>
      </c>
      <c r="R306">
        <v>952.42754066899727</v>
      </c>
      <c r="S306" t="s">
        <v>96</v>
      </c>
      <c r="T306">
        <v>-46143.705273878557</v>
      </c>
    </row>
    <row r="307" spans="1:20" x14ac:dyDescent="0.25">
      <c r="A307" s="1" t="s">
        <v>31</v>
      </c>
      <c r="B307">
        <v>2023</v>
      </c>
      <c r="C307">
        <v>18120.01189583333</v>
      </c>
      <c r="D307">
        <v>18120.01189583333</v>
      </c>
      <c r="E307" t="s">
        <v>96</v>
      </c>
      <c r="F307">
        <v>0.61904646745115188</v>
      </c>
      <c r="G307" t="s">
        <v>96</v>
      </c>
      <c r="H307">
        <v>0.61904646745115188</v>
      </c>
      <c r="I307">
        <v>1.00830895431975E-3</v>
      </c>
      <c r="J307">
        <v>1.698471902131098E-2</v>
      </c>
      <c r="K307">
        <v>5.0468029101793363E-2</v>
      </c>
      <c r="L307" t="s">
        <v>96</v>
      </c>
      <c r="M307">
        <v>11217.12935428847</v>
      </c>
      <c r="N307" t="s">
        <v>96</v>
      </c>
      <c r="O307">
        <v>11217.12935428847</v>
      </c>
      <c r="P307">
        <v>18.270570246949131</v>
      </c>
      <c r="Q307">
        <v>307.76331071354173</v>
      </c>
      <c r="R307">
        <v>914.48128768375852</v>
      </c>
      <c r="S307" t="s">
        <v>96</v>
      </c>
      <c r="T307">
        <v>-45678.029917424137</v>
      </c>
    </row>
    <row r="308" spans="1:20" x14ac:dyDescent="0.25">
      <c r="A308" s="1" t="s">
        <v>32</v>
      </c>
      <c r="B308">
        <v>1990</v>
      </c>
      <c r="C308">
        <v>2368.6860000000011</v>
      </c>
      <c r="D308">
        <v>1775.239</v>
      </c>
      <c r="E308">
        <v>593.44700000000103</v>
      </c>
      <c r="F308">
        <v>0.64345218890677569</v>
      </c>
      <c r="G308">
        <v>-8.1362895437298827E-2</v>
      </c>
      <c r="H308">
        <v>0.56208929346947678</v>
      </c>
      <c r="I308">
        <v>3.9057434392106939E-2</v>
      </c>
      <c r="J308">
        <v>1.8681243524891009E-4</v>
      </c>
      <c r="K308">
        <v>0.21910873504113729</v>
      </c>
      <c r="L308">
        <v>-0.32803219158576868</v>
      </c>
      <c r="M308">
        <v>1524.136191532835</v>
      </c>
      <c r="N308">
        <v>-192.72315134179371</v>
      </c>
      <c r="O308">
        <v>1331.413040191042</v>
      </c>
      <c r="P308">
        <v>92.514798040502257</v>
      </c>
      <c r="Q308">
        <v>0.4425</v>
      </c>
      <c r="R308">
        <v>388.97037168569352</v>
      </c>
      <c r="S308">
        <v>-194.66972000000001</v>
      </c>
      <c r="T308">
        <v>-5935.1269630304114</v>
      </c>
    </row>
    <row r="309" spans="1:20" x14ac:dyDescent="0.25">
      <c r="A309" s="1" t="s">
        <v>32</v>
      </c>
      <c r="B309">
        <v>1991</v>
      </c>
      <c r="C309">
        <v>2371.5120000000011</v>
      </c>
      <c r="D309">
        <v>1777.9</v>
      </c>
      <c r="E309">
        <v>593.61200000000099</v>
      </c>
      <c r="F309">
        <v>0.66389398746538175</v>
      </c>
      <c r="G309">
        <v>-0.10247450479300391</v>
      </c>
      <c r="H309">
        <v>0.56141948267237785</v>
      </c>
      <c r="I309">
        <v>3.9023992508351542E-2</v>
      </c>
      <c r="J309">
        <v>4.8892858227156323E-4</v>
      </c>
      <c r="K309">
        <v>0.21887299629840221</v>
      </c>
      <c r="L309">
        <v>-0.32810482267878632</v>
      </c>
      <c r="M309">
        <v>1574.4325580020029</v>
      </c>
      <c r="N309">
        <v>-243.0195178106664</v>
      </c>
      <c r="O309">
        <v>1331.4130401913369</v>
      </c>
      <c r="P309">
        <v>92.545866521465825</v>
      </c>
      <c r="Q309">
        <v>1.1595</v>
      </c>
      <c r="R309">
        <v>389.13430011892927</v>
      </c>
      <c r="S309">
        <v>-194.76696000000001</v>
      </c>
      <c r="T309">
        <v>-5938.1144050502226</v>
      </c>
    </row>
    <row r="310" spans="1:20" x14ac:dyDescent="0.25">
      <c r="A310" s="1" t="s">
        <v>32</v>
      </c>
      <c r="B310">
        <v>1992</v>
      </c>
      <c r="C310">
        <v>2375.4070000000011</v>
      </c>
      <c r="D310">
        <v>1781.4970000000001</v>
      </c>
      <c r="E310">
        <v>593.91000000000099</v>
      </c>
      <c r="F310">
        <v>0.6895050549545555</v>
      </c>
      <c r="G310">
        <v>-0.1290061424770996</v>
      </c>
      <c r="H310">
        <v>0.56049891247745587</v>
      </c>
      <c r="I310">
        <v>3.8977260672039188E-2</v>
      </c>
      <c r="J310">
        <v>9.1110702292280816E-4</v>
      </c>
      <c r="K310">
        <v>0.21855805441194759</v>
      </c>
      <c r="L310">
        <v>-0.32817719856543881</v>
      </c>
      <c r="M310">
        <v>1637.855134074437</v>
      </c>
      <c r="N310">
        <v>-306.44209388309991</v>
      </c>
      <c r="O310">
        <v>1331.4130401913369</v>
      </c>
      <c r="P310">
        <v>92.586857841186657</v>
      </c>
      <c r="Q310">
        <v>2.16425</v>
      </c>
      <c r="R310">
        <v>389.36051826072128</v>
      </c>
      <c r="S310">
        <v>-194.90772000000001</v>
      </c>
      <c r="T310">
        <v>-5942.2621364091046</v>
      </c>
    </row>
    <row r="311" spans="1:20" x14ac:dyDescent="0.25">
      <c r="A311" s="1" t="s">
        <v>32</v>
      </c>
      <c r="B311">
        <v>1993</v>
      </c>
      <c r="C311">
        <v>2380.391000000001</v>
      </c>
      <c r="D311">
        <v>1786.1410000000001</v>
      </c>
      <c r="E311">
        <v>594.25000000000091</v>
      </c>
      <c r="F311">
        <v>0.72165856886910573</v>
      </c>
      <c r="G311">
        <v>-0.16233321425675801</v>
      </c>
      <c r="H311">
        <v>0.55932535461234767</v>
      </c>
      <c r="I311">
        <v>3.8917135924786912E-2</v>
      </c>
      <c r="J311">
        <v>1.454277889640819E-3</v>
      </c>
      <c r="K311">
        <v>0.21817725536866259</v>
      </c>
      <c r="L311">
        <v>-0.32837849389987328</v>
      </c>
      <c r="M311">
        <v>1717.8295624089001</v>
      </c>
      <c r="N311">
        <v>-386.41652221785853</v>
      </c>
      <c r="O311">
        <v>1331.413040191042</v>
      </c>
      <c r="P311">
        <v>92.638000101139482</v>
      </c>
      <c r="Q311">
        <v>3.4617499999999999</v>
      </c>
      <c r="R311">
        <v>389.69534108143853</v>
      </c>
      <c r="S311">
        <v>-195.13892000000001</v>
      </c>
      <c r="T311">
        <v>-5947.5871083704778</v>
      </c>
    </row>
    <row r="312" spans="1:20" x14ac:dyDescent="0.25">
      <c r="A312" s="1" t="s">
        <v>32</v>
      </c>
      <c r="B312">
        <v>1994</v>
      </c>
      <c r="C312">
        <v>2385.3760000000011</v>
      </c>
      <c r="D312">
        <v>1790.67</v>
      </c>
      <c r="E312">
        <v>594.70600000000081</v>
      </c>
      <c r="F312">
        <v>0.7624271815492738</v>
      </c>
      <c r="G312">
        <v>-0.2042707147317423</v>
      </c>
      <c r="H312">
        <v>0.5581564668175315</v>
      </c>
      <c r="I312">
        <v>2.3636250011333852E-2</v>
      </c>
      <c r="J312">
        <v>2.0048202044457559E-3</v>
      </c>
      <c r="K312">
        <v>0.21783349114383879</v>
      </c>
      <c r="L312">
        <v>-0.32865267880263482</v>
      </c>
      <c r="M312">
        <v>1818.675500615281</v>
      </c>
      <c r="N312">
        <v>-487.26246042394467</v>
      </c>
      <c r="O312">
        <v>1331.413040191336</v>
      </c>
      <c r="P312">
        <v>56.381343507035517</v>
      </c>
      <c r="Q312">
        <v>4.7822500000000003</v>
      </c>
      <c r="R312">
        <v>390.06789758653781</v>
      </c>
      <c r="S312">
        <v>-195.45171999999999</v>
      </c>
      <c r="T312">
        <v>-5819.7069747118649</v>
      </c>
    </row>
    <row r="313" spans="1:20" x14ac:dyDescent="0.25">
      <c r="A313" s="1" t="s">
        <v>32</v>
      </c>
      <c r="B313">
        <v>1995</v>
      </c>
      <c r="C313">
        <v>2390.755000000001</v>
      </c>
      <c r="D313">
        <v>1795.6110000000001</v>
      </c>
      <c r="E313">
        <v>595.1440000000008</v>
      </c>
      <c r="F313">
        <v>0.81390185897516398</v>
      </c>
      <c r="G313">
        <v>-0.25700119780689867</v>
      </c>
      <c r="H313">
        <v>0.5569006611682652</v>
      </c>
      <c r="I313">
        <v>2.360655962927637E-2</v>
      </c>
      <c r="J313">
        <v>2.6068124922879999E-3</v>
      </c>
      <c r="K313">
        <v>0.2174442355971665</v>
      </c>
      <c r="L313">
        <v>-0.32893182154234901</v>
      </c>
      <c r="M313">
        <v>1945.8399388541691</v>
      </c>
      <c r="N313">
        <v>-614.42689866283229</v>
      </c>
      <c r="O313">
        <v>1331.413040191336</v>
      </c>
      <c r="P313">
        <v>56.437500466490647</v>
      </c>
      <c r="Q313">
        <v>6.2322499999999996</v>
      </c>
      <c r="R313">
        <v>390.44526132486368</v>
      </c>
      <c r="S313">
        <v>-195.76179999999999</v>
      </c>
      <c r="T313">
        <v>-5825.4762572703949</v>
      </c>
    </row>
    <row r="314" spans="1:20" x14ac:dyDescent="0.25">
      <c r="A314" s="1" t="s">
        <v>32</v>
      </c>
      <c r="B314">
        <v>1996</v>
      </c>
      <c r="C314">
        <v>2396.5279999999998</v>
      </c>
      <c r="D314">
        <v>1800.973</v>
      </c>
      <c r="E314">
        <v>595.55500000000075</v>
      </c>
      <c r="F314">
        <v>0.87885115802462455</v>
      </c>
      <c r="G314">
        <v>-0.32329201571903232</v>
      </c>
      <c r="H314">
        <v>0.55555914230559234</v>
      </c>
      <c r="I314">
        <v>2.3574574397709699E-2</v>
      </c>
      <c r="J314">
        <v>3.255334383741813E-3</v>
      </c>
      <c r="K314">
        <v>0.21704089971486379</v>
      </c>
      <c r="L314">
        <v>-0.32924717280519811</v>
      </c>
      <c r="M314">
        <v>2106.1914080384381</v>
      </c>
      <c r="N314">
        <v>-774.77836784710109</v>
      </c>
      <c r="O314">
        <v>1331.4130401913369</v>
      </c>
      <c r="P314">
        <v>56.497127632194427</v>
      </c>
      <c r="Q314">
        <v>7.8014999999999999</v>
      </c>
      <c r="R314">
        <v>390.88480028217731</v>
      </c>
      <c r="S314">
        <v>-196.0848</v>
      </c>
      <c r="T314">
        <v>-5831.8761163881272</v>
      </c>
    </row>
    <row r="315" spans="1:20" x14ac:dyDescent="0.25">
      <c r="A315" s="1" t="s">
        <v>32</v>
      </c>
      <c r="B315">
        <v>1997</v>
      </c>
      <c r="C315">
        <v>2402.538</v>
      </c>
      <c r="D315">
        <v>1806.5409999999999</v>
      </c>
      <c r="E315">
        <v>595.99700000000064</v>
      </c>
      <c r="F315">
        <v>0.96081351041672269</v>
      </c>
      <c r="G315">
        <v>-0.40664411114352023</v>
      </c>
      <c r="H315">
        <v>0.55416939927320241</v>
      </c>
      <c r="I315">
        <v>2.3541555830257618E-2</v>
      </c>
      <c r="J315">
        <v>3.9248078490329808E-3</v>
      </c>
      <c r="K315">
        <v>0.21664767771598409</v>
      </c>
      <c r="L315">
        <v>-0.32951984657640848</v>
      </c>
      <c r="M315">
        <v>2308.390969689573</v>
      </c>
      <c r="N315">
        <v>-976.9779294985309</v>
      </c>
      <c r="O315">
        <v>1331.413040191042</v>
      </c>
      <c r="P315">
        <v>56.55948246131549</v>
      </c>
      <c r="Q315">
        <v>9.4295000000000009</v>
      </c>
      <c r="R315">
        <v>391.38291234871161</v>
      </c>
      <c r="S315">
        <v>-196.39284000000001</v>
      </c>
      <c r="T315">
        <v>-5838.7710150044486</v>
      </c>
    </row>
    <row r="316" spans="1:20" x14ac:dyDescent="0.25">
      <c r="A316" s="1" t="s">
        <v>32</v>
      </c>
      <c r="B316">
        <v>1998</v>
      </c>
      <c r="C316">
        <v>2408.2440000000001</v>
      </c>
      <c r="D316">
        <v>1811.6880000000001</v>
      </c>
      <c r="E316">
        <v>596.55600000000061</v>
      </c>
      <c r="F316">
        <v>0.97072537966033878</v>
      </c>
      <c r="G316">
        <v>-0.51155405579141999</v>
      </c>
      <c r="H316">
        <v>0.45917132386891879</v>
      </c>
      <c r="I316">
        <v>2.3509656488811221E-2</v>
      </c>
      <c r="J316">
        <v>4.5715882609901658E-3</v>
      </c>
      <c r="K316">
        <v>0.2162699506961184</v>
      </c>
      <c r="L316">
        <v>-0.32971489684120148</v>
      </c>
      <c r="M316">
        <v>2337.743571214733</v>
      </c>
      <c r="N316">
        <v>-1231.946985535352</v>
      </c>
      <c r="O316">
        <v>1105.796585679381</v>
      </c>
      <c r="P316">
        <v>56.616989181240697</v>
      </c>
      <c r="Q316">
        <v>11.009499999999999</v>
      </c>
      <c r="R316">
        <v>391.8136744367493</v>
      </c>
      <c r="S316">
        <v>-196.6934</v>
      </c>
      <c r="T316">
        <v>-5017.9922807574812</v>
      </c>
    </row>
    <row r="317" spans="1:20" x14ac:dyDescent="0.25">
      <c r="A317" s="1" t="s">
        <v>32</v>
      </c>
      <c r="B317">
        <v>1999</v>
      </c>
      <c r="C317">
        <v>2414.3290000000011</v>
      </c>
      <c r="D317">
        <v>1817.2570000000001</v>
      </c>
      <c r="E317">
        <v>597.07200000000068</v>
      </c>
      <c r="F317">
        <v>1.00799738020769</v>
      </c>
      <c r="G317">
        <v>-0.64343226453053071</v>
      </c>
      <c r="H317">
        <v>0.36456511567715899</v>
      </c>
      <c r="I317">
        <v>2.3476283438655581E-2</v>
      </c>
      <c r="J317">
        <v>5.2482490994392216E-3</v>
      </c>
      <c r="K317">
        <v>0.2158608473721049</v>
      </c>
      <c r="L317">
        <v>-0.3299777581263228</v>
      </c>
      <c r="M317">
        <v>2433.637306959452</v>
      </c>
      <c r="N317">
        <v>-1553.457175791732</v>
      </c>
      <c r="O317">
        <v>880.18013116771976</v>
      </c>
      <c r="P317">
        <v>56.679471918165902</v>
      </c>
      <c r="Q317">
        <v>12.670999999999999</v>
      </c>
      <c r="R317">
        <v>392.27463591288932</v>
      </c>
      <c r="S317">
        <v>-197.02047999999999</v>
      </c>
      <c r="T317">
        <v>-4197.5441163292226</v>
      </c>
    </row>
    <row r="318" spans="1:20" x14ac:dyDescent="0.25">
      <c r="A318" s="1" t="s">
        <v>32</v>
      </c>
      <c r="B318">
        <v>2000</v>
      </c>
      <c r="C318">
        <v>2419.8890000000001</v>
      </c>
      <c r="D318">
        <v>1822.2470000000001</v>
      </c>
      <c r="E318">
        <v>597.64200000000062</v>
      </c>
      <c r="F318">
        <v>1.07998255376652</v>
      </c>
      <c r="G318">
        <v>-0.80948928872169401</v>
      </c>
      <c r="H318">
        <v>0.27049326504482568</v>
      </c>
      <c r="I318">
        <v>-6.0086930430305781E-3</v>
      </c>
      <c r="J318">
        <v>5.8678311277913994E-3</v>
      </c>
      <c r="K318">
        <v>0.21551608199237249</v>
      </c>
      <c r="L318">
        <v>-0.33026266560917711</v>
      </c>
      <c r="M318">
        <v>2613.4379020515098</v>
      </c>
      <c r="N318">
        <v>-1958.874225395452</v>
      </c>
      <c r="O318">
        <v>654.56367665605831</v>
      </c>
      <c r="P318">
        <v>-14.540370199206221</v>
      </c>
      <c r="Q318">
        <v>14.1995</v>
      </c>
      <c r="R318">
        <v>392.72353386235471</v>
      </c>
      <c r="S318">
        <v>-197.37884</v>
      </c>
      <c r="T318">
        <v>-3115.0808345040409</v>
      </c>
    </row>
    <row r="319" spans="1:20" x14ac:dyDescent="0.25">
      <c r="A319" s="1" t="s">
        <v>32</v>
      </c>
      <c r="B319">
        <v>2001</v>
      </c>
      <c r="C319">
        <v>2424.201</v>
      </c>
      <c r="D319">
        <v>1825.9</v>
      </c>
      <c r="E319">
        <v>598.30100000000061</v>
      </c>
      <c r="F319">
        <v>1.1958757304223231</v>
      </c>
      <c r="G319">
        <v>-1.0189319777613861</v>
      </c>
      <c r="H319">
        <v>0.17694375266093729</v>
      </c>
      <c r="I319">
        <v>-5.9733418459676111E-3</v>
      </c>
      <c r="J319">
        <v>6.3634368602273478E-3</v>
      </c>
      <c r="K319">
        <v>0.21527485001471239</v>
      </c>
      <c r="L319">
        <v>-0.33064788459320621</v>
      </c>
      <c r="M319">
        <v>2899.0431415655271</v>
      </c>
      <c r="N319">
        <v>-2470.09591942113</v>
      </c>
      <c r="O319">
        <v>428.94722214439707</v>
      </c>
      <c r="P319">
        <v>-14.48058127633653</v>
      </c>
      <c r="Q319">
        <v>15.42625</v>
      </c>
      <c r="R319">
        <v>393.07034864186329</v>
      </c>
      <c r="S319">
        <v>-197.82696000000001</v>
      </c>
      <c r="T319">
        <v>-2292.166358203262</v>
      </c>
    </row>
    <row r="320" spans="1:20" x14ac:dyDescent="0.25">
      <c r="A320" s="1" t="s">
        <v>32</v>
      </c>
      <c r="B320">
        <v>2002</v>
      </c>
      <c r="C320">
        <v>2427.764000000001</v>
      </c>
      <c r="D320">
        <v>1828.9680000000001</v>
      </c>
      <c r="E320">
        <v>598.79600000000073</v>
      </c>
      <c r="F320">
        <v>1.366716713511994</v>
      </c>
      <c r="G320">
        <v>-1.2829644346114351</v>
      </c>
      <c r="H320">
        <v>8.3752278900558808E-2</v>
      </c>
      <c r="I320">
        <v>-5.9428498163818207E-3</v>
      </c>
      <c r="J320">
        <v>6.7909195457219046E-3</v>
      </c>
      <c r="K320">
        <v>0.2150499585676556</v>
      </c>
      <c r="L320">
        <v>-0.33116948009004687</v>
      </c>
      <c r="M320">
        <v>3318.0656352627329</v>
      </c>
      <c r="N320">
        <v>-3114.7348676299971</v>
      </c>
      <c r="O320">
        <v>203.3307676327363</v>
      </c>
      <c r="P320">
        <v>-14.427836841618401</v>
      </c>
      <c r="Q320">
        <v>16.486750000000001</v>
      </c>
      <c r="R320">
        <v>393.31949262156797</v>
      </c>
      <c r="S320">
        <v>-198.30296000000001</v>
      </c>
      <c r="T320">
        <v>-1468.1561158466491</v>
      </c>
    </row>
    <row r="321" spans="1:20" x14ac:dyDescent="0.25">
      <c r="A321" s="1" t="s">
        <v>32</v>
      </c>
      <c r="B321">
        <v>2003</v>
      </c>
      <c r="C321">
        <v>2431.552000000001</v>
      </c>
      <c r="D321">
        <v>1832.25</v>
      </c>
      <c r="E321">
        <v>599.3020000000007</v>
      </c>
      <c r="F321">
        <v>1.0466440007837501</v>
      </c>
      <c r="G321">
        <v>-1.05580921167742</v>
      </c>
      <c r="H321">
        <v>-9.1652108936699402E-3</v>
      </c>
      <c r="I321">
        <v>-5.9097813159353224E-3</v>
      </c>
      <c r="J321">
        <v>7.2545230371384179E-3</v>
      </c>
      <c r="K321">
        <v>0.21475353563243699</v>
      </c>
      <c r="L321">
        <v>-0.33170795358600458</v>
      </c>
      <c r="M321">
        <v>2544.9693133937299</v>
      </c>
      <c r="N321">
        <v>-2567.2550002726548</v>
      </c>
      <c r="O321">
        <v>-22.285686878924931</v>
      </c>
      <c r="P321">
        <v>-14.369940578325171</v>
      </c>
      <c r="Q321">
        <v>17.639749999999999</v>
      </c>
      <c r="R321">
        <v>393.48216566253268</v>
      </c>
      <c r="S321">
        <v>-198.79324</v>
      </c>
      <c r="T321">
        <v>-644.13451008609468</v>
      </c>
    </row>
    <row r="322" spans="1:20" x14ac:dyDescent="0.25">
      <c r="A322" s="1" t="s">
        <v>32</v>
      </c>
      <c r="B322">
        <v>2004</v>
      </c>
      <c r="C322">
        <v>2434.8209999999999</v>
      </c>
      <c r="D322">
        <v>1834.9829999999999</v>
      </c>
      <c r="E322">
        <v>599.83800000000076</v>
      </c>
      <c r="F322">
        <v>1.04934339913561</v>
      </c>
      <c r="G322">
        <v>-0.9760582941805519</v>
      </c>
      <c r="H322">
        <v>7.328510495505812E-2</v>
      </c>
      <c r="I322">
        <v>2.2905698015723921E-2</v>
      </c>
      <c r="J322">
        <v>7.6863966591383913E-3</v>
      </c>
      <c r="K322">
        <v>0.21445421677141199</v>
      </c>
      <c r="L322">
        <v>-0.33218582350567949</v>
      </c>
      <c r="M322">
        <v>2554.9633444267661</v>
      </c>
      <c r="N322">
        <v>-2376.527231894986</v>
      </c>
      <c r="O322">
        <v>178.4361125317796</v>
      </c>
      <c r="P322">
        <v>55.771274548342937</v>
      </c>
      <c r="Q322">
        <v>18.715</v>
      </c>
      <c r="R322">
        <v>393.51984205385583</v>
      </c>
      <c r="S322">
        <v>-199.25767999999999</v>
      </c>
      <c r="T322">
        <v>-1639.67668015807</v>
      </c>
    </row>
    <row r="323" spans="1:20" x14ac:dyDescent="0.25">
      <c r="A323" s="1" t="s">
        <v>32</v>
      </c>
      <c r="B323">
        <v>2005</v>
      </c>
      <c r="C323">
        <v>2437.8570000000009</v>
      </c>
      <c r="D323">
        <v>1837.4580000000001</v>
      </c>
      <c r="E323">
        <v>600.3990000000008</v>
      </c>
      <c r="F323">
        <v>1.05211519442027</v>
      </c>
      <c r="G323">
        <v>-0.76736553007360098</v>
      </c>
      <c r="H323">
        <v>0.28474966434666898</v>
      </c>
      <c r="I323">
        <v>-4.993078330399873E-3</v>
      </c>
      <c r="J323">
        <v>8.109273841738868E-3</v>
      </c>
      <c r="K323">
        <v>0.2141115980915867</v>
      </c>
      <c r="L323">
        <v>-0.33262746939951549</v>
      </c>
      <c r="M323">
        <v>2564.9063915238171</v>
      </c>
      <c r="N323">
        <v>-1870.7274290486389</v>
      </c>
      <c r="O323">
        <v>694.17896247517774</v>
      </c>
      <c r="P323">
        <v>-12.17241095931365</v>
      </c>
      <c r="Q323">
        <v>19.76925</v>
      </c>
      <c r="R323">
        <v>393.42106880617058</v>
      </c>
      <c r="S323">
        <v>-199.70920000000001</v>
      </c>
      <c r="T323">
        <v>-3283.4547911810919</v>
      </c>
    </row>
    <row r="324" spans="1:20" x14ac:dyDescent="0.25">
      <c r="A324" s="1" t="s">
        <v>32</v>
      </c>
      <c r="B324">
        <v>2006</v>
      </c>
      <c r="C324">
        <v>2440.476000000001</v>
      </c>
      <c r="D324">
        <v>1839.7449999999999</v>
      </c>
      <c r="E324">
        <v>600.73100000000079</v>
      </c>
      <c r="F324">
        <v>1.0526207003849199</v>
      </c>
      <c r="G324">
        <v>-0.63133164078082604</v>
      </c>
      <c r="H324">
        <v>0.42128905960409391</v>
      </c>
      <c r="I324">
        <v>0.12671282130181</v>
      </c>
      <c r="J324">
        <v>8.5628787171027274E-3</v>
      </c>
      <c r="K324">
        <v>0.21370541512785771</v>
      </c>
      <c r="L324">
        <v>-0.33309677709324098</v>
      </c>
      <c r="M324">
        <v>2568.8955563925879</v>
      </c>
      <c r="N324">
        <v>-1540.749717366228</v>
      </c>
      <c r="O324">
        <v>1028.145839026361</v>
      </c>
      <c r="P324">
        <v>309.23959927935613</v>
      </c>
      <c r="Q324">
        <v>20.897500000000001</v>
      </c>
      <c r="R324">
        <v>393.16346895440063</v>
      </c>
      <c r="S324">
        <v>-200.10156000000001</v>
      </c>
      <c r="T324">
        <v>-5688.2644399542814</v>
      </c>
    </row>
    <row r="325" spans="1:20" x14ac:dyDescent="0.25">
      <c r="A325" s="1" t="s">
        <v>32</v>
      </c>
      <c r="B325">
        <v>2007</v>
      </c>
      <c r="C325">
        <v>2442.6840000000002</v>
      </c>
      <c r="D325">
        <v>1841.5029999999999</v>
      </c>
      <c r="E325">
        <v>601.18100000000072</v>
      </c>
      <c r="F325">
        <v>1.04685864369816</v>
      </c>
      <c r="G325">
        <v>-0.52428182905023113</v>
      </c>
      <c r="H325">
        <v>0.52257681464792904</v>
      </c>
      <c r="I325">
        <v>6.2355373703865923E-2</v>
      </c>
      <c r="J325">
        <v>8.9912366888226201E-3</v>
      </c>
      <c r="K325">
        <v>0.213303880218398</v>
      </c>
      <c r="L325">
        <v>-0.33357022261182528</v>
      </c>
      <c r="M325">
        <v>2557.1448592231968</v>
      </c>
      <c r="N325">
        <v>-1280.654835311735</v>
      </c>
      <c r="O325">
        <v>1276.490023911462</v>
      </c>
      <c r="P325">
        <v>152.31447366045401</v>
      </c>
      <c r="Q325">
        <v>21.96275</v>
      </c>
      <c r="R325">
        <v>392.79973533382048</v>
      </c>
      <c r="S325">
        <v>-200.53608</v>
      </c>
      <c r="T325">
        <v>-6024.4466439882481</v>
      </c>
    </row>
    <row r="326" spans="1:20" x14ac:dyDescent="0.25">
      <c r="A326" s="1" t="s">
        <v>32</v>
      </c>
      <c r="B326">
        <v>2008</v>
      </c>
      <c r="C326">
        <v>2444.1640000000011</v>
      </c>
      <c r="D326">
        <v>1842.7059999999999</v>
      </c>
      <c r="E326">
        <v>601.45800000000077</v>
      </c>
      <c r="F326">
        <v>1.0522911759042499</v>
      </c>
      <c r="G326">
        <v>-0.524604066358208</v>
      </c>
      <c r="H326">
        <v>0.52768710954604192</v>
      </c>
      <c r="I326">
        <v>1.609961721381873E-2</v>
      </c>
      <c r="J326">
        <v>9.3501295330427874E-3</v>
      </c>
      <c r="K326">
        <v>0.21295467555187769</v>
      </c>
      <c r="L326">
        <v>-0.33416956794988129</v>
      </c>
      <c r="M326">
        <v>2571.9722096628361</v>
      </c>
      <c r="N326">
        <v>-1282.2183732463429</v>
      </c>
      <c r="O326">
        <v>1289.753836416492</v>
      </c>
      <c r="P326">
        <v>39.350104807796058</v>
      </c>
      <c r="Q326">
        <v>22.853249999999999</v>
      </c>
      <c r="R326">
        <v>392.41285836749842</v>
      </c>
      <c r="S326">
        <v>-200.98895999999999</v>
      </c>
      <c r="T326">
        <v>-5659.0639951703988</v>
      </c>
    </row>
    <row r="327" spans="1:20" x14ac:dyDescent="0.25">
      <c r="A327" s="1" t="s">
        <v>32</v>
      </c>
      <c r="B327">
        <v>2009</v>
      </c>
      <c r="C327">
        <v>2445.1240000000012</v>
      </c>
      <c r="D327">
        <v>1843.5989999999999</v>
      </c>
      <c r="E327">
        <v>601.52500000000089</v>
      </c>
      <c r="F327">
        <v>1.06879200636169</v>
      </c>
      <c r="G327">
        <v>-0.52300724688118105</v>
      </c>
      <c r="H327">
        <v>0.54578475948050886</v>
      </c>
      <c r="I327">
        <v>3.4986124193362257E-2</v>
      </c>
      <c r="J327">
        <v>9.6619844228758908E-3</v>
      </c>
      <c r="K327">
        <v>0.21262802329959779</v>
      </c>
      <c r="L327">
        <v>-0.33487279830430938</v>
      </c>
      <c r="M327">
        <v>2613.3289857631221</v>
      </c>
      <c r="N327">
        <v>-1278.8175715231009</v>
      </c>
      <c r="O327">
        <v>1334.51141424002</v>
      </c>
      <c r="P327">
        <v>85.545411932170737</v>
      </c>
      <c r="Q327">
        <v>23.624749999999999</v>
      </c>
      <c r="R327">
        <v>392.00081112711513</v>
      </c>
      <c r="S327">
        <v>-201.43436</v>
      </c>
      <c r="T327">
        <v>-5992.2427667646671</v>
      </c>
    </row>
    <row r="328" spans="1:20" x14ac:dyDescent="0.25">
      <c r="A328" s="1" t="s">
        <v>32</v>
      </c>
      <c r="B328">
        <v>2010</v>
      </c>
      <c r="C328">
        <v>2445.877</v>
      </c>
      <c r="D328">
        <v>1844.269</v>
      </c>
      <c r="E328">
        <v>601.60800000000086</v>
      </c>
      <c r="F328">
        <v>1.0922952405947901</v>
      </c>
      <c r="G328">
        <v>-0.71749348456296713</v>
      </c>
      <c r="H328">
        <v>0.37480175603182309</v>
      </c>
      <c r="I328">
        <v>0.14535506299615761</v>
      </c>
      <c r="J328">
        <v>9.7683775594602645E-3</v>
      </c>
      <c r="K328">
        <v>0.21248858370424231</v>
      </c>
      <c r="L328">
        <v>-0.33532619247084428</v>
      </c>
      <c r="M328">
        <v>2671.6198061802638</v>
      </c>
      <c r="N328">
        <v>-1754.9008115424169</v>
      </c>
      <c r="O328">
        <v>916.71899463784757</v>
      </c>
      <c r="P328">
        <v>355.52060541585303</v>
      </c>
      <c r="Q328">
        <v>23.892250000000001</v>
      </c>
      <c r="R328">
        <v>391.88610777963919</v>
      </c>
      <c r="S328">
        <v>-201.73491999999999</v>
      </c>
      <c r="T328">
        <v>-5449.7044720560752</v>
      </c>
    </row>
    <row r="329" spans="1:20" x14ac:dyDescent="0.25">
      <c r="A329" s="1" t="s">
        <v>32</v>
      </c>
      <c r="B329">
        <v>2011</v>
      </c>
      <c r="C329">
        <v>2447.023000000001</v>
      </c>
      <c r="D329">
        <v>1845.0889999999999</v>
      </c>
      <c r="E329">
        <v>601.93400000000088</v>
      </c>
      <c r="F329">
        <v>1.1095613039241901</v>
      </c>
      <c r="G329">
        <v>-1.01994677533998</v>
      </c>
      <c r="H329">
        <v>8.9614528584210193E-2</v>
      </c>
      <c r="I329">
        <v>0.2713656458905585</v>
      </c>
      <c r="J329">
        <v>9.751849492219725E-3</v>
      </c>
      <c r="K329">
        <v>0.21243684914233191</v>
      </c>
      <c r="L329">
        <v>-0.33570604086162231</v>
      </c>
      <c r="M329">
        <v>2715.1220306124851</v>
      </c>
      <c r="N329">
        <v>-2495.8332180327652</v>
      </c>
      <c r="O329">
        <v>219.28881257971989</v>
      </c>
      <c r="P329">
        <v>664.03797690405247</v>
      </c>
      <c r="Q329">
        <v>23.863</v>
      </c>
      <c r="R329">
        <v>391.96489354717608</v>
      </c>
      <c r="S329">
        <v>-202.07288</v>
      </c>
      <c r="T329">
        <v>-4022.633277780511</v>
      </c>
    </row>
    <row r="330" spans="1:20" x14ac:dyDescent="0.25">
      <c r="A330" s="1" t="s">
        <v>32</v>
      </c>
      <c r="B330">
        <v>2012</v>
      </c>
      <c r="C330">
        <v>2448.2180000000012</v>
      </c>
      <c r="D330">
        <v>1846.0139999999999</v>
      </c>
      <c r="E330">
        <v>602.20400000000086</v>
      </c>
      <c r="F330">
        <v>1.1310150943738899</v>
      </c>
      <c r="G330">
        <v>-1.1108066867256501</v>
      </c>
      <c r="H330">
        <v>2.020840764823988E-2</v>
      </c>
      <c r="I330">
        <v>0.15589991162386219</v>
      </c>
      <c r="J330">
        <v>9.6277169761843084E-3</v>
      </c>
      <c r="K330">
        <v>0.21244928907014221</v>
      </c>
      <c r="L330">
        <v>-0.33611673120736452</v>
      </c>
      <c r="M330">
        <v>2768.9715123178571</v>
      </c>
      <c r="N330">
        <v>-2719.496924962099</v>
      </c>
      <c r="O330">
        <v>49.474587355758558</v>
      </c>
      <c r="P330">
        <v>381.67696983594891</v>
      </c>
      <c r="Q330">
        <v>23.57075</v>
      </c>
      <c r="R330">
        <v>392.18436191352941</v>
      </c>
      <c r="S330">
        <v>-202.41084000000001</v>
      </c>
      <c r="T330">
        <v>-2363.1513733860829</v>
      </c>
    </row>
    <row r="331" spans="1:20" x14ac:dyDescent="0.25">
      <c r="A331" s="1" t="s">
        <v>32</v>
      </c>
      <c r="B331">
        <v>2013</v>
      </c>
      <c r="C331">
        <v>2449.2290000000012</v>
      </c>
      <c r="D331">
        <v>1846.7829999999999</v>
      </c>
      <c r="E331">
        <v>602.44600000000082</v>
      </c>
      <c r="F331">
        <v>1.1496637235380101</v>
      </c>
      <c r="G331">
        <v>-1.2000705403782099</v>
      </c>
      <c r="H331">
        <v>-5.0406816840199757E-2</v>
      </c>
      <c r="I331">
        <v>0.1489849717565129</v>
      </c>
      <c r="J331">
        <v>9.3553930645113182E-3</v>
      </c>
      <c r="K331">
        <v>0.21255223889719829</v>
      </c>
      <c r="L331">
        <v>-0.33650318866753148</v>
      </c>
      <c r="M331">
        <v>2815.7897319372778</v>
      </c>
      <c r="N331">
        <v>-2939.247569539983</v>
      </c>
      <c r="O331">
        <v>-123.45783760270569</v>
      </c>
      <c r="P331">
        <v>364.89831339023237</v>
      </c>
      <c r="Q331">
        <v>22.913499999999999</v>
      </c>
      <c r="R331">
        <v>392.53786140728471</v>
      </c>
      <c r="S331">
        <v>-202.72499999999999</v>
      </c>
      <c r="T331">
        <v>-1665.2784030477931</v>
      </c>
    </row>
    <row r="332" spans="1:20" x14ac:dyDescent="0.25">
      <c r="A332" s="1" t="s">
        <v>32</v>
      </c>
      <c r="B332">
        <v>2014</v>
      </c>
      <c r="C332">
        <v>2449.911000000001</v>
      </c>
      <c r="D332">
        <v>1847.153</v>
      </c>
      <c r="E332">
        <v>602.75800000000072</v>
      </c>
      <c r="F332">
        <v>1.1609587256020799</v>
      </c>
      <c r="G332">
        <v>-1.1854590283247901</v>
      </c>
      <c r="H332">
        <v>-2.4500302722710272E-2</v>
      </c>
      <c r="I332">
        <v>3.8759602647911423E-2</v>
      </c>
      <c r="J332">
        <v>9.0497164999055035E-3</v>
      </c>
      <c r="K332">
        <v>0.21263500677449121</v>
      </c>
      <c r="L332">
        <v>-0.33664714528882189</v>
      </c>
      <c r="M332">
        <v>2844.2455523985182</v>
      </c>
      <c r="N332">
        <v>-2904.269113542216</v>
      </c>
      <c r="O332">
        <v>-60.023561143697862</v>
      </c>
      <c r="P332">
        <v>94.957576882747361</v>
      </c>
      <c r="Q332">
        <v>22.170999999999999</v>
      </c>
      <c r="R332">
        <v>392.76939066852179</v>
      </c>
      <c r="S332">
        <v>-202.91676000000001</v>
      </c>
      <c r="T332">
        <v>-905.51137016117718</v>
      </c>
    </row>
    <row r="333" spans="1:20" x14ac:dyDescent="0.25">
      <c r="A333" s="1" t="s">
        <v>32</v>
      </c>
      <c r="B333">
        <v>2015</v>
      </c>
      <c r="C333">
        <v>2450.2380000000012</v>
      </c>
      <c r="D333">
        <v>1847.3430000000001</v>
      </c>
      <c r="E333">
        <v>602.89500000000078</v>
      </c>
      <c r="F333">
        <v>1.1768068309295201</v>
      </c>
      <c r="G333">
        <v>-1.2080666089838099</v>
      </c>
      <c r="H333">
        <v>-3.1259778054289832E-2</v>
      </c>
      <c r="I333">
        <v>-1.7769085918546729E-2</v>
      </c>
      <c r="J333">
        <v>8.6626278753329251E-3</v>
      </c>
      <c r="K333">
        <v>0.2127631634642603</v>
      </c>
      <c r="L333">
        <v>-0.33687743305218942</v>
      </c>
      <c r="M333">
        <v>2883.456815803087</v>
      </c>
      <c r="N333">
        <v>-2960.050711863274</v>
      </c>
      <c r="O333">
        <v>-76.593896060187035</v>
      </c>
      <c r="P333">
        <v>-43.538489542888122</v>
      </c>
      <c r="Q333">
        <v>21.2255</v>
      </c>
      <c r="R333">
        <v>393.04654068355711</v>
      </c>
      <c r="S333">
        <v>-203.10172</v>
      </c>
      <c r="T333">
        <v>-333.80576196179737</v>
      </c>
    </row>
    <row r="334" spans="1:20" x14ac:dyDescent="0.25">
      <c r="A334" s="1" t="s">
        <v>32</v>
      </c>
      <c r="B334">
        <v>2016</v>
      </c>
      <c r="C334">
        <v>2450.2420000000011</v>
      </c>
      <c r="D334">
        <v>1847.2149999999999</v>
      </c>
      <c r="E334">
        <v>603.02700000000073</v>
      </c>
      <c r="F334">
        <v>1.1832761123286299</v>
      </c>
      <c r="G334">
        <v>-1.24918000382201</v>
      </c>
      <c r="H334">
        <v>-6.5903891493379996E-2</v>
      </c>
      <c r="I334">
        <v>-0.1051894875409798</v>
      </c>
      <c r="J334">
        <v>8.2240856209305005E-3</v>
      </c>
      <c r="K334">
        <v>0.21292662103952201</v>
      </c>
      <c r="L334">
        <v>-0.33718821876964022</v>
      </c>
      <c r="M334">
        <v>2899.3128280243282</v>
      </c>
      <c r="N334">
        <v>-3060.7933109248502</v>
      </c>
      <c r="O334">
        <v>-161.4804829005225</v>
      </c>
      <c r="P334">
        <v>-257.73970033138562</v>
      </c>
      <c r="Q334">
        <v>20.151</v>
      </c>
      <c r="R334">
        <v>393.32124828352062</v>
      </c>
      <c r="S334">
        <v>-203.33359999999999</v>
      </c>
      <c r="T334">
        <v>766.63229481082374</v>
      </c>
    </row>
    <row r="335" spans="1:20" x14ac:dyDescent="0.25">
      <c r="A335" s="1" t="s">
        <v>32</v>
      </c>
      <c r="B335">
        <v>2017</v>
      </c>
      <c r="C335">
        <v>2449.9770000000012</v>
      </c>
      <c r="D335">
        <v>1846.9010000000001</v>
      </c>
      <c r="E335">
        <v>603.0760000000007</v>
      </c>
      <c r="F335">
        <v>1.18429256624318</v>
      </c>
      <c r="G335">
        <v>-1.29829328971967</v>
      </c>
      <c r="H335">
        <v>-0.1140007234764899</v>
      </c>
      <c r="I335">
        <v>-3.0038882015133651E-2</v>
      </c>
      <c r="J335">
        <v>7.7509911317534784E-3</v>
      </c>
      <c r="K335">
        <v>0.21310229962832161</v>
      </c>
      <c r="L335">
        <v>-0.33724538864090059</v>
      </c>
      <c r="M335">
        <v>2901.489548566768</v>
      </c>
      <c r="N335">
        <v>-3180.7886990675288</v>
      </c>
      <c r="O335">
        <v>-279.29915050076028</v>
      </c>
      <c r="P335">
        <v>-73.594570042791119</v>
      </c>
      <c r="Q335">
        <v>18.989750000000001</v>
      </c>
      <c r="R335">
        <v>393.5788502858469</v>
      </c>
      <c r="S335">
        <v>-203.38460000000001</v>
      </c>
      <c r="T335">
        <v>526.93564094496458</v>
      </c>
    </row>
    <row r="336" spans="1:20" x14ac:dyDescent="0.25">
      <c r="A336" s="1" t="s">
        <v>32</v>
      </c>
      <c r="B336">
        <v>2018</v>
      </c>
      <c r="C336">
        <v>2450.315000000001</v>
      </c>
      <c r="D336">
        <v>1847.0940000000001</v>
      </c>
      <c r="E336">
        <v>603.2210000000008</v>
      </c>
      <c r="F336">
        <v>1.1815145568534799</v>
      </c>
      <c r="G336">
        <v>-1.4585327894443501</v>
      </c>
      <c r="H336">
        <v>-0.27701823259086999</v>
      </c>
      <c r="I336">
        <v>-3.6869630408112621E-2</v>
      </c>
      <c r="J336">
        <v>7.3647673870502316E-3</v>
      </c>
      <c r="K336">
        <v>0.21317462993596259</v>
      </c>
      <c r="L336">
        <v>-0.33720941412848648</v>
      </c>
      <c r="M336">
        <v>2895.082841376437</v>
      </c>
      <c r="N336">
        <v>-3573.864771967334</v>
      </c>
      <c r="O336">
        <v>-678.7819305908979</v>
      </c>
      <c r="P336">
        <v>-90.342208433454516</v>
      </c>
      <c r="Q336">
        <v>18.045999999999999</v>
      </c>
      <c r="R336">
        <v>393.75357990693698</v>
      </c>
      <c r="S336">
        <v>-203.4118</v>
      </c>
      <c r="T336">
        <v>2056.0333167640429</v>
      </c>
    </row>
    <row r="337" spans="1:20" x14ac:dyDescent="0.25">
      <c r="A337" s="1" t="s">
        <v>32</v>
      </c>
      <c r="B337">
        <v>2019</v>
      </c>
      <c r="C337">
        <v>2451.0010000000011</v>
      </c>
      <c r="D337">
        <v>1847.5039999999999</v>
      </c>
      <c r="E337">
        <v>603.49700000000075</v>
      </c>
      <c r="F337">
        <v>1.1771415892618999</v>
      </c>
      <c r="G337">
        <v>-1.4277630204123399</v>
      </c>
      <c r="H337">
        <v>-0.25062143115044011</v>
      </c>
      <c r="I337">
        <v>-3.638435305392651E-2</v>
      </c>
      <c r="J337">
        <v>6.9686834073099078E-3</v>
      </c>
      <c r="K337">
        <v>0.21326110055823461</v>
      </c>
      <c r="L337">
        <v>-0.33737294468737999</v>
      </c>
      <c r="M337">
        <v>2885.1752124225068</v>
      </c>
      <c r="N337">
        <v>-3499.4485907936669</v>
      </c>
      <c r="O337">
        <v>-614.27337837116011</v>
      </c>
      <c r="P337">
        <v>-89.178085719526976</v>
      </c>
      <c r="Q337">
        <v>17.080249999999999</v>
      </c>
      <c r="R337">
        <v>394.00073632574072</v>
      </c>
      <c r="S337">
        <v>-203.60355999999999</v>
      </c>
      <c r="T337">
        <v>1818.571471804969</v>
      </c>
    </row>
    <row r="338" spans="1:20" x14ac:dyDescent="0.25">
      <c r="A338" s="1" t="s">
        <v>32</v>
      </c>
      <c r="B338">
        <v>2020</v>
      </c>
      <c r="C338">
        <v>2452.0200000000009</v>
      </c>
      <c r="D338">
        <v>1848.22</v>
      </c>
      <c r="E338">
        <v>603.80000000000086</v>
      </c>
      <c r="F338">
        <v>1.16676523818494</v>
      </c>
      <c r="G338">
        <v>-1.2015152544034899</v>
      </c>
      <c r="H338">
        <v>-3.4750016218549937E-2</v>
      </c>
      <c r="I338">
        <v>-3.3373609727854872E-2</v>
      </c>
      <c r="J338">
        <v>6.6606308268284892E-3</v>
      </c>
      <c r="K338">
        <v>0.2132606249579948</v>
      </c>
      <c r="L338">
        <v>-0.33746942696256987</v>
      </c>
      <c r="M338">
        <v>2860.9316993342381</v>
      </c>
      <c r="N338">
        <v>-2946.139434102447</v>
      </c>
      <c r="O338">
        <v>-85.207734768208866</v>
      </c>
      <c r="P338">
        <v>-81.832758524894743</v>
      </c>
      <c r="Q338">
        <v>16.332000000000001</v>
      </c>
      <c r="R338">
        <v>394.15255225986527</v>
      </c>
      <c r="S338">
        <v>-203.76403999999999</v>
      </c>
      <c r="T338">
        <v>-145.49340287813939</v>
      </c>
    </row>
    <row r="339" spans="1:20" x14ac:dyDescent="0.25">
      <c r="A339" s="1" t="s">
        <v>32</v>
      </c>
      <c r="B339">
        <v>2021</v>
      </c>
      <c r="C339">
        <v>2453.0090000000009</v>
      </c>
      <c r="D339">
        <v>1849.05</v>
      </c>
      <c r="E339">
        <v>603.95900000000086</v>
      </c>
      <c r="F339">
        <v>1.15817995519983</v>
      </c>
      <c r="G339">
        <v>-1.16842799104213</v>
      </c>
      <c r="H339">
        <v>-1.0248035842299989E-2</v>
      </c>
      <c r="I339">
        <v>7.8572807208536384E-3</v>
      </c>
      <c r="J339">
        <v>6.4212972720442494E-3</v>
      </c>
      <c r="K339">
        <v>0.213204497676623</v>
      </c>
      <c r="L339">
        <v>-0.33740422777042772</v>
      </c>
      <c r="M339">
        <v>2841.025853724781</v>
      </c>
      <c r="N339">
        <v>-2866.164377878265</v>
      </c>
      <c r="O339">
        <v>-25.138524153484472</v>
      </c>
      <c r="P339">
        <v>19.273980323780471</v>
      </c>
      <c r="Q339">
        <v>15.7515</v>
      </c>
      <c r="R339">
        <v>394.22577642895988</v>
      </c>
      <c r="S339">
        <v>-203.77832000000001</v>
      </c>
      <c r="T339">
        <v>-734.559512864005</v>
      </c>
    </row>
    <row r="340" spans="1:20" x14ac:dyDescent="0.25">
      <c r="A340" s="1" t="s">
        <v>32</v>
      </c>
      <c r="B340">
        <v>2022</v>
      </c>
      <c r="C340">
        <v>2453.9310000000009</v>
      </c>
      <c r="D340">
        <v>1849.8230000000001</v>
      </c>
      <c r="E340">
        <v>604.10800000000086</v>
      </c>
      <c r="F340">
        <v>1.1550030222318699</v>
      </c>
      <c r="G340">
        <v>-1.0830495634850199</v>
      </c>
      <c r="H340">
        <v>7.1953458746850107E-2</v>
      </c>
      <c r="I340">
        <v>5.7168222196967287E-2</v>
      </c>
      <c r="J340">
        <v>6.203617787134191E-3</v>
      </c>
      <c r="K340">
        <v>0.21317346535362069</v>
      </c>
      <c r="L340">
        <v>-0.33757427479854551</v>
      </c>
      <c r="M340">
        <v>2834.297721348476</v>
      </c>
      <c r="N340">
        <v>-2657.7288983723602</v>
      </c>
      <c r="O340">
        <v>176.56882297611671</v>
      </c>
      <c r="P340">
        <v>140.28687266402619</v>
      </c>
      <c r="Q340">
        <v>15.22325</v>
      </c>
      <c r="R340">
        <v>394.33317920083078</v>
      </c>
      <c r="S340">
        <v>-203.93132</v>
      </c>
      <c r="T340">
        <v>-1915.7629510837451</v>
      </c>
    </row>
    <row r="341" spans="1:20" x14ac:dyDescent="0.25">
      <c r="A341" s="1" t="s">
        <v>32</v>
      </c>
      <c r="B341">
        <v>2023</v>
      </c>
      <c r="C341">
        <v>2454.152000000001</v>
      </c>
      <c r="D341">
        <v>1849.96</v>
      </c>
      <c r="E341">
        <v>604.19200000000069</v>
      </c>
      <c r="F341">
        <v>1.14739753721037</v>
      </c>
      <c r="G341">
        <v>-1.2729626680822499</v>
      </c>
      <c r="H341">
        <v>-0.1255651308718799</v>
      </c>
      <c r="I341">
        <v>2.2426121440541191E-2</v>
      </c>
      <c r="J341">
        <v>5.8442794089363648E-3</v>
      </c>
      <c r="K341">
        <v>0.21334902979288739</v>
      </c>
      <c r="L341">
        <v>-0.3374609395688784</v>
      </c>
      <c r="M341">
        <v>2815.8879607399049</v>
      </c>
      <c r="N341">
        <v>-3124.0438777993909</v>
      </c>
      <c r="O341">
        <v>-308.155917059486</v>
      </c>
      <c r="P341">
        <v>55.037110785547057</v>
      </c>
      <c r="Q341">
        <v>14.342750000000001</v>
      </c>
      <c r="R341">
        <v>394.68717115564999</v>
      </c>
      <c r="S341">
        <v>-203.8912</v>
      </c>
      <c r="T341">
        <v>175.92697876707561</v>
      </c>
    </row>
    <row r="342" spans="1:20" x14ac:dyDescent="0.25">
      <c r="A342" s="1" t="s">
        <v>98</v>
      </c>
      <c r="B342">
        <v>1990</v>
      </c>
      <c r="C342">
        <v>156864.8392615887</v>
      </c>
      <c r="D342">
        <v>144214.62172185909</v>
      </c>
      <c r="E342">
        <v>12650.21753972964</v>
      </c>
      <c r="F342" t="s">
        <v>96</v>
      </c>
      <c r="G342" t="s">
        <v>96</v>
      </c>
      <c r="H342" t="s">
        <v>96</v>
      </c>
      <c r="I342" t="s">
        <v>96</v>
      </c>
      <c r="J342" t="s">
        <v>96</v>
      </c>
      <c r="K342" t="s">
        <v>96</v>
      </c>
      <c r="L342" t="s">
        <v>96</v>
      </c>
      <c r="M342">
        <v>179058.65438584171</v>
      </c>
      <c r="N342">
        <v>-95126.304726853457</v>
      </c>
      <c r="O342">
        <v>83932.349658988198</v>
      </c>
      <c r="P342">
        <v>5903.0284568155939</v>
      </c>
      <c r="Q342">
        <v>3099.4708454051979</v>
      </c>
      <c r="R342">
        <v>17494.945289427091</v>
      </c>
      <c r="S342">
        <v>-4417.3397346804741</v>
      </c>
      <c r="T342">
        <v>-388712.33322520589</v>
      </c>
    </row>
    <row r="343" spans="1:20" x14ac:dyDescent="0.25">
      <c r="A343" s="1" t="s">
        <v>98</v>
      </c>
      <c r="B343">
        <v>1991</v>
      </c>
      <c r="C343">
        <v>157253.92961869459</v>
      </c>
      <c r="D343">
        <v>144573.03948477501</v>
      </c>
      <c r="E343">
        <v>12680.89013391966</v>
      </c>
      <c r="F343" t="s">
        <v>96</v>
      </c>
      <c r="G343" t="s">
        <v>96</v>
      </c>
      <c r="H343" t="s">
        <v>96</v>
      </c>
      <c r="I343" t="s">
        <v>96</v>
      </c>
      <c r="J343" t="s">
        <v>96</v>
      </c>
      <c r="K343" t="s">
        <v>96</v>
      </c>
      <c r="L343" t="s">
        <v>96</v>
      </c>
      <c r="M343">
        <v>193046.52840279811</v>
      </c>
      <c r="N343">
        <v>-85668.976762309292</v>
      </c>
      <c r="O343">
        <v>107377.55164048891</v>
      </c>
      <c r="P343">
        <v>5015.0189975166768</v>
      </c>
      <c r="Q343">
        <v>2992.420704912819</v>
      </c>
      <c r="R343">
        <v>17668.264199133399</v>
      </c>
      <c r="S343">
        <v>-4596.6559261534521</v>
      </c>
      <c r="T343">
        <v>-471007.53192500328</v>
      </c>
    </row>
    <row r="344" spans="1:20" x14ac:dyDescent="0.25">
      <c r="A344" s="1" t="s">
        <v>98</v>
      </c>
      <c r="B344">
        <v>1992</v>
      </c>
      <c r="C344">
        <v>157640.60069992871</v>
      </c>
      <c r="D344">
        <v>144942.9225305084</v>
      </c>
      <c r="E344">
        <v>12697.678169420309</v>
      </c>
      <c r="F344" t="s">
        <v>96</v>
      </c>
      <c r="G344" t="s">
        <v>96</v>
      </c>
      <c r="H344" t="s">
        <v>96</v>
      </c>
      <c r="I344" t="s">
        <v>96</v>
      </c>
      <c r="J344" t="s">
        <v>96</v>
      </c>
      <c r="K344" t="s">
        <v>96</v>
      </c>
      <c r="L344" t="s">
        <v>96</v>
      </c>
      <c r="M344">
        <v>188582.95647862839</v>
      </c>
      <c r="N344">
        <v>-88293.579889381013</v>
      </c>
      <c r="O344">
        <v>100289.3765892474</v>
      </c>
      <c r="P344">
        <v>5651.9516612878651</v>
      </c>
      <c r="Q344">
        <v>3157.6468965550162</v>
      </c>
      <c r="R344">
        <v>17258.170789564319</v>
      </c>
      <c r="S344">
        <v>-4476.1064524508711</v>
      </c>
      <c r="T344">
        <v>-446897.1447754543</v>
      </c>
    </row>
    <row r="345" spans="1:20" x14ac:dyDescent="0.25">
      <c r="A345" s="1" t="s">
        <v>98</v>
      </c>
      <c r="B345">
        <v>1993</v>
      </c>
      <c r="C345">
        <v>158008.17304084171</v>
      </c>
      <c r="D345">
        <v>145298.47314138131</v>
      </c>
      <c r="E345">
        <v>12709.69989946046</v>
      </c>
      <c r="F345" t="s">
        <v>96</v>
      </c>
      <c r="G345" t="s">
        <v>96</v>
      </c>
      <c r="H345" t="s">
        <v>96</v>
      </c>
      <c r="I345" t="s">
        <v>96</v>
      </c>
      <c r="J345" t="s">
        <v>96</v>
      </c>
      <c r="K345" t="s">
        <v>96</v>
      </c>
      <c r="L345" t="s">
        <v>96</v>
      </c>
      <c r="M345">
        <v>191602.65844356819</v>
      </c>
      <c r="N345">
        <v>-91242.266619742863</v>
      </c>
      <c r="O345">
        <v>100360.3918238253</v>
      </c>
      <c r="P345">
        <v>5666.7754925670051</v>
      </c>
      <c r="Q345">
        <v>3170.9295056046731</v>
      </c>
      <c r="R345">
        <v>17903.997227639771</v>
      </c>
      <c r="S345">
        <v>-4186.0887677765586</v>
      </c>
      <c r="T345">
        <v>-450692.01936686173</v>
      </c>
    </row>
    <row r="346" spans="1:20" x14ac:dyDescent="0.25">
      <c r="A346" s="1" t="s">
        <v>98</v>
      </c>
      <c r="B346">
        <v>1994</v>
      </c>
      <c r="C346">
        <v>158388.38573811471</v>
      </c>
      <c r="D346">
        <v>145662.9206545949</v>
      </c>
      <c r="E346">
        <v>12725.46508351981</v>
      </c>
      <c r="F346" t="s">
        <v>96</v>
      </c>
      <c r="G346" t="s">
        <v>96</v>
      </c>
      <c r="H346" t="s">
        <v>96</v>
      </c>
      <c r="I346" t="s">
        <v>96</v>
      </c>
      <c r="J346" t="s">
        <v>96</v>
      </c>
      <c r="K346" t="s">
        <v>96</v>
      </c>
      <c r="L346" t="s">
        <v>96</v>
      </c>
      <c r="M346">
        <v>191954.3680932422</v>
      </c>
      <c r="N346">
        <v>-94290.658268298386</v>
      </c>
      <c r="O346">
        <v>97663.709824943842</v>
      </c>
      <c r="P346">
        <v>6015.1398411904966</v>
      </c>
      <c r="Q346">
        <v>3295.5099727996148</v>
      </c>
      <c r="R346">
        <v>17439.63805511692</v>
      </c>
      <c r="S346">
        <v>-4034.854571169566</v>
      </c>
      <c r="T346">
        <v>-441390.19145060499</v>
      </c>
    </row>
    <row r="347" spans="1:20" x14ac:dyDescent="0.25">
      <c r="A347" s="1" t="s">
        <v>98</v>
      </c>
      <c r="B347">
        <v>1995</v>
      </c>
      <c r="C347">
        <v>158776.52146343241</v>
      </c>
      <c r="D347">
        <v>146031.52068398919</v>
      </c>
      <c r="E347">
        <v>12745.00077944314</v>
      </c>
      <c r="F347" t="s">
        <v>96</v>
      </c>
      <c r="G347" t="s">
        <v>96</v>
      </c>
      <c r="H347" t="s">
        <v>96</v>
      </c>
      <c r="I347" t="s">
        <v>96</v>
      </c>
      <c r="J347" t="s">
        <v>96</v>
      </c>
      <c r="K347" t="s">
        <v>96</v>
      </c>
      <c r="L347" t="s">
        <v>96</v>
      </c>
      <c r="M347">
        <v>193507.7473817883</v>
      </c>
      <c r="N347">
        <v>-94873.985009862299</v>
      </c>
      <c r="O347">
        <v>98633.762371926015</v>
      </c>
      <c r="P347">
        <v>6289.2705151122491</v>
      </c>
      <c r="Q347">
        <v>3366.9599052005392</v>
      </c>
      <c r="R347">
        <v>18303.86859985608</v>
      </c>
      <c r="S347">
        <v>-4160.6724172844733</v>
      </c>
      <c r="T347">
        <v>-448921.69290767901</v>
      </c>
    </row>
    <row r="348" spans="1:20" x14ac:dyDescent="0.25">
      <c r="A348" s="1" t="s">
        <v>98</v>
      </c>
      <c r="B348">
        <v>1996</v>
      </c>
      <c r="C348">
        <v>159202.3692880976</v>
      </c>
      <c r="D348">
        <v>146439.3175169047</v>
      </c>
      <c r="E348">
        <v>12763.05177119295</v>
      </c>
      <c r="F348" t="s">
        <v>96</v>
      </c>
      <c r="G348" t="s">
        <v>96</v>
      </c>
      <c r="H348" t="s">
        <v>96</v>
      </c>
      <c r="I348" t="s">
        <v>96</v>
      </c>
      <c r="J348" t="s">
        <v>96</v>
      </c>
      <c r="K348" t="s">
        <v>96</v>
      </c>
      <c r="L348" t="s">
        <v>96</v>
      </c>
      <c r="M348">
        <v>198568.37296858299</v>
      </c>
      <c r="N348">
        <v>-94010.866775544157</v>
      </c>
      <c r="O348">
        <v>104557.50619303891</v>
      </c>
      <c r="P348">
        <v>5924.7863753171723</v>
      </c>
      <c r="Q348">
        <v>3394.2608600356439</v>
      </c>
      <c r="R348">
        <v>18770.689701900741</v>
      </c>
      <c r="S348">
        <v>-4369.5525088089626</v>
      </c>
      <c r="T348">
        <v>-470351.53227881552</v>
      </c>
    </row>
    <row r="349" spans="1:20" x14ac:dyDescent="0.25">
      <c r="A349" s="1" t="s">
        <v>98</v>
      </c>
      <c r="B349">
        <v>1997</v>
      </c>
      <c r="C349">
        <v>159603.22953256039</v>
      </c>
      <c r="D349">
        <v>146829.16700919779</v>
      </c>
      <c r="E349">
        <v>12774.062523362591</v>
      </c>
      <c r="F349" t="s">
        <v>96</v>
      </c>
      <c r="G349" t="s">
        <v>96</v>
      </c>
      <c r="H349" t="s">
        <v>96</v>
      </c>
      <c r="I349" t="s">
        <v>96</v>
      </c>
      <c r="J349" t="s">
        <v>96</v>
      </c>
      <c r="K349" t="s">
        <v>96</v>
      </c>
      <c r="L349" t="s">
        <v>96</v>
      </c>
      <c r="M349">
        <v>202419.2883009589</v>
      </c>
      <c r="N349">
        <v>-100501.90743916899</v>
      </c>
      <c r="O349">
        <v>101917.3808617899</v>
      </c>
      <c r="P349">
        <v>6407.187356986462</v>
      </c>
      <c r="Q349">
        <v>3313.4480093633019</v>
      </c>
      <c r="R349">
        <v>18466.748041728599</v>
      </c>
      <c r="S349">
        <v>-4180.1190250611262</v>
      </c>
      <c r="T349">
        <v>-461723.69923100137</v>
      </c>
    </row>
    <row r="350" spans="1:20" x14ac:dyDescent="0.25">
      <c r="A350" s="1" t="s">
        <v>98</v>
      </c>
      <c r="B350">
        <v>1998</v>
      </c>
      <c r="C350">
        <v>160026.66572591421</v>
      </c>
      <c r="D350">
        <v>147239.6739908884</v>
      </c>
      <c r="E350">
        <v>12786.99173502578</v>
      </c>
      <c r="F350" t="s">
        <v>96</v>
      </c>
      <c r="G350" t="s">
        <v>96</v>
      </c>
      <c r="H350" t="s">
        <v>96</v>
      </c>
      <c r="I350" t="s">
        <v>96</v>
      </c>
      <c r="J350" t="s">
        <v>96</v>
      </c>
      <c r="K350" t="s">
        <v>96</v>
      </c>
      <c r="L350" t="s">
        <v>96</v>
      </c>
      <c r="M350">
        <v>206906.7106493809</v>
      </c>
      <c r="N350">
        <v>-102482.15502041241</v>
      </c>
      <c r="O350">
        <v>104424.5556289685</v>
      </c>
      <c r="P350">
        <v>6582.2716516473711</v>
      </c>
      <c r="Q350">
        <v>3387.6135036059841</v>
      </c>
      <c r="R350">
        <v>18305.98471803069</v>
      </c>
      <c r="S350">
        <v>-4260.8219557945131</v>
      </c>
      <c r="T350">
        <v>-470945.21300372231</v>
      </c>
    </row>
    <row r="351" spans="1:20" x14ac:dyDescent="0.25">
      <c r="A351" s="1" t="s">
        <v>98</v>
      </c>
      <c r="B351">
        <v>1999</v>
      </c>
      <c r="C351">
        <v>160417.11804836811</v>
      </c>
      <c r="D351">
        <v>147619.36780717329</v>
      </c>
      <c r="E351">
        <v>12797.75024119473</v>
      </c>
      <c r="F351" t="s">
        <v>96</v>
      </c>
      <c r="G351" t="s">
        <v>96</v>
      </c>
      <c r="H351" t="s">
        <v>96</v>
      </c>
      <c r="I351" t="s">
        <v>96</v>
      </c>
      <c r="J351" t="s">
        <v>96</v>
      </c>
      <c r="K351" t="s">
        <v>96</v>
      </c>
      <c r="L351" t="s">
        <v>96</v>
      </c>
      <c r="M351">
        <v>208375.1077521937</v>
      </c>
      <c r="N351">
        <v>-121712.66704340219</v>
      </c>
      <c r="O351">
        <v>86662.44070879143</v>
      </c>
      <c r="P351">
        <v>25087.122240168781</v>
      </c>
      <c r="Q351">
        <v>3340.226025121769</v>
      </c>
      <c r="R351">
        <v>18334.508353369849</v>
      </c>
      <c r="S351">
        <v>-4342.2421009429627</v>
      </c>
      <c r="T351">
        <v>-473300.86916390888</v>
      </c>
    </row>
    <row r="352" spans="1:20" x14ac:dyDescent="0.25">
      <c r="A352" s="1" t="s">
        <v>98</v>
      </c>
      <c r="B352">
        <v>2000</v>
      </c>
      <c r="C352">
        <v>160816.44536115491</v>
      </c>
      <c r="D352">
        <v>148006.66739743599</v>
      </c>
      <c r="E352">
        <v>12809.777963718871</v>
      </c>
      <c r="F352" t="s">
        <v>96</v>
      </c>
      <c r="G352" t="s">
        <v>96</v>
      </c>
      <c r="H352" t="s">
        <v>96</v>
      </c>
      <c r="I352" t="s">
        <v>96</v>
      </c>
      <c r="J352" t="s">
        <v>96</v>
      </c>
      <c r="K352" t="s">
        <v>96</v>
      </c>
      <c r="L352" t="s">
        <v>96</v>
      </c>
      <c r="M352">
        <v>204028.13951369951</v>
      </c>
      <c r="N352">
        <v>-109123.6078627455</v>
      </c>
      <c r="O352">
        <v>94904.531650954013</v>
      </c>
      <c r="P352">
        <v>5117.31158767541</v>
      </c>
      <c r="Q352">
        <v>3281.8242016191571</v>
      </c>
      <c r="R352">
        <v>17840.50578228926</v>
      </c>
      <c r="S352">
        <v>-4389.1389827529347</v>
      </c>
      <c r="T352">
        <v>-428101.79221258359</v>
      </c>
    </row>
    <row r="353" spans="1:20" x14ac:dyDescent="0.25">
      <c r="A353" s="1" t="s">
        <v>98</v>
      </c>
      <c r="B353">
        <v>2001</v>
      </c>
      <c r="C353">
        <v>161216.34811874089</v>
      </c>
      <c r="D353">
        <v>148396.0261480927</v>
      </c>
      <c r="E353">
        <v>12820.32197064823</v>
      </c>
      <c r="F353" t="s">
        <v>96</v>
      </c>
      <c r="G353" t="s">
        <v>96</v>
      </c>
      <c r="H353" t="s">
        <v>96</v>
      </c>
      <c r="I353" t="s">
        <v>96</v>
      </c>
      <c r="J353" t="s">
        <v>96</v>
      </c>
      <c r="K353" t="s">
        <v>96</v>
      </c>
      <c r="L353" t="s">
        <v>96</v>
      </c>
      <c r="M353">
        <v>206708.60068018411</v>
      </c>
      <c r="N353">
        <v>-103544.4081016625</v>
      </c>
      <c r="O353">
        <v>103164.1925785216</v>
      </c>
      <c r="P353">
        <v>6235.870626820828</v>
      </c>
      <c r="Q353">
        <v>3316.5519777290701</v>
      </c>
      <c r="R353">
        <v>18711.837479714159</v>
      </c>
      <c r="S353">
        <v>-4608.4702671768182</v>
      </c>
      <c r="T353">
        <v>-465006.60211727448</v>
      </c>
    </row>
    <row r="354" spans="1:20" x14ac:dyDescent="0.25">
      <c r="A354" s="1" t="s">
        <v>98</v>
      </c>
      <c r="B354">
        <v>2002</v>
      </c>
      <c r="C354">
        <v>161653.01816194729</v>
      </c>
      <c r="D354">
        <v>148823.20143453361</v>
      </c>
      <c r="E354">
        <v>12829.81672741367</v>
      </c>
      <c r="F354" t="s">
        <v>96</v>
      </c>
      <c r="G354" t="s">
        <v>96</v>
      </c>
      <c r="H354" t="s">
        <v>96</v>
      </c>
      <c r="I354" t="s">
        <v>96</v>
      </c>
      <c r="J354" t="s">
        <v>96</v>
      </c>
      <c r="K354" t="s">
        <v>96</v>
      </c>
      <c r="L354" t="s">
        <v>96</v>
      </c>
      <c r="M354">
        <v>200249.5333907443</v>
      </c>
      <c r="N354">
        <v>-103879.53495572299</v>
      </c>
      <c r="O354">
        <v>96369.998435021276</v>
      </c>
      <c r="P354">
        <v>6729.4824190157606</v>
      </c>
      <c r="Q354">
        <v>3312.9645958808701</v>
      </c>
      <c r="R354">
        <v>17889.26673447316</v>
      </c>
      <c r="S354">
        <v>-4606.4656968936297</v>
      </c>
      <c r="T354">
        <v>-438882.57045419718</v>
      </c>
    </row>
    <row r="355" spans="1:20" x14ac:dyDescent="0.25">
      <c r="A355" s="1" t="s">
        <v>98</v>
      </c>
      <c r="B355">
        <v>2003</v>
      </c>
      <c r="C355">
        <v>162073.4031593297</v>
      </c>
      <c r="D355">
        <v>149265.8700699491</v>
      </c>
      <c r="E355">
        <v>12807.53308938054</v>
      </c>
      <c r="F355" t="s">
        <v>96</v>
      </c>
      <c r="G355" t="s">
        <v>96</v>
      </c>
      <c r="H355" t="s">
        <v>96</v>
      </c>
      <c r="I355" t="s">
        <v>96</v>
      </c>
      <c r="J355" t="s">
        <v>96</v>
      </c>
      <c r="K355" t="s">
        <v>96</v>
      </c>
      <c r="L355" t="s">
        <v>96</v>
      </c>
      <c r="M355">
        <v>199774.34632952209</v>
      </c>
      <c r="N355">
        <v>-106667.4164088832</v>
      </c>
      <c r="O355">
        <v>93106.929920638853</v>
      </c>
      <c r="P355">
        <v>6952.5040616281631</v>
      </c>
      <c r="Q355">
        <v>3248.5518325470821</v>
      </c>
      <c r="R355">
        <v>18635.663513845691</v>
      </c>
      <c r="S355">
        <v>-4717.5968277611009</v>
      </c>
      <c r="T355">
        <v>-429828.85917000088</v>
      </c>
    </row>
    <row r="356" spans="1:20" x14ac:dyDescent="0.25">
      <c r="A356" s="1" t="s">
        <v>98</v>
      </c>
      <c r="B356">
        <v>2004</v>
      </c>
      <c r="C356">
        <v>162498.6977231779</v>
      </c>
      <c r="D356">
        <v>149706.47865606839</v>
      </c>
      <c r="E356">
        <v>12792.21906710951</v>
      </c>
      <c r="F356" t="s">
        <v>96</v>
      </c>
      <c r="G356" t="s">
        <v>96</v>
      </c>
      <c r="H356" t="s">
        <v>96</v>
      </c>
      <c r="I356" t="s">
        <v>96</v>
      </c>
      <c r="J356" t="s">
        <v>96</v>
      </c>
      <c r="K356" t="s">
        <v>96</v>
      </c>
      <c r="L356" t="s">
        <v>96</v>
      </c>
      <c r="M356">
        <v>202174.59204363049</v>
      </c>
      <c r="N356">
        <v>-106226.48514407749</v>
      </c>
      <c r="O356">
        <v>95948.106899553066</v>
      </c>
      <c r="P356">
        <v>7215.2197517315099</v>
      </c>
      <c r="Q356">
        <v>3072.3090928136271</v>
      </c>
      <c r="R356">
        <v>18752.18565857501</v>
      </c>
      <c r="S356">
        <v>-4578.6079456388416</v>
      </c>
      <c r="T356">
        <v>-441500.44934249949</v>
      </c>
    </row>
    <row r="357" spans="1:20" x14ac:dyDescent="0.25">
      <c r="A357" s="1" t="s">
        <v>98</v>
      </c>
      <c r="B357">
        <v>2005</v>
      </c>
      <c r="C357">
        <v>162903.24131429149</v>
      </c>
      <c r="D357">
        <v>150167.3806390898</v>
      </c>
      <c r="E357">
        <v>12735.86067520166</v>
      </c>
      <c r="F357" t="s">
        <v>96</v>
      </c>
      <c r="G357" t="s">
        <v>96</v>
      </c>
      <c r="H357" t="s">
        <v>96</v>
      </c>
      <c r="I357" t="s">
        <v>96</v>
      </c>
      <c r="J357" t="s">
        <v>96</v>
      </c>
      <c r="K357" t="s">
        <v>96</v>
      </c>
      <c r="L357" t="s">
        <v>96</v>
      </c>
      <c r="M357">
        <v>203266.5160806007</v>
      </c>
      <c r="N357">
        <v>-106163.2154539523</v>
      </c>
      <c r="O357">
        <v>97103.300626648415</v>
      </c>
      <c r="P357">
        <v>7474.383136599572</v>
      </c>
      <c r="Q357">
        <v>3135.7161912400652</v>
      </c>
      <c r="R357">
        <v>18533.72729997609</v>
      </c>
      <c r="S357">
        <v>-4708.56839349436</v>
      </c>
      <c r="T357">
        <v>-445641.38249026297</v>
      </c>
    </row>
    <row r="358" spans="1:20" x14ac:dyDescent="0.25">
      <c r="A358" s="1" t="s">
        <v>98</v>
      </c>
      <c r="B358">
        <v>2006</v>
      </c>
      <c r="C358">
        <v>163253.22842478441</v>
      </c>
      <c r="D358">
        <v>150533.44444772281</v>
      </c>
      <c r="E358">
        <v>12719.783977061619</v>
      </c>
      <c r="F358" t="s">
        <v>96</v>
      </c>
      <c r="G358" t="s">
        <v>96</v>
      </c>
      <c r="H358" t="s">
        <v>96</v>
      </c>
      <c r="I358" t="s">
        <v>96</v>
      </c>
      <c r="J358" t="s">
        <v>96</v>
      </c>
      <c r="K358" t="s">
        <v>96</v>
      </c>
      <c r="L358" t="s">
        <v>96</v>
      </c>
      <c r="M358">
        <v>202198.94425399159</v>
      </c>
      <c r="N358">
        <v>-106087.75396818441</v>
      </c>
      <c r="O358">
        <v>96111.190285807184</v>
      </c>
      <c r="P358">
        <v>7085.5791490804431</v>
      </c>
      <c r="Q358">
        <v>3275.3527165632299</v>
      </c>
      <c r="R358">
        <v>18041.20364613265</v>
      </c>
      <c r="S358">
        <v>-5118.0643066463426</v>
      </c>
      <c r="T358">
        <v>-437782.62546680938</v>
      </c>
    </row>
    <row r="359" spans="1:20" x14ac:dyDescent="0.25">
      <c r="A359" s="1" t="s">
        <v>98</v>
      </c>
      <c r="B359">
        <v>2007</v>
      </c>
      <c r="C359">
        <v>163598.21880240791</v>
      </c>
      <c r="D359">
        <v>150909.13275697819</v>
      </c>
      <c r="E359">
        <v>12689.08604542968</v>
      </c>
      <c r="F359" t="s">
        <v>96</v>
      </c>
      <c r="G359" t="s">
        <v>96</v>
      </c>
      <c r="H359" t="s">
        <v>96</v>
      </c>
      <c r="I359" t="s">
        <v>96</v>
      </c>
      <c r="J359" t="s">
        <v>96</v>
      </c>
      <c r="K359" t="s">
        <v>96</v>
      </c>
      <c r="L359" t="s">
        <v>96</v>
      </c>
      <c r="M359">
        <v>201716.7328874988</v>
      </c>
      <c r="N359">
        <v>-115361.9868465038</v>
      </c>
      <c r="O359">
        <v>86354.746040994971</v>
      </c>
      <c r="P359">
        <v>7472.5552621579473</v>
      </c>
      <c r="Q359">
        <v>3435.3772456766792</v>
      </c>
      <c r="R359">
        <v>16972.129431803369</v>
      </c>
      <c r="S359">
        <v>-5114.6923279955536</v>
      </c>
      <c r="T359">
        <v>-400107.09072637348</v>
      </c>
    </row>
    <row r="360" spans="1:20" x14ac:dyDescent="0.25">
      <c r="A360" s="1" t="s">
        <v>98</v>
      </c>
      <c r="B360">
        <v>2008</v>
      </c>
      <c r="C360">
        <v>163888.95551696041</v>
      </c>
      <c r="D360">
        <v>151273.39822562161</v>
      </c>
      <c r="E360">
        <v>12615.55729133878</v>
      </c>
      <c r="F360" t="s">
        <v>96</v>
      </c>
      <c r="G360" t="s">
        <v>96</v>
      </c>
      <c r="H360" t="s">
        <v>96</v>
      </c>
      <c r="I360" t="s">
        <v>96</v>
      </c>
      <c r="J360" t="s">
        <v>96</v>
      </c>
      <c r="K360" t="s">
        <v>96</v>
      </c>
      <c r="L360" t="s">
        <v>96</v>
      </c>
      <c r="M360">
        <v>213465.10638473311</v>
      </c>
      <c r="N360">
        <v>-107969.82494604379</v>
      </c>
      <c r="O360">
        <v>105495.2814386893</v>
      </c>
      <c r="P360">
        <v>3359.7504530905858</v>
      </c>
      <c r="Q360">
        <v>3268.2882094702991</v>
      </c>
      <c r="R360">
        <v>16983.983374444251</v>
      </c>
      <c r="S360">
        <v>-5154.0577101946656</v>
      </c>
      <c r="T360">
        <v>-454495.23447354051</v>
      </c>
    </row>
    <row r="361" spans="1:20" x14ac:dyDescent="0.25">
      <c r="A361" s="1" t="s">
        <v>98</v>
      </c>
      <c r="B361">
        <v>2009</v>
      </c>
      <c r="C361">
        <v>164169.41388476131</v>
      </c>
      <c r="D361">
        <v>151650.37607879521</v>
      </c>
      <c r="E361">
        <v>12519.037805966111</v>
      </c>
      <c r="F361" t="s">
        <v>96</v>
      </c>
      <c r="G361" t="s">
        <v>96</v>
      </c>
      <c r="H361" t="s">
        <v>96</v>
      </c>
      <c r="I361" t="s">
        <v>96</v>
      </c>
      <c r="J361" t="s">
        <v>96</v>
      </c>
      <c r="K361" t="s">
        <v>96</v>
      </c>
      <c r="L361" t="s">
        <v>96</v>
      </c>
      <c r="M361">
        <v>214588.94922564749</v>
      </c>
      <c r="N361">
        <v>-109434.99080816181</v>
      </c>
      <c r="O361">
        <v>105153.9584174856</v>
      </c>
      <c r="P361">
        <v>9113.1204685399334</v>
      </c>
      <c r="Q361">
        <v>3389.0200124359339</v>
      </c>
      <c r="R361">
        <v>14847.294250773641</v>
      </c>
      <c r="S361">
        <v>-5423.0740299280278</v>
      </c>
      <c r="T361">
        <v>-465961.17010416841</v>
      </c>
    </row>
    <row r="362" spans="1:20" x14ac:dyDescent="0.25">
      <c r="A362" s="1" t="s">
        <v>98</v>
      </c>
      <c r="B362">
        <v>2010</v>
      </c>
      <c r="C362">
        <v>164514.23594989241</v>
      </c>
      <c r="D362">
        <v>152077.94243290069</v>
      </c>
      <c r="E362">
        <v>12436.293516991749</v>
      </c>
      <c r="F362" t="s">
        <v>96</v>
      </c>
      <c r="G362" t="s">
        <v>96</v>
      </c>
      <c r="H362" t="s">
        <v>96</v>
      </c>
      <c r="I362" t="s">
        <v>96</v>
      </c>
      <c r="J362" t="s">
        <v>96</v>
      </c>
      <c r="K362" t="s">
        <v>96</v>
      </c>
      <c r="L362" t="s">
        <v>96</v>
      </c>
      <c r="M362">
        <v>213408.4794164224</v>
      </c>
      <c r="N362">
        <v>-111471.5985696413</v>
      </c>
      <c r="O362">
        <v>101936.880846781</v>
      </c>
      <c r="P362">
        <v>4941.2501430038674</v>
      </c>
      <c r="Q362">
        <v>3484.0853968490442</v>
      </c>
      <c r="R362">
        <v>14994.14354981535</v>
      </c>
      <c r="S362">
        <v>-5209.7557740729762</v>
      </c>
      <c r="T362">
        <v>-440537.54859541991</v>
      </c>
    </row>
    <row r="363" spans="1:20" x14ac:dyDescent="0.25">
      <c r="A363" s="1" t="s">
        <v>98</v>
      </c>
      <c r="B363">
        <v>2011</v>
      </c>
      <c r="C363">
        <v>164863.30075188959</v>
      </c>
      <c r="D363">
        <v>152528.33898612671</v>
      </c>
      <c r="E363">
        <v>12334.96176576287</v>
      </c>
      <c r="F363" t="s">
        <v>96</v>
      </c>
      <c r="G363" t="s">
        <v>96</v>
      </c>
      <c r="H363" t="s">
        <v>96</v>
      </c>
      <c r="I363" t="s">
        <v>96</v>
      </c>
      <c r="J363" t="s">
        <v>96</v>
      </c>
      <c r="K363" t="s">
        <v>96</v>
      </c>
      <c r="L363" t="s">
        <v>96</v>
      </c>
      <c r="M363">
        <v>213754.21055820599</v>
      </c>
      <c r="N363">
        <v>-113256.79366732189</v>
      </c>
      <c r="O363">
        <v>100497.4168908842</v>
      </c>
      <c r="P363">
        <v>4973.739304116325</v>
      </c>
      <c r="Q363">
        <v>3493.11810584248</v>
      </c>
      <c r="R363">
        <v>16827.511193785482</v>
      </c>
      <c r="S363">
        <v>-5322.2795805060514</v>
      </c>
      <c r="T363">
        <v>-441721.52168515557</v>
      </c>
    </row>
    <row r="364" spans="1:20" x14ac:dyDescent="0.25">
      <c r="A364" s="1" t="s">
        <v>98</v>
      </c>
      <c r="B364">
        <v>2012</v>
      </c>
      <c r="C364">
        <v>165208.2666162152</v>
      </c>
      <c r="D364">
        <v>152932.95239504779</v>
      </c>
      <c r="E364">
        <v>12275.31422116738</v>
      </c>
      <c r="F364" t="s">
        <v>96</v>
      </c>
      <c r="G364" t="s">
        <v>96</v>
      </c>
      <c r="H364" t="s">
        <v>96</v>
      </c>
      <c r="I364" t="s">
        <v>96</v>
      </c>
      <c r="J364" t="s">
        <v>96</v>
      </c>
      <c r="K364" t="s">
        <v>96</v>
      </c>
      <c r="L364" t="s">
        <v>96</v>
      </c>
      <c r="M364">
        <v>211694.69051748191</v>
      </c>
      <c r="N364">
        <v>-112351.6076973645</v>
      </c>
      <c r="O364">
        <v>99343.082820117488</v>
      </c>
      <c r="P364">
        <v>7188.4009215055021</v>
      </c>
      <c r="Q364">
        <v>3603.518141543962</v>
      </c>
      <c r="R364">
        <v>15771.05009341358</v>
      </c>
      <c r="S364">
        <v>-5474.763481534239</v>
      </c>
      <c r="T364">
        <v>-441581.39114854322</v>
      </c>
    </row>
    <row r="365" spans="1:20" x14ac:dyDescent="0.25">
      <c r="A365" s="1" t="s">
        <v>98</v>
      </c>
      <c r="B365">
        <v>2013</v>
      </c>
      <c r="C365">
        <v>165535.9863707787</v>
      </c>
      <c r="D365">
        <v>153248.29291486659</v>
      </c>
      <c r="E365">
        <v>12287.693455912011</v>
      </c>
      <c r="F365" t="s">
        <v>96</v>
      </c>
      <c r="G365" t="s">
        <v>96</v>
      </c>
      <c r="H365" t="s">
        <v>96</v>
      </c>
      <c r="I365" t="s">
        <v>96</v>
      </c>
      <c r="J365" t="s">
        <v>96</v>
      </c>
      <c r="K365" t="s">
        <v>96</v>
      </c>
      <c r="L365" t="s">
        <v>96</v>
      </c>
      <c r="M365">
        <v>212007.00540812031</v>
      </c>
      <c r="N365">
        <v>-111624.56153083321</v>
      </c>
      <c r="O365">
        <v>100382.44387728719</v>
      </c>
      <c r="P365">
        <v>7301.9582401063717</v>
      </c>
      <c r="Q365">
        <v>3809.8468977522462</v>
      </c>
      <c r="R365">
        <v>16503.57116197241</v>
      </c>
      <c r="S365">
        <v>-5470.7150468875434</v>
      </c>
      <c r="T365">
        <v>-449266.05214421992</v>
      </c>
    </row>
    <row r="366" spans="1:20" x14ac:dyDescent="0.25">
      <c r="A366" s="1" t="s">
        <v>98</v>
      </c>
      <c r="B366">
        <v>2014</v>
      </c>
      <c r="C366">
        <v>165846.25369318161</v>
      </c>
      <c r="D366">
        <v>153484.95953716879</v>
      </c>
      <c r="E366">
        <v>12361.29415601276</v>
      </c>
      <c r="F366" t="s">
        <v>96</v>
      </c>
      <c r="G366" t="s">
        <v>96</v>
      </c>
      <c r="H366" t="s">
        <v>96</v>
      </c>
      <c r="I366" t="s">
        <v>96</v>
      </c>
      <c r="J366" t="s">
        <v>96</v>
      </c>
      <c r="K366" t="s">
        <v>96</v>
      </c>
      <c r="L366" t="s">
        <v>96</v>
      </c>
      <c r="M366">
        <v>208848.90729096381</v>
      </c>
      <c r="N366">
        <v>-114615.5006459725</v>
      </c>
      <c r="O366">
        <v>94233.406644991293</v>
      </c>
      <c r="P366">
        <v>6989.4700718914883</v>
      </c>
      <c r="Q366">
        <v>3787.773457745634</v>
      </c>
      <c r="R366">
        <v>13842.596619407361</v>
      </c>
      <c r="S366">
        <v>-5590.5342914705971</v>
      </c>
      <c r="T366">
        <v>-415296.61250944342</v>
      </c>
    </row>
    <row r="367" spans="1:20" x14ac:dyDescent="0.25">
      <c r="A367" s="1" t="s">
        <v>98</v>
      </c>
      <c r="B367">
        <v>2015</v>
      </c>
      <c r="C367">
        <v>166163.4865532156</v>
      </c>
      <c r="D367">
        <v>153702.42129881389</v>
      </c>
      <c r="E367">
        <v>12461.06525440169</v>
      </c>
      <c r="F367" t="s">
        <v>96</v>
      </c>
      <c r="G367" t="s">
        <v>96</v>
      </c>
      <c r="H367" t="s">
        <v>96</v>
      </c>
      <c r="I367" t="s">
        <v>96</v>
      </c>
      <c r="J367" t="s">
        <v>96</v>
      </c>
      <c r="K367" t="s">
        <v>96</v>
      </c>
      <c r="L367" t="s">
        <v>96</v>
      </c>
      <c r="M367">
        <v>205910.55731556151</v>
      </c>
      <c r="N367">
        <v>-116561.3026385086</v>
      </c>
      <c r="O367">
        <v>89349.254677052857</v>
      </c>
      <c r="P367">
        <v>6214.6992457637007</v>
      </c>
      <c r="Q367">
        <v>3674.9110226689031</v>
      </c>
      <c r="R367">
        <v>15350.099953351621</v>
      </c>
      <c r="S367">
        <v>-5639.808948838644</v>
      </c>
      <c r="T367">
        <v>-399480.23848336388</v>
      </c>
    </row>
    <row r="368" spans="1:20" x14ac:dyDescent="0.25">
      <c r="A368" s="1" t="s">
        <v>98</v>
      </c>
      <c r="B368">
        <v>2016</v>
      </c>
      <c r="C368">
        <v>166508.6542630597</v>
      </c>
      <c r="D368">
        <v>154015.2316402494</v>
      </c>
      <c r="E368">
        <v>12493.42262281026</v>
      </c>
      <c r="F368" t="s">
        <v>96</v>
      </c>
      <c r="G368" t="s">
        <v>96</v>
      </c>
      <c r="H368" t="s">
        <v>96</v>
      </c>
      <c r="I368" t="s">
        <v>96</v>
      </c>
      <c r="J368" t="s">
        <v>96</v>
      </c>
      <c r="K368" t="s">
        <v>96</v>
      </c>
      <c r="L368" t="s">
        <v>96</v>
      </c>
      <c r="M368">
        <v>206709.06888974289</v>
      </c>
      <c r="N368">
        <v>-119972.6224802238</v>
      </c>
      <c r="O368">
        <v>86736.446409519122</v>
      </c>
      <c r="P368">
        <v>8919.5775232292581</v>
      </c>
      <c r="Q368">
        <v>4456.8553767508802</v>
      </c>
      <c r="R368">
        <v>14539.44314666531</v>
      </c>
      <c r="S368">
        <v>-5768.8037896478436</v>
      </c>
      <c r="T368">
        <v>-399239.56844393088</v>
      </c>
    </row>
    <row r="369" spans="1:20" x14ac:dyDescent="0.25">
      <c r="A369" s="1" t="s">
        <v>98</v>
      </c>
      <c r="B369">
        <v>2017</v>
      </c>
      <c r="C369">
        <v>166930.27350294881</v>
      </c>
      <c r="D369">
        <v>154356.38334785029</v>
      </c>
      <c r="E369">
        <v>12573.890155098499</v>
      </c>
      <c r="F369" t="s">
        <v>96</v>
      </c>
      <c r="G369" t="s">
        <v>96</v>
      </c>
      <c r="H369" t="s">
        <v>96</v>
      </c>
      <c r="I369" t="s">
        <v>96</v>
      </c>
      <c r="J369" t="s">
        <v>96</v>
      </c>
      <c r="K369" t="s">
        <v>96</v>
      </c>
      <c r="L369" t="s">
        <v>96</v>
      </c>
      <c r="M369">
        <v>203708.0218801882</v>
      </c>
      <c r="N369">
        <v>-129272.56202155301</v>
      </c>
      <c r="O369">
        <v>74435.459858635149</v>
      </c>
      <c r="P369">
        <v>10334.168543726681</v>
      </c>
      <c r="Q369">
        <v>4728.6698823617462</v>
      </c>
      <c r="R369">
        <v>13524.158119400199</v>
      </c>
      <c r="S369">
        <v>-5825.8609735158452</v>
      </c>
      <c r="T369">
        <v>-356387.5165789281</v>
      </c>
    </row>
    <row r="370" spans="1:20" x14ac:dyDescent="0.25">
      <c r="A370" s="1" t="s">
        <v>98</v>
      </c>
      <c r="B370">
        <v>2018</v>
      </c>
      <c r="C370">
        <v>167308.1413859649</v>
      </c>
      <c r="D370">
        <v>154593.8038713249</v>
      </c>
      <c r="E370">
        <v>12714.33751463999</v>
      </c>
      <c r="F370" t="s">
        <v>96</v>
      </c>
      <c r="G370" t="s">
        <v>96</v>
      </c>
      <c r="H370" t="s">
        <v>96</v>
      </c>
      <c r="I370" t="s">
        <v>96</v>
      </c>
      <c r="J370" t="s">
        <v>96</v>
      </c>
      <c r="K370" t="s">
        <v>96</v>
      </c>
      <c r="L370" t="s">
        <v>96</v>
      </c>
      <c r="M370">
        <v>191719.61155679391</v>
      </c>
      <c r="N370">
        <v>-140804.80516561031</v>
      </c>
      <c r="O370">
        <v>50914.8063911836</v>
      </c>
      <c r="P370">
        <v>13401.16993044194</v>
      </c>
      <c r="Q370">
        <v>4683.4400658482427</v>
      </c>
      <c r="R370">
        <v>12472.58054076008</v>
      </c>
      <c r="S370">
        <v>-5858.4879488105162</v>
      </c>
      <c r="T370">
        <v>-277249.53292457748</v>
      </c>
    </row>
    <row r="371" spans="1:20" x14ac:dyDescent="0.25">
      <c r="A371" s="1" t="s">
        <v>98</v>
      </c>
      <c r="B371">
        <v>2019</v>
      </c>
      <c r="C371">
        <v>167636.73137543659</v>
      </c>
      <c r="D371">
        <v>154828.17335033731</v>
      </c>
      <c r="E371">
        <v>12808.558025099281</v>
      </c>
      <c r="F371" t="s">
        <v>96</v>
      </c>
      <c r="G371" t="s">
        <v>96</v>
      </c>
      <c r="H371" t="s">
        <v>96</v>
      </c>
      <c r="I371" t="s">
        <v>96</v>
      </c>
      <c r="J371" t="s">
        <v>96</v>
      </c>
      <c r="K371" t="s">
        <v>96</v>
      </c>
      <c r="L371" t="s">
        <v>96</v>
      </c>
      <c r="M371">
        <v>187526.18841025041</v>
      </c>
      <c r="N371">
        <v>-143257.38429533379</v>
      </c>
      <c r="O371">
        <v>44268.804114916617</v>
      </c>
      <c r="P371">
        <v>14916.002324793601</v>
      </c>
      <c r="Q371">
        <v>4927.7290143512573</v>
      </c>
      <c r="R371">
        <v>13606.98263133915</v>
      </c>
      <c r="S371">
        <v>-6114.911237787288</v>
      </c>
      <c r="T371">
        <v>-262550.22510793939</v>
      </c>
    </row>
    <row r="372" spans="1:20" x14ac:dyDescent="0.25">
      <c r="A372" s="1" t="s">
        <v>98</v>
      </c>
      <c r="B372">
        <v>2020</v>
      </c>
      <c r="C372">
        <v>167954.306030548</v>
      </c>
      <c r="D372">
        <v>155060.74007000061</v>
      </c>
      <c r="E372">
        <v>12893.565960547359</v>
      </c>
      <c r="F372" t="s">
        <v>96</v>
      </c>
      <c r="G372" t="s">
        <v>96</v>
      </c>
      <c r="H372" t="s">
        <v>96</v>
      </c>
      <c r="I372" t="s">
        <v>96</v>
      </c>
      <c r="J372" t="s">
        <v>96</v>
      </c>
      <c r="K372" t="s">
        <v>96</v>
      </c>
      <c r="L372" t="s">
        <v>96</v>
      </c>
      <c r="M372">
        <v>188368.72317372469</v>
      </c>
      <c r="N372">
        <v>-142774.13611092241</v>
      </c>
      <c r="O372">
        <v>45594.587062802333</v>
      </c>
      <c r="P372">
        <v>16246.625881706501</v>
      </c>
      <c r="Q372">
        <v>4837.4530169917589</v>
      </c>
      <c r="R372">
        <v>12832.6583582932</v>
      </c>
      <c r="S372">
        <v>-6522.3734241435404</v>
      </c>
      <c r="T372">
        <v>-267626.15328407532</v>
      </c>
    </row>
    <row r="373" spans="1:20" x14ac:dyDescent="0.25">
      <c r="A373" s="1" t="s">
        <v>98</v>
      </c>
      <c r="B373">
        <v>2021</v>
      </c>
      <c r="C373">
        <v>168351.8897481731</v>
      </c>
      <c r="D373">
        <v>155369.0992652445</v>
      </c>
      <c r="E373">
        <v>12982.79048292854</v>
      </c>
      <c r="F373" t="s">
        <v>96</v>
      </c>
      <c r="G373" t="s">
        <v>96</v>
      </c>
      <c r="H373" t="s">
        <v>96</v>
      </c>
      <c r="I373" t="s">
        <v>96</v>
      </c>
      <c r="J373" t="s">
        <v>96</v>
      </c>
      <c r="K373" t="s">
        <v>96</v>
      </c>
      <c r="L373" t="s">
        <v>96</v>
      </c>
      <c r="M373">
        <v>188099.03424229601</v>
      </c>
      <c r="N373">
        <v>-146408.26879797311</v>
      </c>
      <c r="O373">
        <v>41690.765444322817</v>
      </c>
      <c r="P373">
        <v>15598.692724409761</v>
      </c>
      <c r="Q373">
        <v>4651.4305563463304</v>
      </c>
      <c r="R373">
        <v>14373.75260298039</v>
      </c>
      <c r="S373">
        <v>-6614.4932083829854</v>
      </c>
      <c r="T373">
        <v>-255567.20977216971</v>
      </c>
    </row>
    <row r="374" spans="1:20" x14ac:dyDescent="0.25">
      <c r="A374" s="1" t="s">
        <v>98</v>
      </c>
      <c r="B374">
        <v>2022</v>
      </c>
      <c r="C374">
        <v>168752.20968230581</v>
      </c>
      <c r="D374">
        <v>155684.89487950841</v>
      </c>
      <c r="E374">
        <v>13067.314802797309</v>
      </c>
      <c r="F374" t="s">
        <v>96</v>
      </c>
      <c r="G374" t="s">
        <v>96</v>
      </c>
      <c r="H374" t="s">
        <v>96</v>
      </c>
      <c r="I374" t="s">
        <v>96</v>
      </c>
      <c r="J374" t="s">
        <v>96</v>
      </c>
      <c r="K374" t="s">
        <v>96</v>
      </c>
      <c r="L374" t="s">
        <v>96</v>
      </c>
      <c r="M374">
        <v>192220.61966371111</v>
      </c>
      <c r="N374">
        <v>-144463.95447399339</v>
      </c>
      <c r="O374">
        <v>47756.665189717729</v>
      </c>
      <c r="P374">
        <v>15818.468369341939</v>
      </c>
      <c r="Q374">
        <v>4466.9973285517581</v>
      </c>
      <c r="R374">
        <v>12099.528429077491</v>
      </c>
      <c r="S374">
        <v>-7016.1375282020499</v>
      </c>
      <c r="T374">
        <v>-268126.91322447621</v>
      </c>
    </row>
    <row r="375" spans="1:20" x14ac:dyDescent="0.25">
      <c r="A375" s="1" t="s">
        <v>98</v>
      </c>
      <c r="B375">
        <v>2023</v>
      </c>
      <c r="C375">
        <v>169103.16288881711</v>
      </c>
      <c r="D375">
        <v>156082.0831201777</v>
      </c>
      <c r="E375">
        <v>13021.07976863938</v>
      </c>
      <c r="F375" t="s">
        <v>96</v>
      </c>
      <c r="G375" t="s">
        <v>96</v>
      </c>
      <c r="H375" t="s">
        <v>96</v>
      </c>
      <c r="I375" t="s">
        <v>96</v>
      </c>
      <c r="J375" t="s">
        <v>96</v>
      </c>
      <c r="K375" t="s">
        <v>96</v>
      </c>
      <c r="L375" t="s">
        <v>96</v>
      </c>
      <c r="M375">
        <v>194306.4716849465</v>
      </c>
      <c r="N375">
        <v>-136639.1366378245</v>
      </c>
      <c r="O375">
        <v>57667.335047121989</v>
      </c>
      <c r="P375">
        <v>13711.18480380525</v>
      </c>
      <c r="Q375">
        <v>4295.6758808182913</v>
      </c>
      <c r="R375">
        <v>9315.0131597487598</v>
      </c>
      <c r="S375">
        <v>-7549.5046070828012</v>
      </c>
      <c r="T375">
        <v>-283945.58237620129</v>
      </c>
    </row>
    <row r="376" spans="1:20" x14ac:dyDescent="0.25">
      <c r="A376" s="1" t="s">
        <v>33</v>
      </c>
      <c r="B376">
        <v>1990</v>
      </c>
      <c r="C376">
        <v>22108.644</v>
      </c>
      <c r="D376">
        <v>16105.02</v>
      </c>
      <c r="E376">
        <v>6003.6239999999998</v>
      </c>
      <c r="F376">
        <v>1.2184131690754081</v>
      </c>
      <c r="G376">
        <v>-0.91960325563159817</v>
      </c>
      <c r="H376">
        <v>0.29880991344380953</v>
      </c>
      <c r="I376" t="s">
        <v>96</v>
      </c>
      <c r="J376" t="s">
        <v>96</v>
      </c>
      <c r="K376">
        <v>0.16319526458209929</v>
      </c>
      <c r="L376">
        <v>-9.5923229036328717E-2</v>
      </c>
      <c r="M376">
        <v>26937.463</v>
      </c>
      <c r="N376">
        <v>-20331.181</v>
      </c>
      <c r="O376">
        <v>6606.2819999999992</v>
      </c>
      <c r="P376" t="s">
        <v>96</v>
      </c>
      <c r="Q376" t="s">
        <v>96</v>
      </c>
      <c r="R376">
        <v>2628.2629999999999</v>
      </c>
      <c r="S376">
        <v>-575.88699999999994</v>
      </c>
      <c r="T376">
        <v>-31748.412666669548</v>
      </c>
    </row>
    <row r="377" spans="1:20" x14ac:dyDescent="0.25">
      <c r="A377" s="1" t="s">
        <v>33</v>
      </c>
      <c r="B377">
        <v>1991</v>
      </c>
      <c r="C377">
        <v>22115.153999999999</v>
      </c>
      <c r="D377">
        <v>16107.072</v>
      </c>
      <c r="E377">
        <v>6008.0820000000003</v>
      </c>
      <c r="F377">
        <v>1.231721063303471</v>
      </c>
      <c r="G377">
        <v>-0.74923149981230053</v>
      </c>
      <c r="H377">
        <v>0.48248956349116989</v>
      </c>
      <c r="I377" t="s">
        <v>96</v>
      </c>
      <c r="J377" t="s">
        <v>96</v>
      </c>
      <c r="K377">
        <v>0.15742389429934869</v>
      </c>
      <c r="L377">
        <v>-0.1213205811771544</v>
      </c>
      <c r="M377">
        <v>27239.701000000001</v>
      </c>
      <c r="N377">
        <v>-16569.37</v>
      </c>
      <c r="O377">
        <v>10670.331</v>
      </c>
      <c r="P377" t="s">
        <v>96</v>
      </c>
      <c r="Q377" t="s">
        <v>96</v>
      </c>
      <c r="R377">
        <v>2535.6379999999999</v>
      </c>
      <c r="S377">
        <v>-728.904</v>
      </c>
      <c r="T377">
        <v>-45749.238333337496</v>
      </c>
    </row>
    <row r="378" spans="1:20" x14ac:dyDescent="0.25">
      <c r="A378" s="1" t="s">
        <v>33</v>
      </c>
      <c r="B378">
        <v>1992</v>
      </c>
      <c r="C378">
        <v>22120.335999999999</v>
      </c>
      <c r="D378">
        <v>16108.275</v>
      </c>
      <c r="E378">
        <v>6012.0610000000006</v>
      </c>
      <c r="F378">
        <v>1.245133392187171</v>
      </c>
      <c r="G378">
        <v>-0.84767659044600396</v>
      </c>
      <c r="H378">
        <v>0.39745680174116699</v>
      </c>
      <c r="I378" t="s">
        <v>96</v>
      </c>
      <c r="J378" t="s">
        <v>96</v>
      </c>
      <c r="K378">
        <v>0.15968637237693051</v>
      </c>
      <c r="L378">
        <v>-9.8289089215827963E-2</v>
      </c>
      <c r="M378">
        <v>27542.769</v>
      </c>
      <c r="N378">
        <v>-18750.891</v>
      </c>
      <c r="O378">
        <v>8791.8780000000006</v>
      </c>
      <c r="P378" t="s">
        <v>96</v>
      </c>
      <c r="Q378" t="s">
        <v>96</v>
      </c>
      <c r="R378">
        <v>2572.2719999999999</v>
      </c>
      <c r="S378">
        <v>-590.91999999999996</v>
      </c>
      <c r="T378">
        <v>-39501.843333336932</v>
      </c>
    </row>
    <row r="379" spans="1:20" x14ac:dyDescent="0.25">
      <c r="A379" s="1" t="s">
        <v>33</v>
      </c>
      <c r="B379">
        <v>1993</v>
      </c>
      <c r="C379">
        <v>22122.665000000001</v>
      </c>
      <c r="D379">
        <v>16107.641</v>
      </c>
      <c r="E379">
        <v>6015.0240000000003</v>
      </c>
      <c r="F379">
        <v>1.2586642251283919</v>
      </c>
      <c r="G379">
        <v>-0.89209826212167476</v>
      </c>
      <c r="H379">
        <v>0.36656596300671729</v>
      </c>
      <c r="I379" t="s">
        <v>96</v>
      </c>
      <c r="J379" t="s">
        <v>96</v>
      </c>
      <c r="K379">
        <v>0.1599158436669901</v>
      </c>
      <c r="L379">
        <v>-4.8042867326880151E-2</v>
      </c>
      <c r="M379">
        <v>27845.007000000001</v>
      </c>
      <c r="N379">
        <v>-19735.591</v>
      </c>
      <c r="O379">
        <v>8109.4160000000011</v>
      </c>
      <c r="P379" t="s">
        <v>96</v>
      </c>
      <c r="Q379" t="s">
        <v>96</v>
      </c>
      <c r="R379">
        <v>2575.8670000000002</v>
      </c>
      <c r="S379">
        <v>-288.97899999999998</v>
      </c>
      <c r="T379">
        <v>-38119.781333336803</v>
      </c>
    </row>
    <row r="380" spans="1:20" x14ac:dyDescent="0.25">
      <c r="A380" s="1" t="s">
        <v>33</v>
      </c>
      <c r="B380">
        <v>1994</v>
      </c>
      <c r="C380">
        <v>22124.977999999999</v>
      </c>
      <c r="D380">
        <v>16107.228999999999</v>
      </c>
      <c r="E380">
        <v>6017.7489999999998</v>
      </c>
      <c r="F380">
        <v>1.2721930842145921</v>
      </c>
      <c r="G380">
        <v>-1.0166741408737221</v>
      </c>
      <c r="H380">
        <v>0.25551894334087027</v>
      </c>
      <c r="I380" t="s">
        <v>96</v>
      </c>
      <c r="J380" t="s">
        <v>96</v>
      </c>
      <c r="K380">
        <v>0.16821024895095241</v>
      </c>
      <c r="L380">
        <v>-1.9578915637724341E-2</v>
      </c>
      <c r="M380">
        <v>28147.243999999999</v>
      </c>
      <c r="N380">
        <v>-22493.893</v>
      </c>
      <c r="O380">
        <v>5653.3510000000024</v>
      </c>
      <c r="P380" t="s">
        <v>96</v>
      </c>
      <c r="Q380" t="s">
        <v>96</v>
      </c>
      <c r="R380">
        <v>2709.4009999999998</v>
      </c>
      <c r="S380">
        <v>-117.821</v>
      </c>
      <c r="T380">
        <v>-30231.413666669421</v>
      </c>
    </row>
    <row r="381" spans="1:20" x14ac:dyDescent="0.25">
      <c r="A381" s="1" t="s">
        <v>33</v>
      </c>
      <c r="B381">
        <v>1995</v>
      </c>
      <c r="C381">
        <v>22126.138999999999</v>
      </c>
      <c r="D381">
        <v>16106.477000000001</v>
      </c>
      <c r="E381">
        <v>6019.6620000000003</v>
      </c>
      <c r="F381">
        <v>1.285786236812487</v>
      </c>
      <c r="G381">
        <v>-1.047882235576663</v>
      </c>
      <c r="H381">
        <v>0.23790400123582339</v>
      </c>
      <c r="I381" t="s">
        <v>96</v>
      </c>
      <c r="J381" t="s">
        <v>96</v>
      </c>
      <c r="K381">
        <v>0.18149990218220899</v>
      </c>
      <c r="L381">
        <v>-3.3915525489637131E-2</v>
      </c>
      <c r="M381">
        <v>28449.485000000001</v>
      </c>
      <c r="N381">
        <v>-23185.588</v>
      </c>
      <c r="O381">
        <v>5263.8970000000008</v>
      </c>
      <c r="P381" t="s">
        <v>96</v>
      </c>
      <c r="Q381" t="s">
        <v>96</v>
      </c>
      <c r="R381">
        <v>2923.3240000000001</v>
      </c>
      <c r="S381">
        <v>-204.16</v>
      </c>
      <c r="T381">
        <v>-29271.223666669339</v>
      </c>
    </row>
    <row r="382" spans="1:20" x14ac:dyDescent="0.25">
      <c r="A382" s="1" t="s">
        <v>33</v>
      </c>
      <c r="B382">
        <v>1996</v>
      </c>
      <c r="C382">
        <v>22126.403999999999</v>
      </c>
      <c r="D382">
        <v>16104.861000000001</v>
      </c>
      <c r="E382">
        <v>6021.5429999999997</v>
      </c>
      <c r="F382">
        <v>1.307754572320021</v>
      </c>
      <c r="G382">
        <v>-0.96905055154918085</v>
      </c>
      <c r="H382">
        <v>0.33870402077084011</v>
      </c>
      <c r="I382" t="s">
        <v>96</v>
      </c>
      <c r="J382" t="s">
        <v>96</v>
      </c>
      <c r="K382">
        <v>0.19212410464144961</v>
      </c>
      <c r="L382">
        <v>-6.4332015896922098E-2</v>
      </c>
      <c r="M382">
        <v>28935.905999999999</v>
      </c>
      <c r="N382">
        <v>-21441.603999999999</v>
      </c>
      <c r="O382">
        <v>7494.3019999999997</v>
      </c>
      <c r="P382" t="s">
        <v>96</v>
      </c>
      <c r="Q382" t="s">
        <v>96</v>
      </c>
      <c r="R382">
        <v>3094.1320000000001</v>
      </c>
      <c r="S382">
        <v>-387.37799999999987</v>
      </c>
      <c r="T382">
        <v>-37403.872000003394</v>
      </c>
    </row>
    <row r="383" spans="1:20" x14ac:dyDescent="0.25">
      <c r="A383" s="1" t="s">
        <v>33</v>
      </c>
      <c r="B383">
        <v>1997</v>
      </c>
      <c r="C383">
        <v>22123.704000000002</v>
      </c>
      <c r="D383">
        <v>16101.548000000001</v>
      </c>
      <c r="E383">
        <v>6022.1559999999999</v>
      </c>
      <c r="F383">
        <v>1.337651190777096</v>
      </c>
      <c r="G383">
        <v>-1.084343381198736</v>
      </c>
      <c r="H383">
        <v>0.25330780957836008</v>
      </c>
      <c r="I383" t="s">
        <v>96</v>
      </c>
      <c r="J383" t="s">
        <v>96</v>
      </c>
      <c r="K383">
        <v>0.18897052631212849</v>
      </c>
      <c r="L383">
        <v>-3.1175711821480542E-2</v>
      </c>
      <c r="M383">
        <v>29593.798999999999</v>
      </c>
      <c r="N383">
        <v>-23989.691999999999</v>
      </c>
      <c r="O383">
        <v>5604.1070000000036</v>
      </c>
      <c r="P383" t="s">
        <v>96</v>
      </c>
      <c r="Q383" t="s">
        <v>96</v>
      </c>
      <c r="R383">
        <v>3042.7179999999998</v>
      </c>
      <c r="S383">
        <v>-187.745</v>
      </c>
      <c r="T383">
        <v>-31016.626666669501</v>
      </c>
    </row>
    <row r="384" spans="1:20" x14ac:dyDescent="0.25">
      <c r="A384" s="1" t="s">
        <v>33</v>
      </c>
      <c r="B384">
        <v>1998</v>
      </c>
      <c r="C384">
        <v>22120.612000000001</v>
      </c>
      <c r="D384">
        <v>16098.083000000001</v>
      </c>
      <c r="E384">
        <v>6022.5290000000005</v>
      </c>
      <c r="F384">
        <v>1.367579477457495</v>
      </c>
      <c r="G384">
        <v>-1.136482435476921</v>
      </c>
      <c r="H384">
        <v>0.2310970419805746</v>
      </c>
      <c r="I384" t="s">
        <v>96</v>
      </c>
      <c r="J384" t="s">
        <v>96</v>
      </c>
      <c r="K384">
        <v>0.18502401807718341</v>
      </c>
      <c r="L384">
        <v>-4.2706311584385891E-2</v>
      </c>
      <c r="M384">
        <v>30251.695</v>
      </c>
      <c r="N384">
        <v>-25139.687000000002</v>
      </c>
      <c r="O384">
        <v>5112.0080000000016</v>
      </c>
      <c r="P384" t="s">
        <v>96</v>
      </c>
      <c r="Q384" t="s">
        <v>96</v>
      </c>
      <c r="R384">
        <v>2978.5320000000002</v>
      </c>
      <c r="S384">
        <v>-257.2</v>
      </c>
      <c r="T384">
        <v>-28722.246666669282</v>
      </c>
    </row>
    <row r="385" spans="1:20" x14ac:dyDescent="0.25">
      <c r="A385" s="1" t="s">
        <v>33</v>
      </c>
      <c r="B385">
        <v>1999</v>
      </c>
      <c r="C385">
        <v>22114.672999999999</v>
      </c>
      <c r="D385">
        <v>16092.793</v>
      </c>
      <c r="E385">
        <v>6021.88</v>
      </c>
      <c r="F385">
        <v>1.3976959550792361</v>
      </c>
      <c r="G385">
        <v>-1.153126704609198</v>
      </c>
      <c r="H385">
        <v>0.24456925047003869</v>
      </c>
      <c r="I385" t="s">
        <v>96</v>
      </c>
      <c r="J385" t="s">
        <v>96</v>
      </c>
      <c r="K385">
        <v>0.18612648531550741</v>
      </c>
      <c r="L385">
        <v>-5.2873521225929448E-2</v>
      </c>
      <c r="M385">
        <v>30909.589</v>
      </c>
      <c r="N385">
        <v>-25501.02</v>
      </c>
      <c r="O385">
        <v>5408.5690000000031</v>
      </c>
      <c r="P385" t="s">
        <v>96</v>
      </c>
      <c r="Q385" t="s">
        <v>96</v>
      </c>
      <c r="R385">
        <v>2995.2950000000001</v>
      </c>
      <c r="S385">
        <v>-318.39800000000002</v>
      </c>
      <c r="T385">
        <v>-29646.708666669369</v>
      </c>
    </row>
    <row r="386" spans="1:20" x14ac:dyDescent="0.25">
      <c r="A386" s="1" t="s">
        <v>33</v>
      </c>
      <c r="B386">
        <v>2000</v>
      </c>
      <c r="C386">
        <v>22105.77</v>
      </c>
      <c r="D386">
        <v>16085.555</v>
      </c>
      <c r="E386">
        <v>6020.2149999999992</v>
      </c>
      <c r="F386">
        <v>1.425982989961444</v>
      </c>
      <c r="G386">
        <v>-1.1809575056648109</v>
      </c>
      <c r="H386">
        <v>0.24502548429663379</v>
      </c>
      <c r="I386" t="s">
        <v>96</v>
      </c>
      <c r="J386" t="s">
        <v>96</v>
      </c>
      <c r="K386">
        <v>0.17539028028563519</v>
      </c>
      <c r="L386">
        <v>-5.6992648933634441E-2</v>
      </c>
      <c r="M386">
        <v>31522.452000000001</v>
      </c>
      <c r="N386">
        <v>-26105.974999999999</v>
      </c>
      <c r="O386">
        <v>5416.476999999999</v>
      </c>
      <c r="P386" t="s">
        <v>96</v>
      </c>
      <c r="Q386" t="s">
        <v>96</v>
      </c>
      <c r="R386">
        <v>2821.25</v>
      </c>
      <c r="S386">
        <v>-343.108</v>
      </c>
      <c r="T386">
        <v>-28946.936333335962</v>
      </c>
    </row>
    <row r="387" spans="1:20" x14ac:dyDescent="0.25">
      <c r="A387" s="1" t="s">
        <v>33</v>
      </c>
      <c r="B387">
        <v>2001</v>
      </c>
      <c r="C387">
        <v>22093.177</v>
      </c>
      <c r="D387">
        <v>16075.588</v>
      </c>
      <c r="E387">
        <v>6017.5889999999999</v>
      </c>
      <c r="F387">
        <v>1.451165850886905</v>
      </c>
      <c r="G387">
        <v>-1.149557485553119</v>
      </c>
      <c r="H387">
        <v>0.30160836533378588</v>
      </c>
      <c r="I387" t="s">
        <v>96</v>
      </c>
      <c r="J387" t="s">
        <v>96</v>
      </c>
      <c r="K387">
        <v>0.1636451494029332</v>
      </c>
      <c r="L387">
        <v>-9.0462642098022975E-2</v>
      </c>
      <c r="M387">
        <v>32060.864000000001</v>
      </c>
      <c r="N387">
        <v>-25397.377</v>
      </c>
      <c r="O387">
        <v>6663.4869999999974</v>
      </c>
      <c r="P387" t="s">
        <v>96</v>
      </c>
      <c r="Q387" t="s">
        <v>96</v>
      </c>
      <c r="R387">
        <v>2630.692</v>
      </c>
      <c r="S387">
        <v>-544.36699999999996</v>
      </c>
      <c r="T387">
        <v>-32082.6440000029</v>
      </c>
    </row>
    <row r="388" spans="1:20" x14ac:dyDescent="0.25">
      <c r="A388" s="1" t="s">
        <v>33</v>
      </c>
      <c r="B388">
        <v>2002</v>
      </c>
      <c r="C388">
        <v>22078.83</v>
      </c>
      <c r="D388">
        <v>16065.093000000001</v>
      </c>
      <c r="E388">
        <v>6013.7370000000001</v>
      </c>
      <c r="F388">
        <v>1.476494678386491</v>
      </c>
      <c r="G388">
        <v>-1.164316360966591</v>
      </c>
      <c r="H388">
        <v>0.31217831741989971</v>
      </c>
      <c r="I388" t="s">
        <v>96</v>
      </c>
      <c r="J388" t="s">
        <v>96</v>
      </c>
      <c r="K388">
        <v>0.15751349836568021</v>
      </c>
      <c r="L388">
        <v>-8.7322076106753591E-2</v>
      </c>
      <c r="M388">
        <v>32599.275000000001</v>
      </c>
      <c r="N388">
        <v>-25706.742999999999</v>
      </c>
      <c r="O388">
        <v>6892.5320000000029</v>
      </c>
      <c r="P388" t="s">
        <v>96</v>
      </c>
      <c r="Q388" t="s">
        <v>96</v>
      </c>
      <c r="R388">
        <v>2530.4690000000001</v>
      </c>
      <c r="S388">
        <v>-525.13200000000006</v>
      </c>
      <c r="T388">
        <v>-32625.51966666965</v>
      </c>
    </row>
    <row r="389" spans="1:20" x14ac:dyDescent="0.25">
      <c r="A389" s="1" t="s">
        <v>33</v>
      </c>
      <c r="B389">
        <v>2003</v>
      </c>
      <c r="C389">
        <v>22062.079000000002</v>
      </c>
      <c r="D389">
        <v>16053.058000000001</v>
      </c>
      <c r="E389">
        <v>6009.0209999999997</v>
      </c>
      <c r="F389">
        <v>1.50202009520499</v>
      </c>
      <c r="G389">
        <v>-1.178367686925607</v>
      </c>
      <c r="H389">
        <v>0.32365240827938307</v>
      </c>
      <c r="I389" t="s">
        <v>96</v>
      </c>
      <c r="J389" t="s">
        <v>96</v>
      </c>
      <c r="K389">
        <v>0.14804699515818109</v>
      </c>
      <c r="L389">
        <v>-0.1006210495852819</v>
      </c>
      <c r="M389">
        <v>33137.686000000002</v>
      </c>
      <c r="N389">
        <v>-25997.241000000002</v>
      </c>
      <c r="O389">
        <v>7140.4450000000033</v>
      </c>
      <c r="P389" t="s">
        <v>96</v>
      </c>
      <c r="Q389" t="s">
        <v>96</v>
      </c>
      <c r="R389">
        <v>2376.607</v>
      </c>
      <c r="S389">
        <v>-604.63400000000001</v>
      </c>
      <c r="T389">
        <v>-32678.866000002981</v>
      </c>
    </row>
    <row r="390" spans="1:20" x14ac:dyDescent="0.25">
      <c r="A390" s="1" t="s">
        <v>33</v>
      </c>
      <c r="B390">
        <v>2004</v>
      </c>
      <c r="C390">
        <v>22044.087</v>
      </c>
      <c r="D390">
        <v>16039.901</v>
      </c>
      <c r="E390">
        <v>6004.1860000000006</v>
      </c>
      <c r="F390">
        <v>1.5238127122252789</v>
      </c>
      <c r="G390">
        <v>-1.178831357361273</v>
      </c>
      <c r="H390">
        <v>0.34498135486400527</v>
      </c>
      <c r="I390" t="s">
        <v>96</v>
      </c>
      <c r="J390" t="s">
        <v>96</v>
      </c>
      <c r="K390">
        <v>0.13557876697618021</v>
      </c>
      <c r="L390">
        <v>-8.0189554420865714E-2</v>
      </c>
      <c r="M390">
        <v>33591.06</v>
      </c>
      <c r="N390">
        <v>-25986.260999999999</v>
      </c>
      <c r="O390">
        <v>7604.7990000000063</v>
      </c>
      <c r="P390" t="s">
        <v>96</v>
      </c>
      <c r="Q390" t="s">
        <v>96</v>
      </c>
      <c r="R390">
        <v>2174.67</v>
      </c>
      <c r="S390">
        <v>-481.47300000000013</v>
      </c>
      <c r="T390">
        <v>-34092.652000003123</v>
      </c>
    </row>
    <row r="391" spans="1:20" x14ac:dyDescent="0.25">
      <c r="A391" s="1" t="s">
        <v>33</v>
      </c>
      <c r="B391">
        <v>2005</v>
      </c>
      <c r="C391">
        <v>22025.68</v>
      </c>
      <c r="D391">
        <v>16027.143</v>
      </c>
      <c r="E391">
        <v>5998.5370000000003</v>
      </c>
      <c r="F391">
        <v>1.540433212504676</v>
      </c>
      <c r="G391">
        <v>-1.1416489751962251</v>
      </c>
      <c r="H391">
        <v>0.39878423730845097</v>
      </c>
      <c r="I391" t="s">
        <v>96</v>
      </c>
      <c r="J391" t="s">
        <v>96</v>
      </c>
      <c r="K391">
        <v>0.13195414803499289</v>
      </c>
      <c r="L391">
        <v>-0.1041077182653037</v>
      </c>
      <c r="M391">
        <v>33929.089</v>
      </c>
      <c r="N391">
        <v>-25145.595000000001</v>
      </c>
      <c r="O391">
        <v>8783.4940000000024</v>
      </c>
      <c r="P391" t="s">
        <v>96</v>
      </c>
      <c r="Q391" t="s">
        <v>96</v>
      </c>
      <c r="R391">
        <v>2114.848</v>
      </c>
      <c r="S391">
        <v>-624.49400000000003</v>
      </c>
      <c r="T391">
        <v>-37670.776000003432</v>
      </c>
    </row>
    <row r="392" spans="1:20" x14ac:dyDescent="0.25">
      <c r="A392" s="1" t="s">
        <v>33</v>
      </c>
      <c r="B392">
        <v>2006</v>
      </c>
      <c r="C392">
        <v>22008.424999999999</v>
      </c>
      <c r="D392">
        <v>16015.724</v>
      </c>
      <c r="E392">
        <v>5992.701</v>
      </c>
      <c r="F392">
        <v>1.556994378289223</v>
      </c>
      <c r="G392">
        <v>-1.1117060852832501</v>
      </c>
      <c r="H392">
        <v>0.44528829300597372</v>
      </c>
      <c r="I392" t="s">
        <v>96</v>
      </c>
      <c r="J392" t="s">
        <v>96</v>
      </c>
      <c r="K392">
        <v>0.11739575432243959</v>
      </c>
      <c r="L392">
        <v>-0.17260330525417511</v>
      </c>
      <c r="M392">
        <v>34266.993999999999</v>
      </c>
      <c r="N392">
        <v>-24466.9</v>
      </c>
      <c r="O392">
        <v>9800.0939999999973</v>
      </c>
      <c r="P392" t="s">
        <v>96</v>
      </c>
      <c r="Q392" t="s">
        <v>96</v>
      </c>
      <c r="R392">
        <v>1880.1780000000001</v>
      </c>
      <c r="S392">
        <v>-1034.3599999999999</v>
      </c>
      <c r="T392">
        <v>-39035.010666670198</v>
      </c>
    </row>
    <row r="393" spans="1:20" x14ac:dyDescent="0.25">
      <c r="A393" s="1" t="s">
        <v>33</v>
      </c>
      <c r="B393">
        <v>2007</v>
      </c>
      <c r="C393">
        <v>21991.575000000001</v>
      </c>
      <c r="D393">
        <v>16003.781999999999</v>
      </c>
      <c r="E393">
        <v>5987.7929999999997</v>
      </c>
      <c r="F393">
        <v>1.573552417232509</v>
      </c>
      <c r="G393">
        <v>-1.2370159936248319</v>
      </c>
      <c r="H393">
        <v>0.3365364236076771</v>
      </c>
      <c r="I393" t="s">
        <v>96</v>
      </c>
      <c r="J393" t="s">
        <v>96</v>
      </c>
      <c r="K393">
        <v>8.2521868893240355E-2</v>
      </c>
      <c r="L393">
        <v>-0.17821674864177839</v>
      </c>
      <c r="M393">
        <v>34604.896000000001</v>
      </c>
      <c r="N393">
        <v>-27203.93</v>
      </c>
      <c r="O393">
        <v>7400.9660000000003</v>
      </c>
      <c r="P393" t="s">
        <v>96</v>
      </c>
      <c r="Q393" t="s">
        <v>96</v>
      </c>
      <c r="R393">
        <v>1320.662</v>
      </c>
      <c r="S393">
        <v>-1067.125</v>
      </c>
      <c r="T393">
        <v>-28066.511000002549</v>
      </c>
    </row>
    <row r="394" spans="1:20" x14ac:dyDescent="0.25">
      <c r="A394" s="1" t="s">
        <v>33</v>
      </c>
      <c r="B394">
        <v>2008</v>
      </c>
      <c r="C394">
        <v>21975.691999999999</v>
      </c>
      <c r="D394">
        <v>15992.445</v>
      </c>
      <c r="E394">
        <v>5983.2470000000003</v>
      </c>
      <c r="F394">
        <v>1.590108106720826</v>
      </c>
      <c r="G394">
        <v>-1.158208760843572</v>
      </c>
      <c r="H394">
        <v>0.43189934587725393</v>
      </c>
      <c r="I394" t="s">
        <v>96</v>
      </c>
      <c r="J394" t="s">
        <v>96</v>
      </c>
      <c r="K394">
        <v>7.2746224858050171E-2</v>
      </c>
      <c r="L394">
        <v>-0.18841859612347611</v>
      </c>
      <c r="M394">
        <v>34943.726000000002</v>
      </c>
      <c r="N394">
        <v>-25452.438999999998</v>
      </c>
      <c r="O394">
        <v>9491.2870000000003</v>
      </c>
      <c r="P394" t="s">
        <v>96</v>
      </c>
      <c r="Q394" t="s">
        <v>96</v>
      </c>
      <c r="R394">
        <v>1163.3900000000001</v>
      </c>
      <c r="S394">
        <v>-1127.355</v>
      </c>
      <c r="T394">
        <v>-34933.514000003182</v>
      </c>
    </row>
    <row r="395" spans="1:20" x14ac:dyDescent="0.25">
      <c r="A395" s="1" t="s">
        <v>33</v>
      </c>
      <c r="B395">
        <v>2009</v>
      </c>
      <c r="C395">
        <v>21959.252</v>
      </c>
      <c r="D395">
        <v>15981.473</v>
      </c>
      <c r="E395">
        <v>5977.7790000000005</v>
      </c>
      <c r="F395">
        <v>1.6057246849756079</v>
      </c>
      <c r="G395">
        <v>-0.97752969909904031</v>
      </c>
      <c r="H395">
        <v>0.62819498587656808</v>
      </c>
      <c r="I395" t="s">
        <v>96</v>
      </c>
      <c r="J395" t="s">
        <v>96</v>
      </c>
      <c r="K395">
        <v>6.9968394027258948E-2</v>
      </c>
      <c r="L395">
        <v>-0.23899812957287311</v>
      </c>
      <c r="M395">
        <v>35260.512999999999</v>
      </c>
      <c r="N395">
        <v>-21465.821</v>
      </c>
      <c r="O395">
        <v>13794.691999999999</v>
      </c>
      <c r="P395" t="s">
        <v>96</v>
      </c>
      <c r="Q395" t="s">
        <v>96</v>
      </c>
      <c r="R395">
        <v>1118.1980000000001</v>
      </c>
      <c r="S395">
        <v>-1428.6780000000001</v>
      </c>
      <c r="T395">
        <v>-49442.110666671157</v>
      </c>
    </row>
    <row r="396" spans="1:20" x14ac:dyDescent="0.25">
      <c r="A396" s="1" t="s">
        <v>33</v>
      </c>
      <c r="B396">
        <v>2010</v>
      </c>
      <c r="C396">
        <v>21943.277999999998</v>
      </c>
      <c r="D396">
        <v>15969.883</v>
      </c>
      <c r="E396">
        <v>5973.3950000000004</v>
      </c>
      <c r="F396">
        <v>1.616425540432018</v>
      </c>
      <c r="G396">
        <v>-1.175372066106076</v>
      </c>
      <c r="H396">
        <v>0.44105347432594177</v>
      </c>
      <c r="I396" t="s">
        <v>96</v>
      </c>
      <c r="J396" t="s">
        <v>96</v>
      </c>
      <c r="K396">
        <v>5.4509854580650337E-2</v>
      </c>
      <c r="L396">
        <v>-0.20080657649460651</v>
      </c>
      <c r="M396">
        <v>35469.675000000003</v>
      </c>
      <c r="N396">
        <v>-25791.516</v>
      </c>
      <c r="O396">
        <v>9678.1590000000033</v>
      </c>
      <c r="P396" t="s">
        <v>96</v>
      </c>
      <c r="Q396" t="s">
        <v>96</v>
      </c>
      <c r="R396">
        <v>870.51600000000008</v>
      </c>
      <c r="S396">
        <v>-1199.4970000000001</v>
      </c>
      <c r="T396">
        <v>-34280.319333336462</v>
      </c>
    </row>
    <row r="397" spans="1:20" x14ac:dyDescent="0.25">
      <c r="A397" s="1" t="s">
        <v>33</v>
      </c>
      <c r="B397">
        <v>2011</v>
      </c>
      <c r="C397">
        <v>21928.207999999999</v>
      </c>
      <c r="D397">
        <v>15957.846</v>
      </c>
      <c r="E397">
        <v>5970.3620000000001</v>
      </c>
      <c r="F397">
        <v>1.6233540378675719</v>
      </c>
      <c r="G397">
        <v>-1.1862962992689601</v>
      </c>
      <c r="H397">
        <v>0.43705773859861219</v>
      </c>
      <c r="I397" t="s">
        <v>96</v>
      </c>
      <c r="J397" t="s">
        <v>96</v>
      </c>
      <c r="K397">
        <v>6.0791224580059249E-2</v>
      </c>
      <c r="L397">
        <v>-0.23252794386672029</v>
      </c>
      <c r="M397">
        <v>35597.245000000003</v>
      </c>
      <c r="N397">
        <v>-26013.351999999999</v>
      </c>
      <c r="O397">
        <v>9583.8929999999964</v>
      </c>
      <c r="P397" t="s">
        <v>96</v>
      </c>
      <c r="Q397" t="s">
        <v>96</v>
      </c>
      <c r="R397">
        <v>970.09700000000009</v>
      </c>
      <c r="S397">
        <v>-1388.2760000000001</v>
      </c>
      <c r="T397">
        <v>-33607.618000003044</v>
      </c>
    </row>
    <row r="398" spans="1:20" x14ac:dyDescent="0.25">
      <c r="A398" s="1" t="s">
        <v>33</v>
      </c>
      <c r="B398">
        <v>2012</v>
      </c>
      <c r="C398">
        <v>21915.603999999999</v>
      </c>
      <c r="D398">
        <v>15947.861999999999</v>
      </c>
      <c r="E398">
        <v>5967.7420000000002</v>
      </c>
      <c r="F398">
        <v>1.630124590679773</v>
      </c>
      <c r="G398">
        <v>-1.171814520831824</v>
      </c>
      <c r="H398">
        <v>0.45831006984794931</v>
      </c>
      <c r="I398" t="s">
        <v>96</v>
      </c>
      <c r="J398" t="s">
        <v>96</v>
      </c>
      <c r="K398">
        <v>8.0739035740339374E-2</v>
      </c>
      <c r="L398">
        <v>-0.264290078223891</v>
      </c>
      <c r="M398">
        <v>35725.164999999994</v>
      </c>
      <c r="N398">
        <v>-25681.023000000001</v>
      </c>
      <c r="O398">
        <v>10044.142</v>
      </c>
      <c r="P398" t="s">
        <v>96</v>
      </c>
      <c r="Q398" t="s">
        <v>96</v>
      </c>
      <c r="R398">
        <v>1287.615</v>
      </c>
      <c r="S398">
        <v>-1577.2149999999999</v>
      </c>
      <c r="T398">
        <v>-35766.65400000324</v>
      </c>
    </row>
    <row r="399" spans="1:20" x14ac:dyDescent="0.25">
      <c r="A399" s="1" t="s">
        <v>33</v>
      </c>
      <c r="B399">
        <v>2013</v>
      </c>
      <c r="C399">
        <v>21904.489000000001</v>
      </c>
      <c r="D399">
        <v>15939.049000000001</v>
      </c>
      <c r="E399">
        <v>5965.44</v>
      </c>
      <c r="F399">
        <v>1.6367756855683779</v>
      </c>
      <c r="G399">
        <v>-1.273108083005269</v>
      </c>
      <c r="H399">
        <v>0.36366760256310943</v>
      </c>
      <c r="I399" t="s">
        <v>96</v>
      </c>
      <c r="J399" t="s">
        <v>96</v>
      </c>
      <c r="K399">
        <v>7.857344563028823E-2</v>
      </c>
      <c r="L399">
        <v>-0.26144877829632007</v>
      </c>
      <c r="M399">
        <v>35852.735000000001</v>
      </c>
      <c r="N399">
        <v>-27886.781999999999</v>
      </c>
      <c r="O399">
        <v>7965.9530000000013</v>
      </c>
      <c r="P399" t="s">
        <v>96</v>
      </c>
      <c r="Q399" t="s">
        <v>96</v>
      </c>
      <c r="R399">
        <v>1252.386</v>
      </c>
      <c r="S399">
        <v>-1559.6569999999999</v>
      </c>
      <c r="T399">
        <v>-28081.83400000256</v>
      </c>
    </row>
    <row r="400" spans="1:20" x14ac:dyDescent="0.25">
      <c r="A400" s="1" t="s">
        <v>33</v>
      </c>
      <c r="B400">
        <v>2014</v>
      </c>
      <c r="C400">
        <v>21894.477999999999</v>
      </c>
      <c r="D400">
        <v>15930.832</v>
      </c>
      <c r="E400">
        <v>5963.6459999999997</v>
      </c>
      <c r="F400">
        <v>1.637168376428066</v>
      </c>
      <c r="G400">
        <v>-1.269975881589869</v>
      </c>
      <c r="H400">
        <v>0.36719249483819633</v>
      </c>
      <c r="I400" t="s">
        <v>96</v>
      </c>
      <c r="J400" t="s">
        <v>96</v>
      </c>
      <c r="K400">
        <v>7.9111624552942378E-2</v>
      </c>
      <c r="L400">
        <v>-0.27487043999593541</v>
      </c>
      <c r="M400">
        <v>35844.947</v>
      </c>
      <c r="N400">
        <v>-27805.458999999999</v>
      </c>
      <c r="O400">
        <v>8039.4880000000012</v>
      </c>
      <c r="P400" t="s">
        <v>96</v>
      </c>
      <c r="Q400" t="s">
        <v>96</v>
      </c>
      <c r="R400">
        <v>1260.3140000000001</v>
      </c>
      <c r="S400">
        <v>-1639.23</v>
      </c>
      <c r="T400">
        <v>-28088.76400000256</v>
      </c>
    </row>
    <row r="401" spans="1:20" x14ac:dyDescent="0.25">
      <c r="A401" s="1" t="s">
        <v>33</v>
      </c>
      <c r="B401">
        <v>2015</v>
      </c>
      <c r="C401">
        <v>21886.746999999999</v>
      </c>
      <c r="D401">
        <v>15924.182000000001</v>
      </c>
      <c r="E401">
        <v>5962.5649999999996</v>
      </c>
      <c r="F401">
        <v>1.617431224475707</v>
      </c>
      <c r="G401">
        <v>-1.3172221984381689</v>
      </c>
      <c r="H401">
        <v>0.30020902603753802</v>
      </c>
      <c r="I401" t="s">
        <v>96</v>
      </c>
      <c r="J401" t="s">
        <v>96</v>
      </c>
      <c r="K401">
        <v>8.0279665228644076E-2</v>
      </c>
      <c r="L401">
        <v>-0.27381051611177398</v>
      </c>
      <c r="M401">
        <v>35400.307999999997</v>
      </c>
      <c r="N401">
        <v>-28829.708999999999</v>
      </c>
      <c r="O401">
        <v>6570.5990000000056</v>
      </c>
      <c r="P401" t="s">
        <v>96</v>
      </c>
      <c r="Q401" t="s">
        <v>96</v>
      </c>
      <c r="R401">
        <v>1278.3879999999999</v>
      </c>
      <c r="S401">
        <v>-1632.6130000000001</v>
      </c>
      <c r="T401">
        <v>-22793.371333335421</v>
      </c>
    </row>
    <row r="402" spans="1:20" x14ac:dyDescent="0.25">
      <c r="A402" s="1" t="s">
        <v>33</v>
      </c>
      <c r="B402">
        <v>2016</v>
      </c>
      <c r="C402">
        <v>21879.946</v>
      </c>
      <c r="D402">
        <v>15918.938</v>
      </c>
      <c r="E402">
        <v>5961.0079999999998</v>
      </c>
      <c r="F402">
        <v>1.5976123524253669</v>
      </c>
      <c r="G402">
        <v>-1.3541553987381869</v>
      </c>
      <c r="H402">
        <v>0.2434569536871799</v>
      </c>
      <c r="I402" t="s">
        <v>96</v>
      </c>
      <c r="J402" t="s">
        <v>96</v>
      </c>
      <c r="K402">
        <v>7.7090632553503249E-2</v>
      </c>
      <c r="L402">
        <v>-0.29223262240211728</v>
      </c>
      <c r="M402">
        <v>34955.671999999999</v>
      </c>
      <c r="N402">
        <v>-29628.847000000002</v>
      </c>
      <c r="O402">
        <v>5326.8249999999971</v>
      </c>
      <c r="P402" t="s">
        <v>96</v>
      </c>
      <c r="Q402" t="s">
        <v>96</v>
      </c>
      <c r="R402">
        <v>1227.201</v>
      </c>
      <c r="S402">
        <v>-1742.001</v>
      </c>
      <c r="T402">
        <v>-17644.091666668261</v>
      </c>
    </row>
    <row r="403" spans="1:20" x14ac:dyDescent="0.25">
      <c r="A403" s="1" t="s">
        <v>33</v>
      </c>
      <c r="B403">
        <v>2017</v>
      </c>
      <c r="C403">
        <v>21873.307000000001</v>
      </c>
      <c r="D403">
        <v>15913.616</v>
      </c>
      <c r="E403">
        <v>5959.6909999999998</v>
      </c>
      <c r="F403">
        <v>1.5777694246233549</v>
      </c>
      <c r="G403">
        <v>-1.382677251318239</v>
      </c>
      <c r="H403">
        <v>0.19509217330511591</v>
      </c>
      <c r="I403" t="s">
        <v>96</v>
      </c>
      <c r="J403" t="s">
        <v>96</v>
      </c>
      <c r="K403">
        <v>6.627777118663665E-2</v>
      </c>
      <c r="L403">
        <v>-0.2895175269993025</v>
      </c>
      <c r="M403">
        <v>34511.035000000003</v>
      </c>
      <c r="N403">
        <v>-30243.723999999998</v>
      </c>
      <c r="O403">
        <v>4267.3110000000052</v>
      </c>
      <c r="P403" t="s">
        <v>96</v>
      </c>
      <c r="Q403" t="s">
        <v>96</v>
      </c>
      <c r="R403">
        <v>1054.7190000000001</v>
      </c>
      <c r="S403">
        <v>-1725.4349999999999</v>
      </c>
      <c r="T403">
        <v>-13187.51500000122</v>
      </c>
    </row>
    <row r="404" spans="1:20" x14ac:dyDescent="0.25">
      <c r="A404" s="1" t="s">
        <v>33</v>
      </c>
      <c r="B404">
        <v>2018</v>
      </c>
      <c r="C404">
        <v>21866.080999999998</v>
      </c>
      <c r="D404">
        <v>15907.684999999999</v>
      </c>
      <c r="E404">
        <v>5958.3959999999997</v>
      </c>
      <c r="F404">
        <v>1.55795627026169</v>
      </c>
      <c r="G404">
        <v>-1.4752013403773641</v>
      </c>
      <c r="H404">
        <v>8.2754929884326076E-2</v>
      </c>
      <c r="I404" t="s">
        <v>96</v>
      </c>
      <c r="J404" t="s">
        <v>96</v>
      </c>
      <c r="K404">
        <v>4.6946302997576329E-2</v>
      </c>
      <c r="L404">
        <v>-0.27801072637669599</v>
      </c>
      <c r="M404">
        <v>34066.397999999986</v>
      </c>
      <c r="N404">
        <v>-32256.871999999999</v>
      </c>
      <c r="O404">
        <v>1809.5259999999939</v>
      </c>
      <c r="P404" t="s">
        <v>96</v>
      </c>
      <c r="Q404" t="s">
        <v>96</v>
      </c>
      <c r="R404">
        <v>746.80700000000002</v>
      </c>
      <c r="S404">
        <v>-1656.498</v>
      </c>
      <c r="T404">
        <v>-3299.3950000002792</v>
      </c>
    </row>
    <row r="405" spans="1:20" x14ac:dyDescent="0.25">
      <c r="A405" s="1" t="s">
        <v>33</v>
      </c>
      <c r="B405">
        <v>2019</v>
      </c>
      <c r="C405">
        <v>21860.084999999999</v>
      </c>
      <c r="D405">
        <v>15902.21</v>
      </c>
      <c r="E405">
        <v>5957.875</v>
      </c>
      <c r="F405">
        <v>1.545081137607653</v>
      </c>
      <c r="G405">
        <v>-1.382050161287113</v>
      </c>
      <c r="H405">
        <v>0.1630309763205402</v>
      </c>
      <c r="I405" t="s">
        <v>96</v>
      </c>
      <c r="J405" t="s">
        <v>96</v>
      </c>
      <c r="K405">
        <v>3.7994467435658312E-2</v>
      </c>
      <c r="L405">
        <v>-0.3097335878983698</v>
      </c>
      <c r="M405">
        <v>33775.605000000003</v>
      </c>
      <c r="N405">
        <v>-30211.734</v>
      </c>
      <c r="O405">
        <v>3563.870999999996</v>
      </c>
      <c r="P405" t="s">
        <v>96</v>
      </c>
      <c r="Q405" t="s">
        <v>96</v>
      </c>
      <c r="R405">
        <v>604.19599999999991</v>
      </c>
      <c r="S405">
        <v>-1845.354</v>
      </c>
      <c r="T405">
        <v>-8516.6143333340897</v>
      </c>
    </row>
    <row r="406" spans="1:20" x14ac:dyDescent="0.25">
      <c r="A406" s="1" t="s">
        <v>33</v>
      </c>
      <c r="B406">
        <v>2020</v>
      </c>
      <c r="C406">
        <v>21853.597000000002</v>
      </c>
      <c r="D406">
        <v>15896.499</v>
      </c>
      <c r="E406">
        <v>5957.098</v>
      </c>
      <c r="F406">
        <v>1.545539894416466</v>
      </c>
      <c r="G406">
        <v>-1.311797687126746</v>
      </c>
      <c r="H406">
        <v>0.23374220728971981</v>
      </c>
      <c r="I406" t="s">
        <v>96</v>
      </c>
      <c r="J406" t="s">
        <v>96</v>
      </c>
      <c r="K406">
        <v>2.5650805249633899E-2</v>
      </c>
      <c r="L406">
        <v>-0.37478819384874978</v>
      </c>
      <c r="M406">
        <v>33775.606</v>
      </c>
      <c r="N406">
        <v>-28667.498</v>
      </c>
      <c r="O406">
        <v>5108.1080000000002</v>
      </c>
      <c r="P406" t="s">
        <v>96</v>
      </c>
      <c r="Q406" t="s">
        <v>96</v>
      </c>
      <c r="R406">
        <v>407.75799999999998</v>
      </c>
      <c r="S406">
        <v>-2232.65</v>
      </c>
      <c r="T406">
        <v>-12038.458666667761</v>
      </c>
    </row>
    <row r="407" spans="1:20" x14ac:dyDescent="0.25">
      <c r="A407" s="1" t="s">
        <v>33</v>
      </c>
      <c r="B407">
        <v>2021</v>
      </c>
      <c r="C407">
        <v>21847.304</v>
      </c>
      <c r="D407">
        <v>15891.15</v>
      </c>
      <c r="E407">
        <v>5956.1540000000005</v>
      </c>
      <c r="F407">
        <v>1.545985078982743</v>
      </c>
      <c r="G407">
        <v>-1.4443195370925399</v>
      </c>
      <c r="H407">
        <v>0.10166554189020301</v>
      </c>
      <c r="I407" t="s">
        <v>96</v>
      </c>
      <c r="J407" t="s">
        <v>96</v>
      </c>
      <c r="K407">
        <v>-2.0877658319253169E-3</v>
      </c>
      <c r="L407">
        <v>-0.37934059461860797</v>
      </c>
      <c r="M407">
        <v>33775.606</v>
      </c>
      <c r="N407">
        <v>-31554.488000000001</v>
      </c>
      <c r="O407">
        <v>2221.117999999999</v>
      </c>
      <c r="P407" t="s">
        <v>96</v>
      </c>
      <c r="Q407" t="s">
        <v>96</v>
      </c>
      <c r="R407">
        <v>-33.177</v>
      </c>
      <c r="S407">
        <v>-2259.4110000000001</v>
      </c>
      <c r="T407">
        <v>262.0566666666964</v>
      </c>
    </row>
    <row r="408" spans="1:20" x14ac:dyDescent="0.25">
      <c r="A408" s="1" t="s">
        <v>33</v>
      </c>
      <c r="B408">
        <v>2022</v>
      </c>
      <c r="C408">
        <v>21840.690999999999</v>
      </c>
      <c r="D408">
        <v>15885.45</v>
      </c>
      <c r="E408">
        <v>5955.241</v>
      </c>
      <c r="F408">
        <v>1.5464531776947901</v>
      </c>
      <c r="G408">
        <v>-1.423919279843298</v>
      </c>
      <c r="H408">
        <v>0.12253389785149189</v>
      </c>
      <c r="I408" t="s">
        <v>96</v>
      </c>
      <c r="J408" t="s">
        <v>96</v>
      </c>
      <c r="K408">
        <v>-1.0431306635946731E-2</v>
      </c>
      <c r="L408">
        <v>-0.43740144185600549</v>
      </c>
      <c r="M408">
        <v>33775.606</v>
      </c>
      <c r="N408">
        <v>-31099.381000000001</v>
      </c>
      <c r="O408">
        <v>2676.224999999999</v>
      </c>
      <c r="P408" t="s">
        <v>96</v>
      </c>
      <c r="Q408" t="s">
        <v>96</v>
      </c>
      <c r="R408">
        <v>-165.70599999999999</v>
      </c>
      <c r="S408">
        <v>-2604.8310000000001</v>
      </c>
      <c r="T408">
        <v>345.81066666670438</v>
      </c>
    </row>
    <row r="409" spans="1:20" x14ac:dyDescent="0.25">
      <c r="A409" s="1" t="s">
        <v>33</v>
      </c>
      <c r="B409">
        <v>2023</v>
      </c>
      <c r="C409">
        <v>21834.684000000001</v>
      </c>
      <c r="D409">
        <v>15880.232</v>
      </c>
      <c r="E409">
        <v>5954.4520000000002</v>
      </c>
      <c r="F409">
        <v>1.5468786266840411</v>
      </c>
      <c r="G409">
        <v>-1.3818443628494921</v>
      </c>
      <c r="H409">
        <v>0.16503426383454861</v>
      </c>
      <c r="I409" t="s">
        <v>96</v>
      </c>
      <c r="J409" t="s">
        <v>96</v>
      </c>
      <c r="K409">
        <v>-6.3672243579312943E-3</v>
      </c>
      <c r="L409">
        <v>-0.53110109880808509</v>
      </c>
      <c r="M409">
        <v>33775.606</v>
      </c>
      <c r="N409">
        <v>-30172.134999999998</v>
      </c>
      <c r="O409">
        <v>3603.4709999999982</v>
      </c>
      <c r="P409" t="s">
        <v>96</v>
      </c>
      <c r="Q409" t="s">
        <v>96</v>
      </c>
      <c r="R409">
        <v>-101.113</v>
      </c>
      <c r="S409">
        <v>-3162.4160000000002</v>
      </c>
      <c r="T409">
        <v>-1246.454000000105</v>
      </c>
    </row>
    <row r="410" spans="1:20" x14ac:dyDescent="0.25">
      <c r="A410" s="1" t="s">
        <v>34</v>
      </c>
      <c r="B410">
        <v>1990</v>
      </c>
      <c r="C410">
        <v>23624.148786324098</v>
      </c>
      <c r="D410">
        <v>23624.148786324098</v>
      </c>
      <c r="E410" t="s">
        <v>96</v>
      </c>
      <c r="F410">
        <v>1.4926911437999959</v>
      </c>
      <c r="G410">
        <v>-1.0470264732772541</v>
      </c>
      <c r="H410">
        <v>0.44566467052274161</v>
      </c>
      <c r="I410">
        <v>1.2671275653100731E-2</v>
      </c>
      <c r="J410">
        <v>4.1783902728369737E-2</v>
      </c>
      <c r="K410">
        <v>5.589179680347979E-2</v>
      </c>
      <c r="L410" t="s">
        <v>96</v>
      </c>
      <c r="M410">
        <v>35263.557673159397</v>
      </c>
      <c r="N410">
        <v>-24735.10918792204</v>
      </c>
      <c r="O410">
        <v>10528.44848523735</v>
      </c>
      <c r="P410">
        <v>299.34810134137763</v>
      </c>
      <c r="Q410">
        <v>987.10913492830014</v>
      </c>
      <c r="R410">
        <v>1320.3961236204</v>
      </c>
      <c r="S410" t="s">
        <v>96</v>
      </c>
      <c r="T410">
        <v>-48162.773432138303</v>
      </c>
    </row>
    <row r="411" spans="1:20" x14ac:dyDescent="0.25">
      <c r="A411" s="1" t="s">
        <v>34</v>
      </c>
      <c r="B411">
        <v>1991</v>
      </c>
      <c r="C411">
        <v>23691.975380590698</v>
      </c>
      <c r="D411">
        <v>23691.975380590698</v>
      </c>
      <c r="E411" t="s">
        <v>96</v>
      </c>
      <c r="F411">
        <v>1.5042914228161799</v>
      </c>
      <c r="G411">
        <v>-1.1108512346855699</v>
      </c>
      <c r="H411">
        <v>0.39344018813061032</v>
      </c>
      <c r="I411">
        <v>1.334556389238096E-2</v>
      </c>
      <c r="J411">
        <v>4.2869473712990033E-2</v>
      </c>
      <c r="K411">
        <v>5.5667711923716202E-2</v>
      </c>
      <c r="L411" t="s">
        <v>96</v>
      </c>
      <c r="M411">
        <v>35639.635354594699</v>
      </c>
      <c r="N411">
        <v>-26318.260103669301</v>
      </c>
      <c r="O411">
        <v>9321.3752509253936</v>
      </c>
      <c r="P411">
        <v>316.18277117839</v>
      </c>
      <c r="Q411">
        <v>1015.66251578704</v>
      </c>
      <c r="R411">
        <v>1318.8780603905</v>
      </c>
      <c r="S411" t="s">
        <v>96</v>
      </c>
      <c r="T411">
        <v>-43897.694860368843</v>
      </c>
    </row>
    <row r="412" spans="1:20" x14ac:dyDescent="0.25">
      <c r="A412" s="1" t="s">
        <v>34</v>
      </c>
      <c r="B412">
        <v>1992</v>
      </c>
      <c r="C412">
        <v>23759.9767247583</v>
      </c>
      <c r="D412">
        <v>23759.9767247583</v>
      </c>
      <c r="E412" t="s">
        <v>96</v>
      </c>
      <c r="F412">
        <v>1.515812613580229</v>
      </c>
      <c r="G412">
        <v>-1.1203524561869951</v>
      </c>
      <c r="H412">
        <v>0.39546015739323492</v>
      </c>
      <c r="I412">
        <v>1.3993204567731E-2</v>
      </c>
      <c r="J412">
        <v>4.3940801355869197E-2</v>
      </c>
      <c r="K412">
        <v>5.5510197359594282E-2</v>
      </c>
      <c r="L412" t="s">
        <v>96</v>
      </c>
      <c r="M412">
        <v>36015.6724177613</v>
      </c>
      <c r="N412">
        <v>-26619.54828252878</v>
      </c>
      <c r="O412">
        <v>9396.124135232516</v>
      </c>
      <c r="P412">
        <v>332.47821483407</v>
      </c>
      <c r="Q412">
        <v>1044.0324174826801</v>
      </c>
      <c r="R412">
        <v>1318.9209972507001</v>
      </c>
      <c r="S412" t="s">
        <v>96</v>
      </c>
      <c r="T412">
        <v>-44335.704470937228</v>
      </c>
    </row>
    <row r="413" spans="1:20" x14ac:dyDescent="0.25">
      <c r="A413" s="1" t="s">
        <v>34</v>
      </c>
      <c r="B413">
        <v>1993</v>
      </c>
      <c r="C413">
        <v>23828.218317924999</v>
      </c>
      <c r="D413">
        <v>23828.218317924999</v>
      </c>
      <c r="E413" t="s">
        <v>96</v>
      </c>
      <c r="F413">
        <v>1.527168295019083</v>
      </c>
      <c r="G413">
        <v>-1.0804003211258799</v>
      </c>
      <c r="H413">
        <v>0.44676797389320227</v>
      </c>
      <c r="I413">
        <v>1.462392112968036E-2</v>
      </c>
      <c r="J413">
        <v>4.4670851587279403E-2</v>
      </c>
      <c r="K413">
        <v>5.536057779941362E-2</v>
      </c>
      <c r="L413" t="s">
        <v>96</v>
      </c>
      <c r="M413">
        <v>36389.699541927999</v>
      </c>
      <c r="N413">
        <v>-25744.014722543761</v>
      </c>
      <c r="O413">
        <v>10645.68481938424</v>
      </c>
      <c r="P413">
        <v>348.46198534214</v>
      </c>
      <c r="Q413">
        <v>1064.42680406932</v>
      </c>
      <c r="R413">
        <v>1319.1439340109</v>
      </c>
      <c r="S413" t="s">
        <v>96</v>
      </c>
      <c r="T413">
        <v>-49051.630990295329</v>
      </c>
    </row>
    <row r="414" spans="1:20" x14ac:dyDescent="0.25">
      <c r="A414" s="1" t="s">
        <v>34</v>
      </c>
      <c r="B414">
        <v>1994</v>
      </c>
      <c r="C414">
        <v>23896.9061620916</v>
      </c>
      <c r="D414">
        <v>23896.9061620916</v>
      </c>
      <c r="E414" t="s">
        <v>96</v>
      </c>
      <c r="F414">
        <v>1.538507659557075</v>
      </c>
      <c r="G414">
        <v>-1.0893941708316579</v>
      </c>
      <c r="H414">
        <v>0.4491134887254169</v>
      </c>
      <c r="I414">
        <v>1.524934047193055E-2</v>
      </c>
      <c r="J414">
        <v>4.5567944877457307E-2</v>
      </c>
      <c r="K414">
        <v>5.5200487541088583E-2</v>
      </c>
      <c r="L414" t="s">
        <v>96</v>
      </c>
      <c r="M414">
        <v>36765.573170094598</v>
      </c>
      <c r="N414">
        <v>-26033.150273893731</v>
      </c>
      <c r="O414">
        <v>10732.422896200869</v>
      </c>
      <c r="P414">
        <v>364.41205829150999</v>
      </c>
      <c r="Q414">
        <v>1088.9329027359599</v>
      </c>
      <c r="R414">
        <v>1319.1208708710999</v>
      </c>
      <c r="S414" t="s">
        <v>96</v>
      </c>
      <c r="T414">
        <v>-49517.925336369117</v>
      </c>
    </row>
    <row r="415" spans="1:20" x14ac:dyDescent="0.25">
      <c r="A415" s="1" t="s">
        <v>34</v>
      </c>
      <c r="B415">
        <v>1995</v>
      </c>
      <c r="C415">
        <v>23965.222756159299</v>
      </c>
      <c r="D415">
        <v>23965.222756159299</v>
      </c>
      <c r="E415" t="s">
        <v>96</v>
      </c>
      <c r="F415">
        <v>1.549749966276275</v>
      </c>
      <c r="G415">
        <v>-1.0805531595107341</v>
      </c>
      <c r="H415">
        <v>0.46919680676554087</v>
      </c>
      <c r="I415">
        <v>1.5868037364182401E-2</v>
      </c>
      <c r="J415">
        <v>4.6531597367522833E-2</v>
      </c>
      <c r="K415">
        <v>5.5027896926281093E-2</v>
      </c>
      <c r="L415" t="s">
        <v>96</v>
      </c>
      <c r="M415">
        <v>37140.103158161299</v>
      </c>
      <c r="N415">
        <v>-25895.697167546481</v>
      </c>
      <c r="O415">
        <v>11244.40599061482</v>
      </c>
      <c r="P415">
        <v>380.28105013569001</v>
      </c>
      <c r="Q415">
        <v>1115.1400961126001</v>
      </c>
      <c r="R415">
        <v>1318.7558076413</v>
      </c>
      <c r="S415" t="s">
        <v>96</v>
      </c>
      <c r="T415">
        <v>-51548.137463187522</v>
      </c>
    </row>
    <row r="416" spans="1:20" x14ac:dyDescent="0.25">
      <c r="A416" s="1" t="s">
        <v>34</v>
      </c>
      <c r="B416">
        <v>1996</v>
      </c>
      <c r="C416">
        <v>24033.733350425999</v>
      </c>
      <c r="D416">
        <v>24033.733350425999</v>
      </c>
      <c r="E416" t="s">
        <v>96</v>
      </c>
      <c r="F416">
        <v>1.560842668322401</v>
      </c>
      <c r="G416">
        <v>-1.016795135824077</v>
      </c>
      <c r="H416">
        <v>0.54404753249832405</v>
      </c>
      <c r="I416">
        <v>1.648279300117883E-2</v>
      </c>
      <c r="J416">
        <v>4.6682989780250823E-2</v>
      </c>
      <c r="K416">
        <v>5.4879353331013861E-2</v>
      </c>
      <c r="L416" t="s">
        <v>96</v>
      </c>
      <c r="M416">
        <v>37512.876492427997</v>
      </c>
      <c r="N416">
        <v>-24437.38316640606</v>
      </c>
      <c r="O416">
        <v>13075.49332602194</v>
      </c>
      <c r="P416">
        <v>396.14305186059988</v>
      </c>
      <c r="Q416">
        <v>1121.9665283792101</v>
      </c>
      <c r="R416">
        <v>1318.9557444013999</v>
      </c>
      <c r="S416" t="s">
        <v>96</v>
      </c>
      <c r="T416">
        <v>-58346.048385770191</v>
      </c>
    </row>
    <row r="417" spans="1:20" x14ac:dyDescent="0.25">
      <c r="A417" s="1" t="s">
        <v>34</v>
      </c>
      <c r="B417">
        <v>1997</v>
      </c>
      <c r="C417">
        <v>24101.528694593599</v>
      </c>
      <c r="D417">
        <v>24101.528694593599</v>
      </c>
      <c r="E417" t="s">
        <v>96</v>
      </c>
      <c r="F417">
        <v>1.571928808444963</v>
      </c>
      <c r="G417">
        <v>-1.03471266864816</v>
      </c>
      <c r="H417">
        <v>0.53721613979680338</v>
      </c>
      <c r="I417">
        <v>1.7089358103064719E-2</v>
      </c>
      <c r="J417">
        <v>4.681318343674154E-2</v>
      </c>
      <c r="K417">
        <v>5.4721287515569303E-2</v>
      </c>
      <c r="L417" t="s">
        <v>96</v>
      </c>
      <c r="M417">
        <v>37885.887282594602</v>
      </c>
      <c r="N417">
        <v>-24938.157074083141</v>
      </c>
      <c r="O417">
        <v>12947.730208511461</v>
      </c>
      <c r="P417">
        <v>411.8796546932</v>
      </c>
      <c r="Q417">
        <v>1128.2692838859</v>
      </c>
      <c r="R417">
        <v>1318.8666812616</v>
      </c>
      <c r="S417" t="s">
        <v>96</v>
      </c>
      <c r="T417">
        <v>-57958.068037296543</v>
      </c>
    </row>
    <row r="418" spans="1:20" x14ac:dyDescent="0.25">
      <c r="A418" s="1" t="s">
        <v>34</v>
      </c>
      <c r="B418">
        <v>1998</v>
      </c>
      <c r="C418">
        <v>24170.332395760201</v>
      </c>
      <c r="D418">
        <v>24170.332395760201</v>
      </c>
      <c r="E418" t="s">
        <v>96</v>
      </c>
      <c r="F418">
        <v>1.5829248794059809</v>
      </c>
      <c r="G418">
        <v>-1.034779993568874</v>
      </c>
      <c r="H418">
        <v>0.54814488583710763</v>
      </c>
      <c r="I418">
        <v>1.768980011037834E-2</v>
      </c>
      <c r="J418">
        <v>4.6736787371226003E-2</v>
      </c>
      <c r="K418">
        <v>5.4595840736276977E-2</v>
      </c>
      <c r="L418" t="s">
        <v>96</v>
      </c>
      <c r="M418">
        <v>38259.820492761202</v>
      </c>
      <c r="N418">
        <v>-25010.97640104228</v>
      </c>
      <c r="O418">
        <v>13248.84409171892</v>
      </c>
      <c r="P418">
        <v>427.56834868240003</v>
      </c>
      <c r="Q418">
        <v>1129.6436858725001</v>
      </c>
      <c r="R418">
        <v>1319.5996180218001</v>
      </c>
      <c r="S418" t="s">
        <v>96</v>
      </c>
      <c r="T418">
        <v>-59127.404395755977</v>
      </c>
    </row>
    <row r="419" spans="1:20" x14ac:dyDescent="0.25">
      <c r="A419" s="1" t="s">
        <v>34</v>
      </c>
      <c r="B419">
        <v>1999</v>
      </c>
      <c r="C419">
        <v>24239.149096927998</v>
      </c>
      <c r="D419">
        <v>24239.149096927998</v>
      </c>
      <c r="E419" t="s">
        <v>96</v>
      </c>
      <c r="F419">
        <v>1.593851791514592</v>
      </c>
      <c r="G419">
        <v>-1.7571710369105491</v>
      </c>
      <c r="H419">
        <v>-0.16331924539595641</v>
      </c>
      <c r="I419">
        <v>0.76185109487555436</v>
      </c>
      <c r="J419">
        <v>4.6533945619079191E-2</v>
      </c>
      <c r="K419">
        <v>5.4465466159838008E-2</v>
      </c>
      <c r="L419" t="s">
        <v>96</v>
      </c>
      <c r="M419">
        <v>38633.611212928001</v>
      </c>
      <c r="N419">
        <v>-42592.330752478359</v>
      </c>
      <c r="O419">
        <v>-3958.7195395503591</v>
      </c>
      <c r="P419">
        <v>18466.6222783464</v>
      </c>
      <c r="Q419">
        <v>1127.9432459292</v>
      </c>
      <c r="R419">
        <v>1320.1965548820001</v>
      </c>
      <c r="S419" t="s">
        <v>96</v>
      </c>
      <c r="T419">
        <v>-62172.155978565541</v>
      </c>
    </row>
    <row r="420" spans="1:20" x14ac:dyDescent="0.25">
      <c r="A420" s="1" t="s">
        <v>34</v>
      </c>
      <c r="B420">
        <v>2000</v>
      </c>
      <c r="C420">
        <v>24308.102047994598</v>
      </c>
      <c r="D420">
        <v>24308.102047994598</v>
      </c>
      <c r="E420" t="s">
        <v>96</v>
      </c>
      <c r="F420">
        <v>1.604754003293835</v>
      </c>
      <c r="G420">
        <v>-1.1653973210681301</v>
      </c>
      <c r="H420">
        <v>0.43935668222570479</v>
      </c>
      <c r="I420">
        <v>-5.1692937067534847E-2</v>
      </c>
      <c r="J420">
        <v>4.6568365794242991E-2</v>
      </c>
      <c r="K420">
        <v>5.4292329736248479E-2</v>
      </c>
      <c r="L420" t="s">
        <v>96</v>
      </c>
      <c r="M420">
        <v>39008.524073994398</v>
      </c>
      <c r="N420">
        <v>-28328.597006983629</v>
      </c>
      <c r="O420">
        <v>10679.927067010771</v>
      </c>
      <c r="P420">
        <v>-1256.5571893982001</v>
      </c>
      <c r="Q420">
        <v>1131.9885879348001</v>
      </c>
      <c r="R420">
        <v>1319.7434916520999</v>
      </c>
      <c r="S420" t="s">
        <v>96</v>
      </c>
      <c r="T420">
        <v>-43542.040509735343</v>
      </c>
    </row>
    <row r="421" spans="1:20" x14ac:dyDescent="0.25">
      <c r="A421" s="1" t="s">
        <v>34</v>
      </c>
      <c r="B421">
        <v>2001</v>
      </c>
      <c r="C421">
        <v>24377.777698232199</v>
      </c>
      <c r="D421">
        <v>24377.777698232199</v>
      </c>
      <c r="E421" t="s">
        <v>96</v>
      </c>
      <c r="F421">
        <v>1.612854667023738</v>
      </c>
      <c r="G421">
        <v>-1.049214681604401</v>
      </c>
      <c r="H421">
        <v>0.5636399854193368</v>
      </c>
      <c r="I421">
        <v>-4.4264179144584227E-2</v>
      </c>
      <c r="J421">
        <v>4.5520960929997807E-2</v>
      </c>
      <c r="K421">
        <v>5.3928805356512677E-2</v>
      </c>
      <c r="L421" t="s">
        <v>96</v>
      </c>
      <c r="M421">
        <v>39317.812532260999</v>
      </c>
      <c r="N421">
        <v>-25577.522265873569</v>
      </c>
      <c r="O421">
        <v>13740.29026638743</v>
      </c>
      <c r="P421">
        <v>-1079.0623191814</v>
      </c>
      <c r="Q421">
        <v>1109.6998661614</v>
      </c>
      <c r="R421">
        <v>1314.6644285123</v>
      </c>
      <c r="S421" t="s">
        <v>96</v>
      </c>
      <c r="T421">
        <v>-55313.838220230697</v>
      </c>
    </row>
    <row r="422" spans="1:20" x14ac:dyDescent="0.25">
      <c r="A422" s="1" t="s">
        <v>34</v>
      </c>
      <c r="B422">
        <v>2002</v>
      </c>
      <c r="C422">
        <v>24447.806849418801</v>
      </c>
      <c r="D422">
        <v>24447.806849418801</v>
      </c>
      <c r="E422" t="s">
        <v>96</v>
      </c>
      <c r="F422">
        <v>1.6210933670056451</v>
      </c>
      <c r="G422">
        <v>-0.95145978802723186</v>
      </c>
      <c r="H422">
        <v>0.66963357897841336</v>
      </c>
      <c r="I422">
        <v>-3.7521231836094418E-2</v>
      </c>
      <c r="J422">
        <v>4.438146315132125E-2</v>
      </c>
      <c r="K422">
        <v>5.359717431274006E-2</v>
      </c>
      <c r="L422" t="s">
        <v>96</v>
      </c>
      <c r="M422">
        <v>39632.177521427999</v>
      </c>
      <c r="N422">
        <v>-23261.10512267872</v>
      </c>
      <c r="O422">
        <v>16371.07239874928</v>
      </c>
      <c r="P422">
        <v>-917.31182868109988</v>
      </c>
      <c r="Q422">
        <v>1085.0294388181001</v>
      </c>
      <c r="R422">
        <v>1310.3333652725</v>
      </c>
      <c r="S422" t="s">
        <v>96</v>
      </c>
      <c r="T422">
        <v>-65446.785705254813</v>
      </c>
    </row>
    <row r="423" spans="1:20" x14ac:dyDescent="0.25">
      <c r="A423" s="1" t="s">
        <v>34</v>
      </c>
      <c r="B423">
        <v>2003</v>
      </c>
      <c r="C423">
        <v>24517.774000605001</v>
      </c>
      <c r="D423">
        <v>24517.774000605001</v>
      </c>
      <c r="E423" t="s">
        <v>96</v>
      </c>
      <c r="F423">
        <v>1.629542290935879</v>
      </c>
      <c r="G423">
        <v>-0.91387320980261677</v>
      </c>
      <c r="H423">
        <v>0.71566908113326178</v>
      </c>
      <c r="I423">
        <v>-3.138847824854777E-2</v>
      </c>
      <c r="J423">
        <v>4.3328797500478057E-2</v>
      </c>
      <c r="K423">
        <v>5.3276137629805542E-2</v>
      </c>
      <c r="L423" t="s">
        <v>96</v>
      </c>
      <c r="M423">
        <v>39952.749613593987</v>
      </c>
      <c r="N423">
        <v>-22406.136823148041</v>
      </c>
      <c r="O423">
        <v>17546.612790445961</v>
      </c>
      <c r="P423">
        <v>-769.57561592080003</v>
      </c>
      <c r="Q423">
        <v>1062.3256648347001</v>
      </c>
      <c r="R423">
        <v>1306.2123020327001</v>
      </c>
      <c r="S423" t="s">
        <v>96</v>
      </c>
      <c r="T423">
        <v>-70200.442185112435</v>
      </c>
    </row>
    <row r="424" spans="1:20" x14ac:dyDescent="0.25">
      <c r="A424" s="1" t="s">
        <v>34</v>
      </c>
      <c r="B424">
        <v>2004</v>
      </c>
      <c r="C424">
        <v>24588.002901792999</v>
      </c>
      <c r="D424">
        <v>24588.002901792999</v>
      </c>
      <c r="E424" t="s">
        <v>96</v>
      </c>
      <c r="F424">
        <v>1.6380872815345211</v>
      </c>
      <c r="G424">
        <v>-0.92366947042524106</v>
      </c>
      <c r="H424">
        <v>0.7144178111092796</v>
      </c>
      <c r="I424">
        <v>-2.5805046015755579E-2</v>
      </c>
      <c r="J424">
        <v>4.209643072825249E-2</v>
      </c>
      <c r="K424">
        <v>5.2885394722646487E-2</v>
      </c>
      <c r="L424" t="s">
        <v>96</v>
      </c>
      <c r="M424">
        <v>40277.294831760999</v>
      </c>
      <c r="N424">
        <v>-22711.187619113429</v>
      </c>
      <c r="O424">
        <v>17566.10721264757</v>
      </c>
      <c r="P424">
        <v>-634.49454631629999</v>
      </c>
      <c r="Q424">
        <v>1035.0671609014</v>
      </c>
      <c r="R424">
        <v>1300.3462389029</v>
      </c>
      <c r="S424" t="s">
        <v>96</v>
      </c>
      <c r="T424">
        <v>-70645.762242503522</v>
      </c>
    </row>
    <row r="425" spans="1:20" x14ac:dyDescent="0.25">
      <c r="A425" s="1" t="s">
        <v>34</v>
      </c>
      <c r="B425">
        <v>2005</v>
      </c>
      <c r="C425">
        <v>24658.53855288</v>
      </c>
      <c r="D425">
        <v>24658.53855288</v>
      </c>
      <c r="E425" t="s">
        <v>96</v>
      </c>
      <c r="F425">
        <v>1.6463736906332771</v>
      </c>
      <c r="G425">
        <v>-0.92852041469466651</v>
      </c>
      <c r="H425">
        <v>0.7178532759386107</v>
      </c>
      <c r="I425">
        <v>-2.0718841587971149E-2</v>
      </c>
      <c r="J425">
        <v>4.077891028179189E-2</v>
      </c>
      <c r="K425">
        <v>5.2448492553178842E-2</v>
      </c>
      <c r="L425" t="s">
        <v>96</v>
      </c>
      <c r="M425">
        <v>40597.169122927997</v>
      </c>
      <c r="N425">
        <v>-22895.956442884559</v>
      </c>
      <c r="O425">
        <v>17701.212680043442</v>
      </c>
      <c r="P425">
        <v>-510.89635406800011</v>
      </c>
      <c r="Q425">
        <v>1005.548331328</v>
      </c>
      <c r="R425">
        <v>1293.303175663</v>
      </c>
      <c r="S425" t="s">
        <v>96</v>
      </c>
      <c r="T425">
        <v>-71460.282054216761</v>
      </c>
    </row>
    <row r="426" spans="1:20" x14ac:dyDescent="0.25">
      <c r="A426" s="1" t="s">
        <v>34</v>
      </c>
      <c r="B426">
        <v>2006</v>
      </c>
      <c r="C426">
        <v>24728.847754077</v>
      </c>
      <c r="D426">
        <v>24728.847754077</v>
      </c>
      <c r="E426" t="s">
        <v>96</v>
      </c>
      <c r="F426">
        <v>1.6548024922983871</v>
      </c>
      <c r="G426">
        <v>-0.9270220619464048</v>
      </c>
      <c r="H426">
        <v>0.72778043035198248</v>
      </c>
      <c r="I426">
        <v>-1.608636874669649E-2</v>
      </c>
      <c r="J426">
        <v>3.9686428408816518E-2</v>
      </c>
      <c r="K426">
        <v>5.1885559945333989E-2</v>
      </c>
      <c r="L426" t="s">
        <v>96</v>
      </c>
      <c r="M426">
        <v>40921.358895113997</v>
      </c>
      <c r="N426">
        <v>-22924.187434543179</v>
      </c>
      <c r="O426">
        <v>17997.171460570811</v>
      </c>
      <c r="P426">
        <v>-397.79736365299999</v>
      </c>
      <c r="Q426">
        <v>981.39964602470002</v>
      </c>
      <c r="R426">
        <v>1283.0701125231999</v>
      </c>
      <c r="S426" t="s">
        <v>96</v>
      </c>
      <c r="T426">
        <v>-72834.094136714237</v>
      </c>
    </row>
    <row r="427" spans="1:20" x14ac:dyDescent="0.25">
      <c r="A427" s="1" t="s">
        <v>34</v>
      </c>
      <c r="B427">
        <v>2007</v>
      </c>
      <c r="C427">
        <v>24792.548455264001</v>
      </c>
      <c r="D427">
        <v>24792.548455264001</v>
      </c>
      <c r="E427" t="s">
        <v>96</v>
      </c>
      <c r="F427">
        <v>1.6627975209022141</v>
      </c>
      <c r="G427">
        <v>-0.93258314210359772</v>
      </c>
      <c r="H427">
        <v>0.73021437879861639</v>
      </c>
      <c r="I427">
        <v>-1.182458076604688E-2</v>
      </c>
      <c r="J427">
        <v>3.9624324785482778E-2</v>
      </c>
      <c r="K427">
        <v>5.1233379721950592E-2</v>
      </c>
      <c r="L427" t="s">
        <v>96</v>
      </c>
      <c r="M427">
        <v>41224.988108261001</v>
      </c>
      <c r="N427">
        <v>-23121.112739165801</v>
      </c>
      <c r="O427">
        <v>18103.8753690952</v>
      </c>
      <c r="P427">
        <v>-293.16149160539999</v>
      </c>
      <c r="Q427">
        <v>982.3879922512001</v>
      </c>
      <c r="R427">
        <v>1270.2060492834</v>
      </c>
      <c r="S427" t="s">
        <v>96</v>
      </c>
      <c r="T427">
        <v>-73565.462369762812</v>
      </c>
    </row>
    <row r="428" spans="1:20" x14ac:dyDescent="0.25">
      <c r="A428" s="1" t="s">
        <v>34</v>
      </c>
      <c r="B428">
        <v>2008</v>
      </c>
      <c r="C428">
        <v>24856.309656451998</v>
      </c>
      <c r="D428">
        <v>24856.309656451998</v>
      </c>
      <c r="E428" t="s">
        <v>96</v>
      </c>
      <c r="F428">
        <v>1.6550465202596809</v>
      </c>
      <c r="G428">
        <v>-0.90547734303297911</v>
      </c>
      <c r="H428">
        <v>0.74956917722670224</v>
      </c>
      <c r="I428">
        <v>-8.2477355581336495E-3</v>
      </c>
      <c r="J428">
        <v>3.9633150651999009E-2</v>
      </c>
      <c r="K428">
        <v>5.0545394851784893E-2</v>
      </c>
      <c r="L428" t="s">
        <v>96</v>
      </c>
      <c r="M428">
        <v>41138.348803408</v>
      </c>
      <c r="N428">
        <v>-22506.825225329139</v>
      </c>
      <c r="O428">
        <v>18631.523578078861</v>
      </c>
      <c r="P428">
        <v>-205.00826899750001</v>
      </c>
      <c r="Q428">
        <v>985.13386526689999</v>
      </c>
      <c r="R428">
        <v>1256.3719861436</v>
      </c>
      <c r="S428" t="s">
        <v>96</v>
      </c>
      <c r="T428">
        <v>-75782.744255143713</v>
      </c>
    </row>
    <row r="429" spans="1:20" x14ac:dyDescent="0.25">
      <c r="A429" s="1" t="s">
        <v>34</v>
      </c>
      <c r="B429">
        <v>2009</v>
      </c>
      <c r="C429">
        <v>24921.011373730002</v>
      </c>
      <c r="D429">
        <v>24921.011373730002</v>
      </c>
      <c r="E429" t="s">
        <v>96</v>
      </c>
      <c r="F429">
        <v>1.639206725045115</v>
      </c>
      <c r="G429">
        <v>-1.1830586376751591</v>
      </c>
      <c r="H429">
        <v>0.45614808736995549</v>
      </c>
      <c r="I429">
        <v>0.19137259723824279</v>
      </c>
      <c r="J429">
        <v>3.9294180453818113E-2</v>
      </c>
      <c r="K429">
        <v>4.9267691970899002E-2</v>
      </c>
      <c r="L429" t="s">
        <v>96</v>
      </c>
      <c r="M429">
        <v>40850.689438743997</v>
      </c>
      <c r="N429">
        <v>-29483.017765292159</v>
      </c>
      <c r="O429">
        <v>11367.67167345184</v>
      </c>
      <c r="P429">
        <v>4769.1986723945001</v>
      </c>
      <c r="Q429">
        <v>979.250718011</v>
      </c>
      <c r="R429">
        <v>1227.8007119642</v>
      </c>
      <c r="S429" t="s">
        <v>96</v>
      </c>
      <c r="T429">
        <v>-67261.046511351786</v>
      </c>
    </row>
    <row r="430" spans="1:20" x14ac:dyDescent="0.25">
      <c r="A430" s="1" t="s">
        <v>34</v>
      </c>
      <c r="B430">
        <v>2010</v>
      </c>
      <c r="C430">
        <v>24984.638590099999</v>
      </c>
      <c r="D430">
        <v>24984.638590099999</v>
      </c>
      <c r="E430" t="s">
        <v>96</v>
      </c>
      <c r="F430">
        <v>1.642703990616609</v>
      </c>
      <c r="G430">
        <v>-0.98797887982771382</v>
      </c>
      <c r="H430">
        <v>0.65472511078889528</v>
      </c>
      <c r="I430">
        <v>-2.0679157033411069E-2</v>
      </c>
      <c r="J430">
        <v>3.8998716885185893E-2</v>
      </c>
      <c r="K430">
        <v>4.7783498387203693E-2</v>
      </c>
      <c r="L430" t="s">
        <v>96</v>
      </c>
      <c r="M430">
        <v>41042.365516070997</v>
      </c>
      <c r="N430">
        <v>-24684.295247147271</v>
      </c>
      <c r="O430">
        <v>16358.07026892373</v>
      </c>
      <c r="P430">
        <v>-516.66126482769994</v>
      </c>
      <c r="Q430">
        <v>974.36884685399991</v>
      </c>
      <c r="R430">
        <v>1193.8534377749099</v>
      </c>
      <c r="S430" t="s">
        <v>96</v>
      </c>
      <c r="T430">
        <v>-66035.314725330769</v>
      </c>
    </row>
    <row r="431" spans="1:20" x14ac:dyDescent="0.25">
      <c r="A431" s="1" t="s">
        <v>34</v>
      </c>
      <c r="B431">
        <v>2011</v>
      </c>
      <c r="C431">
        <v>25048.223307379001</v>
      </c>
      <c r="D431">
        <v>25048.223307379001</v>
      </c>
      <c r="E431" t="s">
        <v>96</v>
      </c>
      <c r="F431">
        <v>1.6102172075619909</v>
      </c>
      <c r="G431">
        <v>-0.96290561135564556</v>
      </c>
      <c r="H431">
        <v>0.64731159620634593</v>
      </c>
      <c r="I431">
        <v>-1.5710337081914851E-2</v>
      </c>
      <c r="J431">
        <v>3.9173707409780129E-2</v>
      </c>
      <c r="K431">
        <v>4.8734401179503561E-2</v>
      </c>
      <c r="L431" t="s">
        <v>96</v>
      </c>
      <c r="M431">
        <v>40333.080188397013</v>
      </c>
      <c r="N431">
        <v>-24119.074777164511</v>
      </c>
      <c r="O431">
        <v>16214.0054112325</v>
      </c>
      <c r="P431">
        <v>-393.51603146200011</v>
      </c>
      <c r="Q431">
        <v>981.23177097810003</v>
      </c>
      <c r="R431">
        <v>1220.7101634956</v>
      </c>
      <c r="S431" t="s">
        <v>96</v>
      </c>
      <c r="T431">
        <v>-66082.248152234737</v>
      </c>
    </row>
    <row r="432" spans="1:20" x14ac:dyDescent="0.25">
      <c r="A432" s="1" t="s">
        <v>34</v>
      </c>
      <c r="B432">
        <v>2012</v>
      </c>
      <c r="C432">
        <v>25111.388024757998</v>
      </c>
      <c r="D432">
        <v>25111.388024757998</v>
      </c>
      <c r="E432" t="s">
        <v>96</v>
      </c>
      <c r="F432">
        <v>1.596674437358562</v>
      </c>
      <c r="G432">
        <v>-0.92200574754545406</v>
      </c>
      <c r="H432">
        <v>0.67466868981310768</v>
      </c>
      <c r="I432">
        <v>-2.5462555082988569E-2</v>
      </c>
      <c r="J432">
        <v>3.9384823962184429E-2</v>
      </c>
      <c r="K432">
        <v>4.9644961404649968E-2</v>
      </c>
      <c r="L432" t="s">
        <v>96</v>
      </c>
      <c r="M432">
        <v>40094.711345723001</v>
      </c>
      <c r="N432">
        <v>-23152.844087670961</v>
      </c>
      <c r="O432">
        <v>16941.86725805204</v>
      </c>
      <c r="P432">
        <v>-639.40010079069998</v>
      </c>
      <c r="Q432">
        <v>989.00759680119995</v>
      </c>
      <c r="R432">
        <v>1246.6538893063</v>
      </c>
      <c r="S432" t="s">
        <v>96</v>
      </c>
      <c r="T432">
        <v>-67973.138359025266</v>
      </c>
    </row>
    <row r="433" spans="1:20" x14ac:dyDescent="0.25">
      <c r="A433" s="1" t="s">
        <v>34</v>
      </c>
      <c r="B433">
        <v>2013</v>
      </c>
      <c r="C433">
        <v>25176.021991037</v>
      </c>
      <c r="D433">
        <v>25176.021991037</v>
      </c>
      <c r="E433" t="s">
        <v>96</v>
      </c>
      <c r="F433">
        <v>1.608800932946423</v>
      </c>
      <c r="G433">
        <v>-0.91157725090620667</v>
      </c>
      <c r="H433">
        <v>0.69722368204021679</v>
      </c>
      <c r="I433">
        <v>-1.8795509184686289E-2</v>
      </c>
      <c r="J433">
        <v>3.9161673185911031E-2</v>
      </c>
      <c r="K433">
        <v>5.038697597136349E-2</v>
      </c>
      <c r="L433" t="s">
        <v>96</v>
      </c>
      <c r="M433">
        <v>40503.20766706</v>
      </c>
      <c r="N433">
        <v>-22949.888915343709</v>
      </c>
      <c r="O433">
        <v>17553.318751716291</v>
      </c>
      <c r="P433">
        <v>-473.19615256639997</v>
      </c>
      <c r="Q433">
        <v>985.93514533430005</v>
      </c>
      <c r="R433">
        <v>1268.5436151168999</v>
      </c>
      <c r="S433" t="s">
        <v>96</v>
      </c>
      <c r="T433">
        <v>-70893.538318543768</v>
      </c>
    </row>
    <row r="434" spans="1:20" x14ac:dyDescent="0.25">
      <c r="A434" s="1" t="s">
        <v>34</v>
      </c>
      <c r="B434">
        <v>2014</v>
      </c>
      <c r="C434">
        <v>25241.213458417002</v>
      </c>
      <c r="D434">
        <v>25241.213458417002</v>
      </c>
      <c r="E434" t="s">
        <v>96</v>
      </c>
      <c r="F434">
        <v>1.578314566889506</v>
      </c>
      <c r="G434">
        <v>-0.96039596202982425</v>
      </c>
      <c r="H434">
        <v>0.6179186048596822</v>
      </c>
      <c r="I434">
        <v>-3.0633067148471881E-2</v>
      </c>
      <c r="J434">
        <v>3.8977073086014023E-2</v>
      </c>
      <c r="K434">
        <v>5.0530389239756848E-2</v>
      </c>
      <c r="L434" t="s">
        <v>96</v>
      </c>
      <c r="M434">
        <v>39838.574887387003</v>
      </c>
      <c r="N434">
        <v>-24241.559482196539</v>
      </c>
      <c r="O434">
        <v>15597.015405190459</v>
      </c>
      <c r="P434">
        <v>-773.21578678060007</v>
      </c>
      <c r="Q434">
        <v>983.82862174839988</v>
      </c>
      <c r="R434">
        <v>1275.4483409376001</v>
      </c>
      <c r="S434" t="s">
        <v>96</v>
      </c>
      <c r="T434">
        <v>-62637.94746402387</v>
      </c>
    </row>
    <row r="435" spans="1:20" x14ac:dyDescent="0.25">
      <c r="A435" s="1" t="s">
        <v>34</v>
      </c>
      <c r="B435">
        <v>2015</v>
      </c>
      <c r="C435">
        <v>25306.276675687001</v>
      </c>
      <c r="D435">
        <v>25306.276675687001</v>
      </c>
      <c r="E435" t="s">
        <v>96</v>
      </c>
      <c r="F435">
        <v>1.561161470690412</v>
      </c>
      <c r="G435">
        <v>-0.98462822828008489</v>
      </c>
      <c r="H435">
        <v>0.57653324241032755</v>
      </c>
      <c r="I435">
        <v>-2.4194436052544201E-2</v>
      </c>
      <c r="J435">
        <v>3.8793484608290317E-2</v>
      </c>
      <c r="K435">
        <v>5.0663797095844169E-2</v>
      </c>
      <c r="L435" t="s">
        <v>96</v>
      </c>
      <c r="M435">
        <v>39507.184112714</v>
      </c>
      <c r="N435">
        <v>-24917.274367547328</v>
      </c>
      <c r="O435">
        <v>14589.909745166669</v>
      </c>
      <c r="P435">
        <v>-612.27109275789996</v>
      </c>
      <c r="Q435">
        <v>981.71865471139995</v>
      </c>
      <c r="R435">
        <v>1282.1120667483001</v>
      </c>
      <c r="S435" t="s">
        <v>96</v>
      </c>
      <c r="T435">
        <v>-59552.05437085648</v>
      </c>
    </row>
    <row r="436" spans="1:20" x14ac:dyDescent="0.25">
      <c r="A436" s="1" t="s">
        <v>34</v>
      </c>
      <c r="B436">
        <v>2016</v>
      </c>
      <c r="C436">
        <v>25372.093096065</v>
      </c>
      <c r="D436">
        <v>25372.093096065</v>
      </c>
      <c r="E436" t="s">
        <v>96</v>
      </c>
      <c r="F436">
        <v>1.5197266147517849</v>
      </c>
      <c r="G436">
        <v>-1.0467750498047581</v>
      </c>
      <c r="H436">
        <v>0.47295156494702711</v>
      </c>
      <c r="I436">
        <v>6.4409945037189427E-3</v>
      </c>
      <c r="J436">
        <v>3.8725197096879778E-2</v>
      </c>
      <c r="K436">
        <v>5.0723477471336278E-2</v>
      </c>
      <c r="L436" t="s">
        <v>96</v>
      </c>
      <c r="M436">
        <v>38558.645150049997</v>
      </c>
      <c r="N436">
        <v>-26558.8740142844</v>
      </c>
      <c r="O436">
        <v>11999.771135765601</v>
      </c>
      <c r="P436">
        <v>163.4215121796</v>
      </c>
      <c r="Q436">
        <v>982.53930590549987</v>
      </c>
      <c r="R436">
        <v>1286.9607925589</v>
      </c>
      <c r="S436" t="s">
        <v>96</v>
      </c>
      <c r="T436">
        <v>-52919.873403506703</v>
      </c>
    </row>
    <row r="437" spans="1:20" x14ac:dyDescent="0.25">
      <c r="A437" s="1" t="s">
        <v>34</v>
      </c>
      <c r="B437">
        <v>2017</v>
      </c>
      <c r="C437">
        <v>25438.468767343998</v>
      </c>
      <c r="D437">
        <v>25438.468767343998</v>
      </c>
      <c r="E437" t="s">
        <v>96</v>
      </c>
      <c r="F437">
        <v>1.4823665577616909</v>
      </c>
      <c r="G437">
        <v>-1.1285726028937131</v>
      </c>
      <c r="H437">
        <v>0.35379395486797788</v>
      </c>
      <c r="I437">
        <v>4.6507468785843269E-2</v>
      </c>
      <c r="J437">
        <v>3.8661100380032183E-2</v>
      </c>
      <c r="K437">
        <v>5.0714118454948831E-2</v>
      </c>
      <c r="L437" t="s">
        <v>96</v>
      </c>
      <c r="M437">
        <v>37709.135381376</v>
      </c>
      <c r="N437">
        <v>-28709.15891039183</v>
      </c>
      <c r="O437">
        <v>8999.9764709841693</v>
      </c>
      <c r="P437">
        <v>1183.0787921568999</v>
      </c>
      <c r="Q437">
        <v>983.47919452859992</v>
      </c>
      <c r="R437">
        <v>1290.0895183795999</v>
      </c>
      <c r="S437" t="s">
        <v>96</v>
      </c>
      <c r="T437">
        <v>-45674.287912184802</v>
      </c>
    </row>
    <row r="438" spans="1:20" x14ac:dyDescent="0.25">
      <c r="A438" s="1" t="s">
        <v>34</v>
      </c>
      <c r="B438">
        <v>2018</v>
      </c>
      <c r="C438">
        <v>25505.586437724</v>
      </c>
      <c r="D438">
        <v>25505.586437724</v>
      </c>
      <c r="E438" t="s">
        <v>96</v>
      </c>
      <c r="F438">
        <v>1.5214534400317761</v>
      </c>
      <c r="G438">
        <v>-1.194954783456122</v>
      </c>
      <c r="H438">
        <v>0.32649865657565402</v>
      </c>
      <c r="I438">
        <v>0.10371073938133479</v>
      </c>
      <c r="J438">
        <v>3.8581707131275497E-2</v>
      </c>
      <c r="K438">
        <v>5.0708508402589489E-2</v>
      </c>
      <c r="L438" t="s">
        <v>96</v>
      </c>
      <c r="M438">
        <v>38805.562225702997</v>
      </c>
      <c r="N438">
        <v>-30478.022518611891</v>
      </c>
      <c r="O438">
        <v>8327.5397070911058</v>
      </c>
      <c r="P438">
        <v>2645.2032278109</v>
      </c>
      <c r="Q438">
        <v>984.04906615169989</v>
      </c>
      <c r="R438">
        <v>1293.3502441902999</v>
      </c>
      <c r="S438" t="s">
        <v>96</v>
      </c>
      <c r="T438">
        <v>-48583.854899232443</v>
      </c>
    </row>
    <row r="439" spans="1:20" x14ac:dyDescent="0.25">
      <c r="A439" s="1" t="s">
        <v>34</v>
      </c>
      <c r="B439">
        <v>2019</v>
      </c>
      <c r="C439">
        <v>25576.532359002998</v>
      </c>
      <c r="D439">
        <v>25576.532359002998</v>
      </c>
      <c r="E439" t="s">
        <v>96</v>
      </c>
      <c r="F439">
        <v>1.552824727627665</v>
      </c>
      <c r="G439">
        <v>-1.244597412301683</v>
      </c>
      <c r="H439">
        <v>0.30822731532598191</v>
      </c>
      <c r="I439">
        <v>0.13210273762010899</v>
      </c>
      <c r="J439">
        <v>3.8293937377755577E-2</v>
      </c>
      <c r="K439">
        <v>5.060298838928888E-2</v>
      </c>
      <c r="L439" t="s">
        <v>96</v>
      </c>
      <c r="M439">
        <v>39715.871894028998</v>
      </c>
      <c r="N439">
        <v>-31832.485989665402</v>
      </c>
      <c r="O439">
        <v>7883.3859043635966</v>
      </c>
      <c r="P439">
        <v>3378.7299434535998</v>
      </c>
      <c r="Q439">
        <v>979.42612849579996</v>
      </c>
      <c r="R439">
        <v>1294.2489700009</v>
      </c>
      <c r="S439" t="s">
        <v>96</v>
      </c>
      <c r="T439">
        <v>-49631.233469822131</v>
      </c>
    </row>
    <row r="440" spans="1:20" x14ac:dyDescent="0.25">
      <c r="A440" s="1" t="s">
        <v>34</v>
      </c>
      <c r="B440">
        <v>2020</v>
      </c>
      <c r="C440">
        <v>25647.365530372001</v>
      </c>
      <c r="D440">
        <v>25647.365530372001</v>
      </c>
      <c r="E440" t="s">
        <v>96</v>
      </c>
      <c r="F440">
        <v>1.547807091584358</v>
      </c>
      <c r="G440">
        <v>-1.2475032948515521</v>
      </c>
      <c r="H440">
        <v>0.30030379673280588</v>
      </c>
      <c r="I440">
        <v>0.16303203507738409</v>
      </c>
      <c r="J440">
        <v>3.7998270187041883E-2</v>
      </c>
      <c r="K440">
        <v>5.0480143634573968E-2</v>
      </c>
      <c r="L440" t="s">
        <v>96</v>
      </c>
      <c r="M440">
        <v>39697.174248366013</v>
      </c>
      <c r="N440">
        <v>-31995.1730034012</v>
      </c>
      <c r="O440">
        <v>7702.0012449648057</v>
      </c>
      <c r="P440">
        <v>4181.3421967901004</v>
      </c>
      <c r="Q440">
        <v>974.55552500889996</v>
      </c>
      <c r="R440">
        <v>1294.6826958216</v>
      </c>
      <c r="S440" t="s">
        <v>96</v>
      </c>
      <c r="T440">
        <v>-51892.799429484548</v>
      </c>
    </row>
    <row r="441" spans="1:20" x14ac:dyDescent="0.25">
      <c r="A441" s="1" t="s">
        <v>34</v>
      </c>
      <c r="B441">
        <v>2021</v>
      </c>
      <c r="C441">
        <v>25718.224700651001</v>
      </c>
      <c r="D441">
        <v>25718.224700651001</v>
      </c>
      <c r="E441" t="s">
        <v>96</v>
      </c>
      <c r="F441">
        <v>1.5435973988005129</v>
      </c>
      <c r="G441">
        <v>-1.298340795654527</v>
      </c>
      <c r="H441">
        <v>0.24525660314598591</v>
      </c>
      <c r="I441">
        <v>0.16695234171451631</v>
      </c>
      <c r="J441">
        <v>3.7762954835226882E-2</v>
      </c>
      <c r="K441">
        <v>5.030061120818944E-2</v>
      </c>
      <c r="L441" t="s">
        <v>96</v>
      </c>
      <c r="M441">
        <v>39698.584749692003</v>
      </c>
      <c r="N441">
        <v>-33391.020320665142</v>
      </c>
      <c r="O441">
        <v>6307.5644290268538</v>
      </c>
      <c r="P441">
        <v>4293.7178385138004</v>
      </c>
      <c r="Q441">
        <v>971.19615781289997</v>
      </c>
      <c r="R441">
        <v>1293.6424216323001</v>
      </c>
      <c r="S441" t="s">
        <v>96</v>
      </c>
      <c r="T441">
        <v>-47175.776438952424</v>
      </c>
    </row>
    <row r="442" spans="1:20" x14ac:dyDescent="0.25">
      <c r="A442" s="1" t="s">
        <v>34</v>
      </c>
      <c r="B442">
        <v>2022</v>
      </c>
      <c r="C442">
        <v>25789.34387203</v>
      </c>
      <c r="D442">
        <v>25789.34387203</v>
      </c>
      <c r="E442" t="s">
        <v>96</v>
      </c>
      <c r="F442">
        <v>1.539396521602665</v>
      </c>
      <c r="G442">
        <v>-1.2719802445942909</v>
      </c>
      <c r="H442">
        <v>0.26741627700837439</v>
      </c>
      <c r="I442">
        <v>0.16972511833230131</v>
      </c>
      <c r="J442">
        <v>3.801452845643221E-2</v>
      </c>
      <c r="K442">
        <v>5.0101978315324737E-2</v>
      </c>
      <c r="L442" t="s">
        <v>96</v>
      </c>
      <c r="M442">
        <v>39700.026251017996</v>
      </c>
      <c r="N442">
        <v>-32803.535926270997</v>
      </c>
      <c r="O442">
        <v>6896.4903247469992</v>
      </c>
      <c r="P442">
        <v>4377.0994403926998</v>
      </c>
      <c r="Q442">
        <v>980.36974649600006</v>
      </c>
      <c r="R442">
        <v>1292.0971474429</v>
      </c>
      <c r="S442" t="s">
        <v>96</v>
      </c>
      <c r="T442">
        <v>-49668.874416626051</v>
      </c>
    </row>
    <row r="443" spans="1:20" x14ac:dyDescent="0.25">
      <c r="A443" s="1" t="s">
        <v>34</v>
      </c>
      <c r="B443">
        <v>2023</v>
      </c>
      <c r="C443">
        <v>25860.262252308999</v>
      </c>
      <c r="D443">
        <v>25860.262252308999</v>
      </c>
      <c r="E443" t="s">
        <v>96</v>
      </c>
      <c r="F443">
        <v>1.5345577960951149</v>
      </c>
      <c r="G443">
        <v>-1.2484896700954851</v>
      </c>
      <c r="H443">
        <v>0.28606812599963011</v>
      </c>
      <c r="I443">
        <v>0.16794724278901349</v>
      </c>
      <c r="J443">
        <v>3.7440295793893207E-2</v>
      </c>
      <c r="K443">
        <v>5.0099487028516902E-2</v>
      </c>
      <c r="L443" t="s">
        <v>96</v>
      </c>
      <c r="M443">
        <v>39684.067048345001</v>
      </c>
      <c r="N443">
        <v>-32286.270287967989</v>
      </c>
      <c r="O443">
        <v>7397.7967603770076</v>
      </c>
      <c r="P443">
        <v>4343.1597430760994</v>
      </c>
      <c r="Q443">
        <v>968.21586803410003</v>
      </c>
      <c r="R443">
        <v>1295.5858732636</v>
      </c>
      <c r="S443" t="s">
        <v>96</v>
      </c>
      <c r="T443">
        <v>-51350.780230757628</v>
      </c>
    </row>
    <row r="444" spans="1:20" x14ac:dyDescent="0.25">
      <c r="A444" s="1" t="s">
        <v>35</v>
      </c>
      <c r="B444">
        <v>1990</v>
      </c>
      <c r="C444">
        <v>3153.410547640337</v>
      </c>
      <c r="D444">
        <v>2713.9187549615958</v>
      </c>
      <c r="E444">
        <v>439.49179267874138</v>
      </c>
      <c r="F444">
        <v>3.7527640252120911</v>
      </c>
      <c r="G444">
        <v>-2.6186078877003349</v>
      </c>
      <c r="H444">
        <v>1.134156137511755</v>
      </c>
      <c r="I444">
        <v>0.21374390130842211</v>
      </c>
      <c r="J444">
        <v>5.9496867899939652E-2</v>
      </c>
      <c r="K444">
        <v>1.7329606922021391E-2</v>
      </c>
      <c r="L444">
        <v>-1.303703335070324</v>
      </c>
      <c r="M444">
        <v>11834.00565990902</v>
      </c>
      <c r="N444">
        <v>-8257.5457332084225</v>
      </c>
      <c r="O444">
        <v>3576.4599267005942</v>
      </c>
      <c r="P444">
        <v>674.02227287977371</v>
      </c>
      <c r="Q444">
        <v>187.6180507872335</v>
      </c>
      <c r="R444">
        <v>47.031145241786128</v>
      </c>
      <c r="S444">
        <v>-572.96691585131043</v>
      </c>
      <c r="T444">
        <v>-14344.603092447591</v>
      </c>
    </row>
    <row r="445" spans="1:20" x14ac:dyDescent="0.25">
      <c r="A445" s="1" t="s">
        <v>35</v>
      </c>
      <c r="B445">
        <v>1991</v>
      </c>
      <c r="C445">
        <v>3179.3392948932769</v>
      </c>
      <c r="D445">
        <v>2734.3782947857339</v>
      </c>
      <c r="E445">
        <v>444.96100010754247</v>
      </c>
      <c r="F445">
        <v>3.795906799111628</v>
      </c>
      <c r="G445">
        <v>-2.6368858256250718</v>
      </c>
      <c r="H445">
        <v>1.1590209734865551</v>
      </c>
      <c r="I445">
        <v>0.2126173912619074</v>
      </c>
      <c r="J445">
        <v>5.6207975023592552E-2</v>
      </c>
      <c r="K445">
        <v>3.2607128337118513E-2</v>
      </c>
      <c r="L445">
        <v>-1.2569435148550721</v>
      </c>
      <c r="M445">
        <v>12068.475646168161</v>
      </c>
      <c r="N445">
        <v>-8383.5547215568931</v>
      </c>
      <c r="O445">
        <v>3684.9209246112641</v>
      </c>
      <c r="P445">
        <v>675.98282681668059</v>
      </c>
      <c r="Q445">
        <v>178.7042236788877</v>
      </c>
      <c r="R445">
        <v>89.160223980309695</v>
      </c>
      <c r="S445">
        <v>-559.29084344860257</v>
      </c>
      <c r="T445">
        <v>-14921.416970676</v>
      </c>
    </row>
    <row r="446" spans="1:20" x14ac:dyDescent="0.25">
      <c r="A446" s="1" t="s">
        <v>35</v>
      </c>
      <c r="B446">
        <v>1992</v>
      </c>
      <c r="C446">
        <v>3205.318266218987</v>
      </c>
      <c r="D446">
        <v>2755.5768512479549</v>
      </c>
      <c r="E446">
        <v>449.74141497103187</v>
      </c>
      <c r="F446">
        <v>3.8361605531066929</v>
      </c>
      <c r="G446">
        <v>-2.676190015508769</v>
      </c>
      <c r="H446">
        <v>1.159970537597923</v>
      </c>
      <c r="I446">
        <v>0.21731448004106579</v>
      </c>
      <c r="J446">
        <v>5.7523821627388137E-2</v>
      </c>
      <c r="K446">
        <v>4.7820134048481497E-2</v>
      </c>
      <c r="L446">
        <v>-1.2068973622377639</v>
      </c>
      <c r="M446">
        <v>12296.115493021611</v>
      </c>
      <c r="N446">
        <v>-8578.040740583132</v>
      </c>
      <c r="O446">
        <v>3718.0747524384819</v>
      </c>
      <c r="P446">
        <v>696.56207238950958</v>
      </c>
      <c r="Q446">
        <v>184.38215620499</v>
      </c>
      <c r="R446">
        <v>131.77205440756981</v>
      </c>
      <c r="S446">
        <v>-542.79172741761795</v>
      </c>
      <c r="T446">
        <v>-15355.997462752161</v>
      </c>
    </row>
    <row r="447" spans="1:20" x14ac:dyDescent="0.25">
      <c r="A447" s="1" t="s">
        <v>35</v>
      </c>
      <c r="B447">
        <v>1993</v>
      </c>
      <c r="C447">
        <v>3232.4451740278678</v>
      </c>
      <c r="D447">
        <v>2778.6804679808129</v>
      </c>
      <c r="E447">
        <v>453.76470604705548</v>
      </c>
      <c r="F447">
        <v>3.874562768258305</v>
      </c>
      <c r="G447">
        <v>-2.7180412034552779</v>
      </c>
      <c r="H447">
        <v>1.1565215648030269</v>
      </c>
      <c r="I447">
        <v>0.22327241357701</v>
      </c>
      <c r="J447">
        <v>5.8470463031881907E-2</v>
      </c>
      <c r="K447">
        <v>6.1477426050673738E-2</v>
      </c>
      <c r="L447">
        <v>-1.155211907159222</v>
      </c>
      <c r="M447">
        <v>12524.31172172462</v>
      </c>
      <c r="N447">
        <v>-8785.919170917914</v>
      </c>
      <c r="O447">
        <v>3738.3925508067018</v>
      </c>
      <c r="P447">
        <v>721.71583576056037</v>
      </c>
      <c r="Q447">
        <v>189.00256605058161</v>
      </c>
      <c r="R447">
        <v>170.8261229887419</v>
      </c>
      <c r="S447">
        <v>-524.19439147416279</v>
      </c>
      <c r="T447">
        <v>-15751.05650848698</v>
      </c>
    </row>
    <row r="448" spans="1:20" x14ac:dyDescent="0.25">
      <c r="A448" s="1" t="s">
        <v>35</v>
      </c>
      <c r="B448">
        <v>1994</v>
      </c>
      <c r="C448">
        <v>3264.9770105432972</v>
      </c>
      <c r="D448">
        <v>2805.9084405668091</v>
      </c>
      <c r="E448">
        <v>459.06856997648782</v>
      </c>
      <c r="F448">
        <v>3.9046411998017891</v>
      </c>
      <c r="G448">
        <v>-2.8035514182657879</v>
      </c>
      <c r="H448">
        <v>1.1010897815359999</v>
      </c>
      <c r="I448">
        <v>0.24125236267830991</v>
      </c>
      <c r="J448">
        <v>6.4824604194423624E-2</v>
      </c>
      <c r="K448">
        <v>7.4034287091588435E-2</v>
      </c>
      <c r="L448">
        <v>-1.109416776264242</v>
      </c>
      <c r="M448">
        <v>12748.563751773039</v>
      </c>
      <c r="N448">
        <v>-9153.5309285138537</v>
      </c>
      <c r="O448">
        <v>3595.0328232591819</v>
      </c>
      <c r="P448">
        <v>787.68341788393536</v>
      </c>
      <c r="Q448">
        <v>211.6508424123617</v>
      </c>
      <c r="R448">
        <v>207.7334310416343</v>
      </c>
      <c r="S448">
        <v>-509.29837298755052</v>
      </c>
      <c r="T448">
        <v>-15740.274519236489</v>
      </c>
    </row>
    <row r="449" spans="1:20" x14ac:dyDescent="0.25">
      <c r="A449" s="1" t="s">
        <v>35</v>
      </c>
      <c r="B449">
        <v>1995</v>
      </c>
      <c r="C449">
        <v>3293.1114212649518</v>
      </c>
      <c r="D449">
        <v>2829.4906256497652</v>
      </c>
      <c r="E449">
        <v>463.62079561518698</v>
      </c>
      <c r="F449">
        <v>3.9359697753781449</v>
      </c>
      <c r="G449">
        <v>-2.8429737992690809</v>
      </c>
      <c r="H449">
        <v>1.092995976109064</v>
      </c>
      <c r="I449">
        <v>0.2452904678417131</v>
      </c>
      <c r="J449">
        <v>6.2750452979133703E-2</v>
      </c>
      <c r="K449">
        <v>8.4918242925489981E-2</v>
      </c>
      <c r="L449">
        <v>-1.0644393008731019</v>
      </c>
      <c r="M449">
        <v>12961.58702105142</v>
      </c>
      <c r="N449">
        <v>-9362.2294887300231</v>
      </c>
      <c r="O449">
        <v>3599.357532321394</v>
      </c>
      <c r="P449">
        <v>807.76884117696875</v>
      </c>
      <c r="Q449">
        <v>206.64423339513451</v>
      </c>
      <c r="R449">
        <v>240.27537230432341</v>
      </c>
      <c r="S449">
        <v>-493.49619555486078</v>
      </c>
      <c r="T449">
        <v>-15988.68254002564</v>
      </c>
    </row>
    <row r="450" spans="1:20" x14ac:dyDescent="0.25">
      <c r="A450" s="1" t="s">
        <v>35</v>
      </c>
      <c r="B450">
        <v>1996</v>
      </c>
      <c r="C450">
        <v>3320.5216200354221</v>
      </c>
      <c r="D450">
        <v>2852.5760626350939</v>
      </c>
      <c r="E450">
        <v>467.94555740032769</v>
      </c>
      <c r="F450">
        <v>3.9672962133640088</v>
      </c>
      <c r="G450">
        <v>-2.8641315325057768</v>
      </c>
      <c r="H450">
        <v>1.103164680858232</v>
      </c>
      <c r="I450">
        <v>0.24411725160946229</v>
      </c>
      <c r="J450">
        <v>5.8799446832613081E-2</v>
      </c>
      <c r="K450">
        <v>9.3746417949207586E-2</v>
      </c>
      <c r="L450">
        <v>-1.0198354087714441</v>
      </c>
      <c r="M450">
        <v>13173.492849559851</v>
      </c>
      <c r="N450">
        <v>-9510.4106763106174</v>
      </c>
      <c r="O450">
        <v>3663.0821732492368</v>
      </c>
      <c r="P450">
        <v>810.59661179284637</v>
      </c>
      <c r="Q450">
        <v>195.244834453815</v>
      </c>
      <c r="R450">
        <v>267.41878779969448</v>
      </c>
      <c r="S450">
        <v>-477.22744881414451</v>
      </c>
      <c r="T450">
        <v>-16350.088181100131</v>
      </c>
    </row>
    <row r="451" spans="1:20" x14ac:dyDescent="0.25">
      <c r="A451" s="1" t="s">
        <v>35</v>
      </c>
      <c r="B451">
        <v>1997</v>
      </c>
      <c r="C451">
        <v>3347.632546331261</v>
      </c>
      <c r="D451">
        <v>2875.6796893802161</v>
      </c>
      <c r="E451">
        <v>471.95285695104519</v>
      </c>
      <c r="F451">
        <v>3.9983675048207572</v>
      </c>
      <c r="G451">
        <v>-2.9157865638625662</v>
      </c>
      <c r="H451">
        <v>1.082580940958191</v>
      </c>
      <c r="I451">
        <v>0.25177364297647797</v>
      </c>
      <c r="J451">
        <v>5.9921449842820752E-2</v>
      </c>
      <c r="K451">
        <v>0.10278544118190849</v>
      </c>
      <c r="L451">
        <v>-0.97592308811021777</v>
      </c>
      <c r="M451">
        <v>13385.065191331279</v>
      </c>
      <c r="N451">
        <v>-9760.9819993417186</v>
      </c>
      <c r="O451">
        <v>3624.0831919895631</v>
      </c>
      <c r="P451">
        <v>842.84564153644499</v>
      </c>
      <c r="Q451">
        <v>200.594995717183</v>
      </c>
      <c r="R451">
        <v>295.57800557079912</v>
      </c>
      <c r="S451">
        <v>-460.58968959810392</v>
      </c>
      <c r="T451">
        <v>-16509.211199126421</v>
      </c>
    </row>
    <row r="452" spans="1:20" x14ac:dyDescent="0.25">
      <c r="A452" s="1" t="s">
        <v>35</v>
      </c>
      <c r="B452">
        <v>1998</v>
      </c>
      <c r="C452">
        <v>3375.013105110615</v>
      </c>
      <c r="D452">
        <v>2899.370482069377</v>
      </c>
      <c r="E452">
        <v>475.64262304123798</v>
      </c>
      <c r="F452">
        <v>4.0277911898306167</v>
      </c>
      <c r="G452">
        <v>-2.932860945525483</v>
      </c>
      <c r="H452">
        <v>1.094930244305133</v>
      </c>
      <c r="I452">
        <v>0.24978040795110851</v>
      </c>
      <c r="J452">
        <v>5.6634497614323348E-2</v>
      </c>
      <c r="K452">
        <v>0.109629181293546</v>
      </c>
      <c r="L452">
        <v>-0.93046991845565341</v>
      </c>
      <c r="M452">
        <v>13593.84805032741</v>
      </c>
      <c r="N452">
        <v>-9898.4441266156173</v>
      </c>
      <c r="O452">
        <v>3695.4039237117918</v>
      </c>
      <c r="P452">
        <v>843.01215023486691</v>
      </c>
      <c r="Q452">
        <v>191.14217164969719</v>
      </c>
      <c r="R452">
        <v>317.85561221593969</v>
      </c>
      <c r="S452">
        <v>-442.57115267521391</v>
      </c>
      <c r="T452">
        <v>-16884.42325217084</v>
      </c>
    </row>
    <row r="453" spans="1:20" x14ac:dyDescent="0.25">
      <c r="A453" s="1" t="s">
        <v>35</v>
      </c>
      <c r="B453">
        <v>1999</v>
      </c>
      <c r="C453">
        <v>3403.01188551931</v>
      </c>
      <c r="D453">
        <v>2923.8294568619981</v>
      </c>
      <c r="E453">
        <v>479.18242865731179</v>
      </c>
      <c r="F453">
        <v>4.0568181089167634</v>
      </c>
      <c r="G453">
        <v>-2.994455676854614</v>
      </c>
      <c r="H453">
        <v>1.0623624320621481</v>
      </c>
      <c r="I453">
        <v>0.26048425552674392</v>
      </c>
      <c r="J453">
        <v>5.9624261055145858E-2</v>
      </c>
      <c r="K453">
        <v>0.1173212495365603</v>
      </c>
      <c r="L453">
        <v>-0.88630538545681992</v>
      </c>
      <c r="M453">
        <v>13805.400242033709</v>
      </c>
      <c r="N453">
        <v>-10190.168258997021</v>
      </c>
      <c r="O453">
        <v>3615.231983036691</v>
      </c>
      <c r="P453">
        <v>886.43101754815837</v>
      </c>
      <c r="Q453">
        <v>202.90206903596749</v>
      </c>
      <c r="R453">
        <v>343.02732531085189</v>
      </c>
      <c r="S453">
        <v>-424.70196713525382</v>
      </c>
      <c r="T453">
        <v>-16950.59823525506</v>
      </c>
    </row>
    <row r="454" spans="1:20" x14ac:dyDescent="0.25">
      <c r="A454" s="1" t="s">
        <v>35</v>
      </c>
      <c r="B454">
        <v>2000</v>
      </c>
      <c r="C454">
        <v>3429.454520546672</v>
      </c>
      <c r="D454">
        <v>2947.8594033041149</v>
      </c>
      <c r="E454">
        <v>481.59511724255702</v>
      </c>
      <c r="F454">
        <v>4.0843535753154194</v>
      </c>
      <c r="G454">
        <v>-3.0264578820709609</v>
      </c>
      <c r="H454">
        <v>1.0578956932444581</v>
      </c>
      <c r="I454">
        <v>0.26284434445418298</v>
      </c>
      <c r="J454">
        <v>5.8010150328148893E-2</v>
      </c>
      <c r="K454">
        <v>0.1234367256609656</v>
      </c>
      <c r="L454">
        <v>-0.83962088628832543</v>
      </c>
      <c r="M454">
        <v>14007.10483237643</v>
      </c>
      <c r="N454">
        <v>-10379.099664912361</v>
      </c>
      <c r="O454">
        <v>3628.0051674640622</v>
      </c>
      <c r="P454">
        <v>901.4127252885246</v>
      </c>
      <c r="Q454">
        <v>198.94317228046219</v>
      </c>
      <c r="R454">
        <v>363.87411245274791</v>
      </c>
      <c r="S454">
        <v>-404.35731917132568</v>
      </c>
      <c r="T454">
        <v>-17188.885480487959</v>
      </c>
    </row>
    <row r="455" spans="1:20" x14ac:dyDescent="0.25">
      <c r="A455" s="1" t="s">
        <v>35</v>
      </c>
      <c r="B455">
        <v>2001</v>
      </c>
      <c r="C455">
        <v>3448.875010640731</v>
      </c>
      <c r="D455">
        <v>2965.891156634244</v>
      </c>
      <c r="E455">
        <v>482.98385400648749</v>
      </c>
      <c r="F455">
        <v>4.1176943958105356</v>
      </c>
      <c r="G455">
        <v>-3.023403552278483</v>
      </c>
      <c r="H455">
        <v>1.0942908435320531</v>
      </c>
      <c r="I455">
        <v>0.25363376981157593</v>
      </c>
      <c r="J455">
        <v>5.171728784823356E-2</v>
      </c>
      <c r="K455">
        <v>0.1307457648153845</v>
      </c>
      <c r="L455">
        <v>-0.79255579040599333</v>
      </c>
      <c r="M455">
        <v>14201.41330316634</v>
      </c>
      <c r="N455">
        <v>-10427.340958535669</v>
      </c>
      <c r="O455">
        <v>3774.0723446306638</v>
      </c>
      <c r="P455">
        <v>874.75117055774774</v>
      </c>
      <c r="Q455">
        <v>178.36646167788629</v>
      </c>
      <c r="R455">
        <v>387.77770763332961</v>
      </c>
      <c r="S455">
        <v>-382.79165016544471</v>
      </c>
      <c r="T455">
        <v>-17717.97879256028</v>
      </c>
    </row>
    <row r="456" spans="1:20" x14ac:dyDescent="0.25">
      <c r="A456" s="1" t="s">
        <v>35</v>
      </c>
      <c r="B456">
        <v>2002</v>
      </c>
      <c r="C456">
        <v>3467.8642895465018</v>
      </c>
      <c r="D456">
        <v>2983.644247963281</v>
      </c>
      <c r="E456">
        <v>484.22004158322079</v>
      </c>
      <c r="F456">
        <v>4.1494794441625897</v>
      </c>
      <c r="G456">
        <v>-3.051984430770911</v>
      </c>
      <c r="H456">
        <v>1.097495013391679</v>
      </c>
      <c r="I456">
        <v>0.25310643822670031</v>
      </c>
      <c r="J456">
        <v>5.1093919627101997E-2</v>
      </c>
      <c r="K456">
        <v>0.13855425644688499</v>
      </c>
      <c r="L456">
        <v>-0.74228984541482734</v>
      </c>
      <c r="M456">
        <v>14389.831584618711</v>
      </c>
      <c r="N456">
        <v>-10583.867819722351</v>
      </c>
      <c r="O456">
        <v>3805.963764896364</v>
      </c>
      <c r="P456">
        <v>877.73877858068158</v>
      </c>
      <c r="Q456">
        <v>177.18677928778621</v>
      </c>
      <c r="R456">
        <v>413.39661027857801</v>
      </c>
      <c r="S456">
        <v>-359.43161981357031</v>
      </c>
      <c r="T456">
        <v>-18021.132481844379</v>
      </c>
    </row>
    <row r="457" spans="1:20" x14ac:dyDescent="0.25">
      <c r="A457" s="1" t="s">
        <v>35</v>
      </c>
      <c r="B457">
        <v>2003</v>
      </c>
      <c r="C457">
        <v>3484.2908472084182</v>
      </c>
      <c r="D457">
        <v>2999.1222051989539</v>
      </c>
      <c r="E457">
        <v>485.16864200946401</v>
      </c>
      <c r="F457">
        <v>4.1826382041792654</v>
      </c>
      <c r="G457">
        <v>-3.102236023646026</v>
      </c>
      <c r="H457">
        <v>1.08040218053324</v>
      </c>
      <c r="I457">
        <v>0.25907883937816439</v>
      </c>
      <c r="J457">
        <v>5.3526549390205257E-2</v>
      </c>
      <c r="K457">
        <v>0.14794223938274151</v>
      </c>
      <c r="L457">
        <v>-0.69296122328770438</v>
      </c>
      <c r="M457">
        <v>14573.528012006071</v>
      </c>
      <c r="N457">
        <v>-10809.092583070091</v>
      </c>
      <c r="O457">
        <v>3764.435428935984</v>
      </c>
      <c r="P457">
        <v>902.70602875071825</v>
      </c>
      <c r="Q457">
        <v>186.5020661229415</v>
      </c>
      <c r="R457">
        <v>443.69685521963942</v>
      </c>
      <c r="S457">
        <v>-336.20305566771248</v>
      </c>
      <c r="T457">
        <v>-18190.836852327411</v>
      </c>
    </row>
    <row r="458" spans="1:20" x14ac:dyDescent="0.25">
      <c r="A458" s="1" t="s">
        <v>35</v>
      </c>
      <c r="B458">
        <v>2004</v>
      </c>
      <c r="C458">
        <v>3497.692933236769</v>
      </c>
      <c r="D458">
        <v>3012.3527803822499</v>
      </c>
      <c r="E458">
        <v>485.34015285451909</v>
      </c>
      <c r="F458">
        <v>4.2172120924331526</v>
      </c>
      <c r="G458">
        <v>-3.117976963803105</v>
      </c>
      <c r="H458">
        <v>1.099235128630047</v>
      </c>
      <c r="I458">
        <v>0.25432305859040011</v>
      </c>
      <c r="J458">
        <v>5.1082559300872819E-2</v>
      </c>
      <c r="K458">
        <v>0.15677783847642721</v>
      </c>
      <c r="L458">
        <v>-0.63942157949178691</v>
      </c>
      <c r="M458">
        <v>14750.512933664089</v>
      </c>
      <c r="N458">
        <v>-10905.725992289161</v>
      </c>
      <c r="O458">
        <v>3844.7869413749272</v>
      </c>
      <c r="P458">
        <v>889.5439647908031</v>
      </c>
      <c r="Q458">
        <v>178.67110667831099</v>
      </c>
      <c r="R458">
        <v>472.27015763678492</v>
      </c>
      <c r="S458">
        <v>-310.3369671290219</v>
      </c>
      <c r="T458">
        <v>-18608.095745624971</v>
      </c>
    </row>
    <row r="459" spans="1:20" x14ac:dyDescent="0.25">
      <c r="A459" s="1" t="s">
        <v>35</v>
      </c>
      <c r="B459">
        <v>2005</v>
      </c>
      <c r="C459">
        <v>3508.9125108030071</v>
      </c>
      <c r="D459">
        <v>3023.6165323983182</v>
      </c>
      <c r="E459">
        <v>485.29597840468881</v>
      </c>
      <c r="F459">
        <v>4.2544012529367476</v>
      </c>
      <c r="G459">
        <v>-3.1483829672805679</v>
      </c>
      <c r="H459">
        <v>1.10601828565618</v>
      </c>
      <c r="I459">
        <v>0.25318769027446419</v>
      </c>
      <c r="J459">
        <v>5.0021936679096567E-2</v>
      </c>
      <c r="K459">
        <v>0.1667105867398431</v>
      </c>
      <c r="L459">
        <v>-0.58772530636709197</v>
      </c>
      <c r="M459">
        <v>14928.321782405739</v>
      </c>
      <c r="N459">
        <v>-11047.400382689881</v>
      </c>
      <c r="O459">
        <v>3880.9213997158622</v>
      </c>
      <c r="P459">
        <v>888.41345398538442</v>
      </c>
      <c r="Q459">
        <v>175.52259942787771</v>
      </c>
      <c r="R459">
        <v>504.06888619241329</v>
      </c>
      <c r="S459">
        <v>-285.22072758661341</v>
      </c>
      <c r="T459">
        <v>-18933.587243029779</v>
      </c>
    </row>
    <row r="460" spans="1:20" x14ac:dyDescent="0.25">
      <c r="A460" s="1" t="s">
        <v>35</v>
      </c>
      <c r="B460">
        <v>2006</v>
      </c>
      <c r="C460">
        <v>3522.042304898453</v>
      </c>
      <c r="D460">
        <v>3036.4956301361508</v>
      </c>
      <c r="E460">
        <v>485.54667476230202</v>
      </c>
      <c r="F460">
        <v>4.2896768618838204</v>
      </c>
      <c r="G460">
        <v>-3.182261758323957</v>
      </c>
      <c r="H460">
        <v>1.1074151035598629</v>
      </c>
      <c r="I460">
        <v>0.25366945345288811</v>
      </c>
      <c r="J460">
        <v>5.0083224222255779E-2</v>
      </c>
      <c r="K460">
        <v>0.1761507426452065</v>
      </c>
      <c r="L460">
        <v>-0.53655344897994972</v>
      </c>
      <c r="M460">
        <v>15108.42338189885</v>
      </c>
      <c r="N460">
        <v>-11208.060538077511</v>
      </c>
      <c r="O460">
        <v>3900.36284382134</v>
      </c>
      <c r="P460">
        <v>893.43454652154071</v>
      </c>
      <c r="Q460">
        <v>176.39523447649981</v>
      </c>
      <c r="R460">
        <v>534.88096028740733</v>
      </c>
      <c r="S460">
        <v>-260.52174298445902</v>
      </c>
      <c r="T460">
        <v>-19230.023421116952</v>
      </c>
    </row>
    <row r="461" spans="1:20" x14ac:dyDescent="0.25">
      <c r="A461" s="1" t="s">
        <v>35</v>
      </c>
      <c r="B461">
        <v>2007</v>
      </c>
      <c r="C461">
        <v>3530.6085866846979</v>
      </c>
      <c r="D461">
        <v>3045.481715749404</v>
      </c>
      <c r="E461">
        <v>485.12687093529382</v>
      </c>
      <c r="F461">
        <v>4.3273107530199768</v>
      </c>
      <c r="G461">
        <v>-3.2464652859610599</v>
      </c>
      <c r="H461">
        <v>1.080845467058916</v>
      </c>
      <c r="I461">
        <v>0.26204440899799708</v>
      </c>
      <c r="J461">
        <v>5.3586339892705989E-2</v>
      </c>
      <c r="K461">
        <v>0.18809703972663519</v>
      </c>
      <c r="L461">
        <v>-0.48716437663851242</v>
      </c>
      <c r="M461">
        <v>15278.04050186536</v>
      </c>
      <c r="N461">
        <v>-11461.998214987911</v>
      </c>
      <c r="O461">
        <v>3816.042286877444</v>
      </c>
      <c r="P461">
        <v>925.17624050104564</v>
      </c>
      <c r="Q461">
        <v>189.19239175419261</v>
      </c>
      <c r="R461">
        <v>572.84609527405701</v>
      </c>
      <c r="S461">
        <v>-236.33652966978451</v>
      </c>
      <c r="T461">
        <v>-19312.041777370589</v>
      </c>
    </row>
    <row r="462" spans="1:20" x14ac:dyDescent="0.25">
      <c r="A462" s="1" t="s">
        <v>35</v>
      </c>
      <c r="B462">
        <v>2008</v>
      </c>
      <c r="C462">
        <v>3537.4973066454299</v>
      </c>
      <c r="D462">
        <v>3052.6317971360299</v>
      </c>
      <c r="E462">
        <v>484.86550950940023</v>
      </c>
      <c r="F462">
        <v>4.364883461967124</v>
      </c>
      <c r="G462">
        <v>-3.2379331116475591</v>
      </c>
      <c r="H462">
        <v>1.126950350319565</v>
      </c>
      <c r="I462">
        <v>0.24894868565943909</v>
      </c>
      <c r="J462">
        <v>4.6131769411997411E-2</v>
      </c>
      <c r="K462">
        <v>0.19828255179622389</v>
      </c>
      <c r="L462">
        <v>-0.4390655945080395</v>
      </c>
      <c r="M462">
        <v>15440.76349052988</v>
      </c>
      <c r="N462">
        <v>-11454.179661551299</v>
      </c>
      <c r="O462">
        <v>3986.5838289785838</v>
      </c>
      <c r="P462">
        <v>880.65530501318563</v>
      </c>
      <c r="Q462">
        <v>163.19101004572889</v>
      </c>
      <c r="R462">
        <v>605.28362243042488</v>
      </c>
      <c r="S462">
        <v>-212.88776318918829</v>
      </c>
      <c r="T462">
        <v>-19883.69534535717</v>
      </c>
    </row>
    <row r="463" spans="1:20" x14ac:dyDescent="0.25">
      <c r="A463" s="1" t="s">
        <v>35</v>
      </c>
      <c r="B463">
        <v>2009</v>
      </c>
      <c r="C463">
        <v>3543.4624165086152</v>
      </c>
      <c r="D463">
        <v>3059.0681575085332</v>
      </c>
      <c r="E463">
        <v>484.39425900008177</v>
      </c>
      <c r="F463">
        <v>4.4061102622844697</v>
      </c>
      <c r="G463">
        <v>-3.303602366069053</v>
      </c>
      <c r="H463">
        <v>1.102507896215416</v>
      </c>
      <c r="I463">
        <v>0.25759050452326743</v>
      </c>
      <c r="J463">
        <v>5.009610709673696E-2</v>
      </c>
      <c r="K463">
        <v>0.21044357475711301</v>
      </c>
      <c r="L463">
        <v>-0.39131031129177368</v>
      </c>
      <c r="M463">
        <v>15612.886117397929</v>
      </c>
      <c r="N463">
        <v>-11706.190823254619</v>
      </c>
      <c r="O463">
        <v>3906.6952941433078</v>
      </c>
      <c r="P463">
        <v>912.76227162769021</v>
      </c>
      <c r="Q463">
        <v>177.51367271067789</v>
      </c>
      <c r="R463">
        <v>643.76123849175087</v>
      </c>
      <c r="S463">
        <v>-189.5484682772701</v>
      </c>
      <c r="T463">
        <v>-19987.67469855439</v>
      </c>
    </row>
    <row r="464" spans="1:20" x14ac:dyDescent="0.25">
      <c r="A464" s="1" t="s">
        <v>35</v>
      </c>
      <c r="B464">
        <v>2010</v>
      </c>
      <c r="C464">
        <v>3552.134203424238</v>
      </c>
      <c r="D464">
        <v>3068.15720286133</v>
      </c>
      <c r="E464">
        <v>483.9770005629083</v>
      </c>
      <c r="F464">
        <v>4.4430192324996227</v>
      </c>
      <c r="G464">
        <v>-3.3798719999578268</v>
      </c>
      <c r="H464">
        <v>1.063147232541795</v>
      </c>
      <c r="I464">
        <v>0.26957089353913471</v>
      </c>
      <c r="J464">
        <v>5.528685652708986E-2</v>
      </c>
      <c r="K464">
        <v>0.2220330887292423</v>
      </c>
      <c r="L464">
        <v>-0.34516906099773981</v>
      </c>
      <c r="M464">
        <v>15782.20058223362</v>
      </c>
      <c r="N464">
        <v>-12005.758934246091</v>
      </c>
      <c r="O464">
        <v>3776.4416479875331</v>
      </c>
      <c r="P464">
        <v>957.55199118799453</v>
      </c>
      <c r="Q464">
        <v>196.38633406968449</v>
      </c>
      <c r="R464">
        <v>681.23242045817358</v>
      </c>
      <c r="S464">
        <v>-167.05388682880161</v>
      </c>
      <c r="T464">
        <v>-19963.381191875291</v>
      </c>
    </row>
    <row r="465" spans="1:20" x14ac:dyDescent="0.25">
      <c r="A465" s="1" t="s">
        <v>35</v>
      </c>
      <c r="B465">
        <v>2011</v>
      </c>
      <c r="C465">
        <v>3566.7150970556991</v>
      </c>
      <c r="D465">
        <v>3083.0265291785649</v>
      </c>
      <c r="E465">
        <v>483.68856787713361</v>
      </c>
      <c r="F465">
        <v>4.470322002769513</v>
      </c>
      <c r="G465">
        <v>-3.4545225049264872</v>
      </c>
      <c r="H465">
        <v>1.015799497843026</v>
      </c>
      <c r="I465">
        <v>0.28221639873104343</v>
      </c>
      <c r="J465">
        <v>5.8888795844312697E-2</v>
      </c>
      <c r="K465">
        <v>0.23199733045140061</v>
      </c>
      <c r="L465">
        <v>-0.30087460831400142</v>
      </c>
      <c r="M465">
        <v>15944.364975978289</v>
      </c>
      <c r="N465">
        <v>-12321.297571439971</v>
      </c>
      <c r="O465">
        <v>3623.0674045383198</v>
      </c>
      <c r="P465">
        <v>1006.585489990703</v>
      </c>
      <c r="Q465">
        <v>210.03955718534101</v>
      </c>
      <c r="R465">
        <v>715.25392448027424</v>
      </c>
      <c r="S465">
        <v>-145.52960840599289</v>
      </c>
      <c r="T465">
        <v>-19834.52814856017</v>
      </c>
    </row>
    <row r="466" spans="1:20" x14ac:dyDescent="0.25">
      <c r="A466" s="1" t="s">
        <v>35</v>
      </c>
      <c r="B466">
        <v>2012</v>
      </c>
      <c r="C466">
        <v>3577.783072735604</v>
      </c>
      <c r="D466">
        <v>3094.6928963838641</v>
      </c>
      <c r="E466">
        <v>483.09017635174069</v>
      </c>
      <c r="F466">
        <v>4.4921517220549303</v>
      </c>
      <c r="G466">
        <v>-3.5783682239013608</v>
      </c>
      <c r="H466">
        <v>0.91378349815356896</v>
      </c>
      <c r="I466">
        <v>0.30411571117536468</v>
      </c>
      <c r="J466">
        <v>6.5284901320009303E-2</v>
      </c>
      <c r="K466">
        <v>0.24300935720942449</v>
      </c>
      <c r="L466">
        <v>-0.24007851227437119</v>
      </c>
      <c r="M466">
        <v>16071.944391328219</v>
      </c>
      <c r="N466">
        <v>-12802.625259489259</v>
      </c>
      <c r="O466">
        <v>3269.3191318389649</v>
      </c>
      <c r="P466">
        <v>1088.0600435961701</v>
      </c>
      <c r="Q466">
        <v>233.57521484794361</v>
      </c>
      <c r="R466">
        <v>752.03933151081469</v>
      </c>
      <c r="S466">
        <v>-115.97957083288949</v>
      </c>
      <c r="T466">
        <v>-19165.718553525421</v>
      </c>
    </row>
    <row r="467" spans="1:20" x14ac:dyDescent="0.25">
      <c r="A467" s="1" t="s">
        <v>35</v>
      </c>
      <c r="B467">
        <v>2013</v>
      </c>
      <c r="C467">
        <v>3589.3004478159542</v>
      </c>
      <c r="D467">
        <v>3106.8495965966308</v>
      </c>
      <c r="E467">
        <v>482.45085121932289</v>
      </c>
      <c r="F467">
        <v>4.507168841456914</v>
      </c>
      <c r="G467">
        <v>-3.573702496462976</v>
      </c>
      <c r="H467">
        <v>0.93346634499393799</v>
      </c>
      <c r="I467">
        <v>0.29495525857145422</v>
      </c>
      <c r="J467">
        <v>5.4062529057561627E-2</v>
      </c>
      <c r="K467">
        <v>0.25035367530368569</v>
      </c>
      <c r="L467">
        <v>-0.19758912357702729</v>
      </c>
      <c r="M467">
        <v>16177.58314102342</v>
      </c>
      <c r="N467">
        <v>-12827.09197091555</v>
      </c>
      <c r="O467">
        <v>3350.491170107864</v>
      </c>
      <c r="P467">
        <v>1058.6830416761909</v>
      </c>
      <c r="Q467">
        <v>194.046659756369</v>
      </c>
      <c r="R467">
        <v>777.81121512374011</v>
      </c>
      <c r="S467">
        <v>-95.327040861416791</v>
      </c>
      <c r="T467">
        <v>-19380.918501278498</v>
      </c>
    </row>
    <row r="468" spans="1:20" x14ac:dyDescent="0.25">
      <c r="A468" s="1" t="s">
        <v>35</v>
      </c>
      <c r="B468">
        <v>2014</v>
      </c>
      <c r="C468">
        <v>3598.432187301039</v>
      </c>
      <c r="D468">
        <v>3116.5928340609298</v>
      </c>
      <c r="E468">
        <v>481.83935324010849</v>
      </c>
      <c r="F468">
        <v>4.5254414090082937</v>
      </c>
      <c r="G468">
        <v>-3.608735653336181</v>
      </c>
      <c r="H468">
        <v>0.91670575567211299</v>
      </c>
      <c r="I468">
        <v>0.29484317393902038</v>
      </c>
      <c r="J468">
        <v>5.1328840509861008E-2</v>
      </c>
      <c r="K468">
        <v>0.25940149687431702</v>
      </c>
      <c r="L468">
        <v>-0.15794198692675079</v>
      </c>
      <c r="M468">
        <v>16284.494027920409</v>
      </c>
      <c r="N468">
        <v>-12985.790530425749</v>
      </c>
      <c r="O468">
        <v>3298.7034974946532</v>
      </c>
      <c r="P468">
        <v>1060.9731673081701</v>
      </c>
      <c r="Q468">
        <v>184.7033518275253</v>
      </c>
      <c r="R468">
        <v>808.44884630317529</v>
      </c>
      <c r="S468">
        <v>-76.102664830243256</v>
      </c>
      <c r="T468">
        <v>-19347.996059713791</v>
      </c>
    </row>
    <row r="469" spans="1:20" x14ac:dyDescent="0.25">
      <c r="A469" s="1" t="s">
        <v>35</v>
      </c>
      <c r="B469">
        <v>2015</v>
      </c>
      <c r="C469">
        <v>3602.4632196056009</v>
      </c>
      <c r="D469">
        <v>3122.377949836417</v>
      </c>
      <c r="E469">
        <v>480.08526976918341</v>
      </c>
      <c r="F469">
        <v>4.5470275077991138</v>
      </c>
      <c r="G469">
        <v>-3.6703421194964529</v>
      </c>
      <c r="H469">
        <v>0.87668538830266107</v>
      </c>
      <c r="I469">
        <v>0.298688530867596</v>
      </c>
      <c r="J469">
        <v>5.2238470671399563E-2</v>
      </c>
      <c r="K469">
        <v>0.27120074129379212</v>
      </c>
      <c r="L469">
        <v>-0.11748957020395311</v>
      </c>
      <c r="M469">
        <v>16380.499355381229</v>
      </c>
      <c r="N469">
        <v>-13222.27248885524</v>
      </c>
      <c r="O469">
        <v>3158.2268665259912</v>
      </c>
      <c r="P469">
        <v>1076.0144465685471</v>
      </c>
      <c r="Q469">
        <v>188.18716924216281</v>
      </c>
      <c r="R469">
        <v>846.79121459502733</v>
      </c>
      <c r="S469">
        <v>-56.405012006430212</v>
      </c>
      <c r="T469">
        <v>-19113.653844727829</v>
      </c>
    </row>
    <row r="470" spans="1:20" x14ac:dyDescent="0.25">
      <c r="A470" s="1" t="s">
        <v>35</v>
      </c>
      <c r="B470">
        <v>2016</v>
      </c>
      <c r="C470">
        <v>3605.8250557355268</v>
      </c>
      <c r="D470">
        <v>3126.7774077022132</v>
      </c>
      <c r="E470">
        <v>479.04764803331392</v>
      </c>
      <c r="F470">
        <v>4.5654291704675707</v>
      </c>
      <c r="G470">
        <v>-3.6612946068773011</v>
      </c>
      <c r="H470">
        <v>0.90413456359027022</v>
      </c>
      <c r="I470">
        <v>0.28426387964724331</v>
      </c>
      <c r="J470">
        <v>4.3604524050779442E-2</v>
      </c>
      <c r="K470">
        <v>0.28069871040832861</v>
      </c>
      <c r="L470">
        <v>-8.7700349537613645E-2</v>
      </c>
      <c r="M470">
        <v>16462.138893057829</v>
      </c>
      <c r="N470">
        <v>-13201.98782990753</v>
      </c>
      <c r="O470">
        <v>3260.151063150302</v>
      </c>
      <c r="P470">
        <v>1025.0058196726179</v>
      </c>
      <c r="Q470">
        <v>157.23028536572289</v>
      </c>
      <c r="R470">
        <v>877.68238607590786</v>
      </c>
      <c r="S470">
        <v>-42.012646177693341</v>
      </c>
      <c r="T470">
        <v>-19352.875329653569</v>
      </c>
    </row>
    <row r="471" spans="1:20" x14ac:dyDescent="0.25">
      <c r="A471" s="1" t="s">
        <v>35</v>
      </c>
      <c r="B471">
        <v>2017</v>
      </c>
      <c r="C471">
        <v>3611.6716221857259</v>
      </c>
      <c r="D471">
        <v>3133.4183180235818</v>
      </c>
      <c r="E471">
        <v>478.25330416214467</v>
      </c>
      <c r="F471">
        <v>4.5805312653915617</v>
      </c>
      <c r="G471">
        <v>-3.6783587510743772</v>
      </c>
      <c r="H471">
        <v>0.90217251431718515</v>
      </c>
      <c r="I471">
        <v>0.27797083034239989</v>
      </c>
      <c r="J471">
        <v>4.116797249100821E-2</v>
      </c>
      <c r="K471">
        <v>0.28958942922121622</v>
      </c>
      <c r="L471">
        <v>-6.0384870408119989E-2</v>
      </c>
      <c r="M471">
        <v>16543.37478574918</v>
      </c>
      <c r="N471">
        <v>-13285.02391747386</v>
      </c>
      <c r="O471">
        <v>3258.350868275324</v>
      </c>
      <c r="P471">
        <v>1003.939359743049</v>
      </c>
      <c r="Q471">
        <v>148.68519798869701</v>
      </c>
      <c r="R471">
        <v>907.40482222775245</v>
      </c>
      <c r="S471">
        <v>-28.879263794086299</v>
      </c>
      <c r="T471">
        <v>-19394.836942951129</v>
      </c>
    </row>
    <row r="472" spans="1:20" x14ac:dyDescent="0.25">
      <c r="A472" s="1" t="s">
        <v>35</v>
      </c>
      <c r="B472">
        <v>2018</v>
      </c>
      <c r="C472">
        <v>3619.9701048043198</v>
      </c>
      <c r="D472">
        <v>3143.8549204508699</v>
      </c>
      <c r="E472">
        <v>476.11518435344971</v>
      </c>
      <c r="F472">
        <v>4.589667126757516</v>
      </c>
      <c r="G472">
        <v>-3.6957332510062471</v>
      </c>
      <c r="H472">
        <v>0.8939338757512697</v>
      </c>
      <c r="I472">
        <v>0.27333760125697038</v>
      </c>
      <c r="J472">
        <v>3.9901955272800202E-2</v>
      </c>
      <c r="K472">
        <v>0.29735277397388388</v>
      </c>
      <c r="L472">
        <v>-3.4979614458516987E-2</v>
      </c>
      <c r="M472">
        <v>16614.457789865352</v>
      </c>
      <c r="N472">
        <v>-13378.44388397389</v>
      </c>
      <c r="O472">
        <v>3236.013905891456</v>
      </c>
      <c r="P472">
        <v>989.47394506915646</v>
      </c>
      <c r="Q472">
        <v>144.44388521077579</v>
      </c>
      <c r="R472">
        <v>934.83398156751036</v>
      </c>
      <c r="S472">
        <v>-16.65432558652941</v>
      </c>
      <c r="T472">
        <v>-19389.74177122712</v>
      </c>
    </row>
    <row r="473" spans="1:20" x14ac:dyDescent="0.25">
      <c r="A473" s="1" t="s">
        <v>35</v>
      </c>
      <c r="B473">
        <v>2019</v>
      </c>
      <c r="C473">
        <v>3630.2108633517628</v>
      </c>
      <c r="D473">
        <v>3155.4672925360892</v>
      </c>
      <c r="E473">
        <v>474.7435708156741</v>
      </c>
      <c r="F473">
        <v>4.5960353386841071</v>
      </c>
      <c r="G473">
        <v>-3.7240482083522819</v>
      </c>
      <c r="H473">
        <v>0.87198713033182429</v>
      </c>
      <c r="I473">
        <v>0.27150817242855518</v>
      </c>
      <c r="J473">
        <v>4.0347780611838593E-2</v>
      </c>
      <c r="K473">
        <v>0.30479881237264472</v>
      </c>
      <c r="L473">
        <v>-1.2926320827990031E-2</v>
      </c>
      <c r="M473">
        <v>16684.577414839641</v>
      </c>
      <c r="N473">
        <v>-13519.08026160613</v>
      </c>
      <c r="O473">
        <v>3165.497153233518</v>
      </c>
      <c r="P473">
        <v>985.63191703892471</v>
      </c>
      <c r="Q473">
        <v>146.47095148923009</v>
      </c>
      <c r="R473">
        <v>961.78268324572468</v>
      </c>
      <c r="S473">
        <v>-6.136687707389008</v>
      </c>
      <c r="T473">
        <v>-19261.902063435122</v>
      </c>
    </row>
    <row r="474" spans="1:20" x14ac:dyDescent="0.25">
      <c r="A474" s="1" t="s">
        <v>35</v>
      </c>
      <c r="B474">
        <v>2020</v>
      </c>
      <c r="C474">
        <v>3640.735744963129</v>
      </c>
      <c r="D474">
        <v>3167.2640360679538</v>
      </c>
      <c r="E474">
        <v>473.4717088951748</v>
      </c>
      <c r="F474">
        <v>4.6001453006978981</v>
      </c>
      <c r="G474">
        <v>-3.751011443108712</v>
      </c>
      <c r="H474">
        <v>0.84913385758918625</v>
      </c>
      <c r="I474">
        <v>0.27006194749244872</v>
      </c>
      <c r="J474">
        <v>4.0545928783956388E-2</v>
      </c>
      <c r="K474">
        <v>0.31201981728142708</v>
      </c>
      <c r="L474">
        <v>9.0269429713099661E-3</v>
      </c>
      <c r="M474">
        <v>16747.913428274998</v>
      </c>
      <c r="N474">
        <v>-13656.44144069162</v>
      </c>
      <c r="O474">
        <v>3091.4719875833821</v>
      </c>
      <c r="P474">
        <v>983.22418559011373</v>
      </c>
      <c r="Q474">
        <v>147.6170122364795</v>
      </c>
      <c r="R474">
        <v>988.24914581595829</v>
      </c>
      <c r="S474">
        <v>4.2740021147254161</v>
      </c>
      <c r="T474">
        <v>-19121.066555584159</v>
      </c>
    </row>
    <row r="475" spans="1:20" x14ac:dyDescent="0.25">
      <c r="A475" s="1" t="s">
        <v>35</v>
      </c>
      <c r="B475">
        <v>2021</v>
      </c>
      <c r="C475">
        <v>3650.9698376601182</v>
      </c>
      <c r="D475">
        <v>3179.0873855502332</v>
      </c>
      <c r="E475">
        <v>471.88245210988521</v>
      </c>
      <c r="F475">
        <v>4.6029654361848822</v>
      </c>
      <c r="G475">
        <v>-3.78643675778663</v>
      </c>
      <c r="H475">
        <v>0.81652867839825216</v>
      </c>
      <c r="I475">
        <v>0.27132289220820088</v>
      </c>
      <c r="J475">
        <v>4.1503232780369118E-2</v>
      </c>
      <c r="K475">
        <v>0.31933149811937622</v>
      </c>
      <c r="L475">
        <v>3.0107549191273671E-2</v>
      </c>
      <c r="M475">
        <v>16805.287971303049</v>
      </c>
      <c r="N475">
        <v>-13824.166394886561</v>
      </c>
      <c r="O475">
        <v>2981.1215764164972</v>
      </c>
      <c r="P475">
        <v>990.591695718849</v>
      </c>
      <c r="Q475">
        <v>151.52705104651429</v>
      </c>
      <c r="R475">
        <v>1015.182737480167</v>
      </c>
      <c r="S475">
        <v>14.20722413939721</v>
      </c>
      <c r="T475">
        <v>-18892.977710940271</v>
      </c>
    </row>
    <row r="476" spans="1:20" x14ac:dyDescent="0.25">
      <c r="A476" s="1" t="s">
        <v>35</v>
      </c>
      <c r="B476">
        <v>2022</v>
      </c>
      <c r="C476">
        <v>3660.590696163139</v>
      </c>
      <c r="D476">
        <v>3189.7938145292151</v>
      </c>
      <c r="E476">
        <v>470.79688163392348</v>
      </c>
      <c r="F476">
        <v>4.6043886260159272</v>
      </c>
      <c r="G476">
        <v>-3.8233180019514972</v>
      </c>
      <c r="H476">
        <v>0.78107062406442962</v>
      </c>
      <c r="I476">
        <v>0.27271370581534088</v>
      </c>
      <c r="J476">
        <v>4.2141855124618509E-2</v>
      </c>
      <c r="K476">
        <v>0.32643286643018948</v>
      </c>
      <c r="L476">
        <v>4.870538162664944E-2</v>
      </c>
      <c r="M476">
        <v>16854.782165913279</v>
      </c>
      <c r="N476">
        <v>-13995.602306416689</v>
      </c>
      <c r="O476">
        <v>2859.1798594965881</v>
      </c>
      <c r="P476">
        <v>998.29325422380828</v>
      </c>
      <c r="Q476">
        <v>154.2640827882334</v>
      </c>
      <c r="R476">
        <v>1041.2535381980599</v>
      </c>
      <c r="S476">
        <v>22.930341788616751</v>
      </c>
      <c r="T476">
        <v>-18611.71061381781</v>
      </c>
    </row>
    <row r="477" spans="1:20" x14ac:dyDescent="0.25">
      <c r="A477" s="1" t="s">
        <v>35</v>
      </c>
      <c r="B477">
        <v>2023</v>
      </c>
      <c r="C477">
        <v>3675.111992595097</v>
      </c>
      <c r="D477">
        <v>3206.3828659107321</v>
      </c>
      <c r="E477">
        <v>468.72912668436447</v>
      </c>
      <c r="F477">
        <v>4.5961837414377449</v>
      </c>
      <c r="G477">
        <v>-3.858458823358264</v>
      </c>
      <c r="H477">
        <v>0.73772491807948082</v>
      </c>
      <c r="I477">
        <v>0.27552324595463729</v>
      </c>
      <c r="J477">
        <v>4.2856898524287118E-2</v>
      </c>
      <c r="K477">
        <v>0.33134980247212209</v>
      </c>
      <c r="L477">
        <v>6.4864032107394623E-2</v>
      </c>
      <c r="M477">
        <v>16891.48998832846</v>
      </c>
      <c r="N477">
        <v>-14180.268294658321</v>
      </c>
      <c r="O477">
        <v>2711.2216936701352</v>
      </c>
      <c r="P477">
        <v>1012.5787854466161</v>
      </c>
      <c r="Q477">
        <v>157.50390173203871</v>
      </c>
      <c r="R477">
        <v>1062.434329269518</v>
      </c>
      <c r="S477">
        <v>30.403661122925669</v>
      </c>
      <c r="T477">
        <v>-18238.522027886182</v>
      </c>
    </row>
    <row r="478" spans="1:20" x14ac:dyDescent="0.25">
      <c r="A478" s="1" t="s">
        <v>36</v>
      </c>
      <c r="B478">
        <v>1990</v>
      </c>
      <c r="C478">
        <v>3363.0725758425451</v>
      </c>
      <c r="D478">
        <v>3363.0725758425451</v>
      </c>
      <c r="E478" t="s">
        <v>96</v>
      </c>
      <c r="F478">
        <v>0.10452112106202061</v>
      </c>
      <c r="G478" t="s">
        <v>96</v>
      </c>
      <c r="H478">
        <v>0.10452112106202061</v>
      </c>
      <c r="I478">
        <v>6.5119022876018154E-4</v>
      </c>
      <c r="J478">
        <v>1.0645027483842241E-3</v>
      </c>
      <c r="K478" t="s">
        <v>96</v>
      </c>
      <c r="L478" t="s">
        <v>96</v>
      </c>
      <c r="M478">
        <v>351.51211583999998</v>
      </c>
      <c r="N478" t="s">
        <v>96</v>
      </c>
      <c r="O478">
        <v>351.51211583999998</v>
      </c>
      <c r="P478">
        <v>2.19</v>
      </c>
      <c r="Q478">
        <v>3.58</v>
      </c>
      <c r="R478" t="s">
        <v>96</v>
      </c>
      <c r="S478" t="s">
        <v>96</v>
      </c>
      <c r="T478">
        <v>-1310.034424746786</v>
      </c>
    </row>
    <row r="479" spans="1:20" x14ac:dyDescent="0.25">
      <c r="A479" s="1" t="s">
        <v>36</v>
      </c>
      <c r="B479">
        <v>1991</v>
      </c>
      <c r="C479">
        <v>3366.947936897091</v>
      </c>
      <c r="D479">
        <v>3366.947936897091</v>
      </c>
      <c r="E479" t="s">
        <v>96</v>
      </c>
      <c r="F479">
        <v>0.10793624764062031</v>
      </c>
      <c r="G479" t="s">
        <v>96</v>
      </c>
      <c r="H479">
        <v>0.10793624764062031</v>
      </c>
      <c r="I479">
        <v>8.850745707539232E-4</v>
      </c>
      <c r="J479">
        <v>1.446413811936781E-3</v>
      </c>
      <c r="K479" t="s">
        <v>96</v>
      </c>
      <c r="L479" t="s">
        <v>96</v>
      </c>
      <c r="M479">
        <v>363.41572631000003</v>
      </c>
      <c r="N479" t="s">
        <v>96</v>
      </c>
      <c r="O479">
        <v>363.41572631000003</v>
      </c>
      <c r="P479">
        <v>2.98</v>
      </c>
      <c r="Q479">
        <v>4.87</v>
      </c>
      <c r="R479" t="s">
        <v>96</v>
      </c>
      <c r="S479" t="s">
        <v>96</v>
      </c>
      <c r="T479">
        <v>-1361.307663136791</v>
      </c>
    </row>
    <row r="480" spans="1:20" x14ac:dyDescent="0.25">
      <c r="A480" s="1" t="s">
        <v>36</v>
      </c>
      <c r="B480">
        <v>1992</v>
      </c>
      <c r="C480">
        <v>3370.828639851637</v>
      </c>
      <c r="D480">
        <v>3370.828639851637</v>
      </c>
      <c r="E480" t="s">
        <v>96</v>
      </c>
      <c r="F480">
        <v>0.1395577338368364</v>
      </c>
      <c r="G480" t="s">
        <v>96</v>
      </c>
      <c r="H480">
        <v>0.1395577338368364</v>
      </c>
      <c r="I480">
        <v>5.9332591884232592E-4</v>
      </c>
      <c r="J480">
        <v>9.6712124771299122E-4</v>
      </c>
      <c r="K480" t="s">
        <v>96</v>
      </c>
      <c r="L480" t="s">
        <v>96</v>
      </c>
      <c r="M480">
        <v>470.42520612999999</v>
      </c>
      <c r="N480" t="s">
        <v>96</v>
      </c>
      <c r="O480">
        <v>470.42520612999999</v>
      </c>
      <c r="P480">
        <v>2</v>
      </c>
      <c r="Q480">
        <v>3.26</v>
      </c>
      <c r="R480" t="s">
        <v>96</v>
      </c>
      <c r="S480" t="s">
        <v>96</v>
      </c>
      <c r="T480">
        <v>-1744.1790891434921</v>
      </c>
    </row>
    <row r="481" spans="1:20" x14ac:dyDescent="0.25">
      <c r="A481" s="1" t="s">
        <v>36</v>
      </c>
      <c r="B481">
        <v>1993</v>
      </c>
      <c r="C481">
        <v>3374.7068040801819</v>
      </c>
      <c r="D481">
        <v>3374.7068040801819</v>
      </c>
      <c r="E481" t="s">
        <v>96</v>
      </c>
      <c r="F481">
        <v>0.14410565921520141</v>
      </c>
      <c r="G481" t="s">
        <v>96</v>
      </c>
      <c r="H481">
        <v>0.14410565921520141</v>
      </c>
      <c r="I481">
        <v>5.1856356762139053E-4</v>
      </c>
      <c r="J481">
        <v>8.4748103051267244E-4</v>
      </c>
      <c r="K481" t="s">
        <v>96</v>
      </c>
      <c r="L481" t="s">
        <v>96</v>
      </c>
      <c r="M481">
        <v>486.31434866000001</v>
      </c>
      <c r="N481" t="s">
        <v>96</v>
      </c>
      <c r="O481">
        <v>486.31434866000001</v>
      </c>
      <c r="P481">
        <v>1.75</v>
      </c>
      <c r="Q481">
        <v>2.86</v>
      </c>
      <c r="R481" t="s">
        <v>96</v>
      </c>
      <c r="S481" t="s">
        <v>96</v>
      </c>
      <c r="T481">
        <v>-1800.05594508683</v>
      </c>
    </row>
    <row r="482" spans="1:20" x14ac:dyDescent="0.25">
      <c r="A482" s="1" t="s">
        <v>36</v>
      </c>
      <c r="B482">
        <v>1994</v>
      </c>
      <c r="C482">
        <v>3378.579077434727</v>
      </c>
      <c r="D482">
        <v>3378.579077434727</v>
      </c>
      <c r="E482" t="s">
        <v>96</v>
      </c>
      <c r="F482">
        <v>0.1216850197983885</v>
      </c>
      <c r="G482">
        <v>-9.3315658358177349E-4</v>
      </c>
      <c r="H482">
        <v>0.1207518632148067</v>
      </c>
      <c r="I482">
        <v>6.6300061317516295E-4</v>
      </c>
      <c r="J482">
        <v>1.0832956447415611E-3</v>
      </c>
      <c r="K482">
        <v>5.1286369622845572E-5</v>
      </c>
      <c r="L482" t="s">
        <v>96</v>
      </c>
      <c r="M482">
        <v>411.12246192806577</v>
      </c>
      <c r="N482">
        <v>-3.1527433092598498</v>
      </c>
      <c r="O482">
        <v>407.96971861880598</v>
      </c>
      <c r="P482">
        <v>2.2400000000000002</v>
      </c>
      <c r="Q482">
        <v>3.66</v>
      </c>
      <c r="R482">
        <v>0.17327505536533</v>
      </c>
      <c r="S482" t="s">
        <v>96</v>
      </c>
      <c r="T482">
        <v>-1518.1576434721001</v>
      </c>
    </row>
    <row r="483" spans="1:20" x14ac:dyDescent="0.25">
      <c r="A483" s="1" t="s">
        <v>36</v>
      </c>
      <c r="B483">
        <v>1995</v>
      </c>
      <c r="C483">
        <v>3382.460906521273</v>
      </c>
      <c r="D483">
        <v>3382.460906521273</v>
      </c>
      <c r="E483" t="s">
        <v>96</v>
      </c>
      <c r="F483">
        <v>0.137753814286349</v>
      </c>
      <c r="G483">
        <v>-2.001398732636727E-3</v>
      </c>
      <c r="H483">
        <v>0.13575241555371231</v>
      </c>
      <c r="I483">
        <v>5.6763405492678525E-4</v>
      </c>
      <c r="J483">
        <v>9.253617666254364E-4</v>
      </c>
      <c r="K483">
        <v>6.4034389514768452E-5</v>
      </c>
      <c r="L483" t="s">
        <v>96</v>
      </c>
      <c r="M483">
        <v>465.94689154776722</v>
      </c>
      <c r="N483">
        <v>-6.76965297150495</v>
      </c>
      <c r="O483">
        <v>459.1772385762622</v>
      </c>
      <c r="P483">
        <v>1.92</v>
      </c>
      <c r="Q483">
        <v>3.13</v>
      </c>
      <c r="R483">
        <v>0.21659381920665999</v>
      </c>
      <c r="S483" t="s">
        <v>96</v>
      </c>
      <c r="T483">
        <v>-1702.9607187835411</v>
      </c>
    </row>
    <row r="484" spans="1:20" x14ac:dyDescent="0.25">
      <c r="A484" s="1" t="s">
        <v>36</v>
      </c>
      <c r="B484">
        <v>1996</v>
      </c>
      <c r="C484">
        <v>3386.3438294508178</v>
      </c>
      <c r="D484">
        <v>3386.3438294508178</v>
      </c>
      <c r="E484" t="s">
        <v>96</v>
      </c>
      <c r="F484">
        <v>0.138352548941929</v>
      </c>
      <c r="G484">
        <v>-3.5527031361517361E-3</v>
      </c>
      <c r="H484">
        <v>0.1347998458057772</v>
      </c>
      <c r="I484">
        <v>7.8255491275077197E-4</v>
      </c>
      <c r="J484">
        <v>1.278665197060695E-3</v>
      </c>
      <c r="K484">
        <v>7.6753158018848144E-5</v>
      </c>
      <c r="L484" t="s">
        <v>96</v>
      </c>
      <c r="M484">
        <v>468.50930039829342</v>
      </c>
      <c r="N484">
        <v>-12.030674342977999</v>
      </c>
      <c r="O484">
        <v>456.47862605531537</v>
      </c>
      <c r="P484">
        <v>2.65</v>
      </c>
      <c r="Q484">
        <v>4.33</v>
      </c>
      <c r="R484">
        <v>0.25991258304798998</v>
      </c>
      <c r="S484" t="s">
        <v>96</v>
      </c>
      <c r="T484">
        <v>-1700.30130834082</v>
      </c>
    </row>
    <row r="485" spans="1:20" x14ac:dyDescent="0.25">
      <c r="A485" s="1" t="s">
        <v>36</v>
      </c>
      <c r="B485">
        <v>1997</v>
      </c>
      <c r="C485">
        <v>3392.2038294508179</v>
      </c>
      <c r="D485">
        <v>3392.2038294508179</v>
      </c>
      <c r="E485" t="s">
        <v>96</v>
      </c>
      <c r="F485">
        <v>0.120380517136485</v>
      </c>
      <c r="G485">
        <v>-6.1599453695554704E-3</v>
      </c>
      <c r="H485">
        <v>0.1142205717669295</v>
      </c>
      <c r="I485">
        <v>5.748475321766546E-4</v>
      </c>
      <c r="J485">
        <v>9.3744366785731366E-4</v>
      </c>
      <c r="K485">
        <v>8.9390662275860871E-5</v>
      </c>
      <c r="L485" t="s">
        <v>96</v>
      </c>
      <c r="M485">
        <v>408.35525122165421</v>
      </c>
      <c r="N485">
        <v>-20.895790271813901</v>
      </c>
      <c r="O485">
        <v>387.45946094984032</v>
      </c>
      <c r="P485">
        <v>1.95</v>
      </c>
      <c r="Q485">
        <v>3.18</v>
      </c>
      <c r="R485">
        <v>0.30323134688932002</v>
      </c>
      <c r="S485" t="s">
        <v>96</v>
      </c>
      <c r="T485">
        <v>-1440.606538421473</v>
      </c>
    </row>
    <row r="486" spans="1:20" x14ac:dyDescent="0.25">
      <c r="A486" s="1" t="s">
        <v>36</v>
      </c>
      <c r="B486">
        <v>1998</v>
      </c>
      <c r="C486">
        <v>3394.0949862384541</v>
      </c>
      <c r="D486">
        <v>3394.0949862384541</v>
      </c>
      <c r="E486" t="s">
        <v>96</v>
      </c>
      <c r="F486">
        <v>0.13796523474159431</v>
      </c>
      <c r="G486">
        <v>-6.6770276104927088E-3</v>
      </c>
      <c r="H486">
        <v>0.13128820713110159</v>
      </c>
      <c r="I486">
        <v>-1.9740166457230931E-4</v>
      </c>
      <c r="J486">
        <v>-3.2114599161763751E-4</v>
      </c>
      <c r="K486">
        <v>1.021038339044036E-4</v>
      </c>
      <c r="L486" t="s">
        <v>96</v>
      </c>
      <c r="M486">
        <v>468.26711151165671</v>
      </c>
      <c r="N486">
        <v>-22.662465935749029</v>
      </c>
      <c r="O486">
        <v>445.60464557590768</v>
      </c>
      <c r="P486">
        <v>-0.67</v>
      </c>
      <c r="Q486">
        <v>-1.0900000000000001</v>
      </c>
      <c r="R486">
        <v>0.34655011073066</v>
      </c>
      <c r="S486" t="s">
        <v>96</v>
      </c>
      <c r="T486">
        <v>-1628.701050851156</v>
      </c>
    </row>
    <row r="487" spans="1:20" x14ac:dyDescent="0.25">
      <c r="A487" s="1" t="s">
        <v>36</v>
      </c>
      <c r="B487">
        <v>1999</v>
      </c>
      <c r="C487">
        <v>3397.9749862384542</v>
      </c>
      <c r="D487">
        <v>3397.9749862384542</v>
      </c>
      <c r="E487" t="s">
        <v>96</v>
      </c>
      <c r="F487">
        <v>0.13614035348827941</v>
      </c>
      <c r="G487">
        <v>-7.0313083602021971E-3</v>
      </c>
      <c r="H487">
        <v>0.12910904512807719</v>
      </c>
      <c r="I487">
        <v>9.1230806952810703E-4</v>
      </c>
      <c r="J487">
        <v>1.4861792745538521E-3</v>
      </c>
      <c r="K487">
        <v>1.147356517193122E-4</v>
      </c>
      <c r="L487" t="s">
        <v>96</v>
      </c>
      <c r="M487">
        <v>462.60151577083451</v>
      </c>
      <c r="N487">
        <v>-23.892209928496388</v>
      </c>
      <c r="O487">
        <v>438.7093058423381</v>
      </c>
      <c r="P487">
        <v>3.1</v>
      </c>
      <c r="Q487">
        <v>5.05</v>
      </c>
      <c r="R487">
        <v>0.38986887457198999</v>
      </c>
      <c r="S487" t="s">
        <v>96</v>
      </c>
      <c r="T487">
        <v>-1639.9136406288201</v>
      </c>
    </row>
    <row r="488" spans="1:20" x14ac:dyDescent="0.25">
      <c r="A488" s="1" t="s">
        <v>36</v>
      </c>
      <c r="B488">
        <v>2000</v>
      </c>
      <c r="C488">
        <v>3401.856948259001</v>
      </c>
      <c r="D488">
        <v>3401.856948259001</v>
      </c>
      <c r="E488" t="s">
        <v>96</v>
      </c>
      <c r="F488">
        <v>0.13763333459450089</v>
      </c>
      <c r="G488">
        <v>-1.101722754843289E-2</v>
      </c>
      <c r="H488">
        <v>0.12661610704606799</v>
      </c>
      <c r="I488">
        <v>-2.9101752809055107E-4</v>
      </c>
      <c r="J488">
        <v>-4.7621050051181079E-4</v>
      </c>
      <c r="K488">
        <v>1.273385815458867E-4</v>
      </c>
      <c r="L488" t="s">
        <v>96</v>
      </c>
      <c r="M488">
        <v>468.20891560235879</v>
      </c>
      <c r="N488">
        <v>-37.479032086186884</v>
      </c>
      <c r="O488">
        <v>430.72988351617192</v>
      </c>
      <c r="P488">
        <v>-0.99</v>
      </c>
      <c r="Q488">
        <v>-1.62</v>
      </c>
      <c r="R488">
        <v>0.43318763841331998</v>
      </c>
      <c r="S488" t="s">
        <v>96</v>
      </c>
      <c r="T488">
        <v>-1571.3612609002889</v>
      </c>
    </row>
    <row r="489" spans="1:20" x14ac:dyDescent="0.25">
      <c r="A489" s="1" t="s">
        <v>36</v>
      </c>
      <c r="B489">
        <v>2001</v>
      </c>
      <c r="C489">
        <v>3405.7362100335458</v>
      </c>
      <c r="D489">
        <v>3405.7362100335458</v>
      </c>
      <c r="E489" t="s">
        <v>96</v>
      </c>
      <c r="F489">
        <v>0.1584435518718724</v>
      </c>
      <c r="G489">
        <v>-1.0601121068815439E-2</v>
      </c>
      <c r="H489">
        <v>0.14784243080305701</v>
      </c>
      <c r="I489">
        <v>5.4320120112349448E-4</v>
      </c>
      <c r="J489">
        <v>8.8967548075902063E-4</v>
      </c>
      <c r="K489">
        <v>1.3991289191770859E-4</v>
      </c>
      <c r="L489" t="s">
        <v>96</v>
      </c>
      <c r="M489">
        <v>539.61694185636418</v>
      </c>
      <c r="N489">
        <v>-36.104621891014268</v>
      </c>
      <c r="O489">
        <v>503.51231996534989</v>
      </c>
      <c r="P489">
        <v>1.85</v>
      </c>
      <c r="Q489">
        <v>3.03</v>
      </c>
      <c r="R489">
        <v>0.47650640225465002</v>
      </c>
      <c r="S489" t="s">
        <v>96</v>
      </c>
      <c r="T489">
        <v>-1865.8523633480529</v>
      </c>
    </row>
    <row r="490" spans="1:20" x14ac:dyDescent="0.25">
      <c r="A490" s="1" t="s">
        <v>36</v>
      </c>
      <c r="B490">
        <v>2002</v>
      </c>
      <c r="C490">
        <v>3409.606010038091</v>
      </c>
      <c r="D490">
        <v>3409.606010038091</v>
      </c>
      <c r="E490" t="s">
        <v>96</v>
      </c>
      <c r="F490">
        <v>0.15911946055050119</v>
      </c>
      <c r="G490">
        <v>-8.773117138891345E-3</v>
      </c>
      <c r="H490">
        <v>0.15034634341160991</v>
      </c>
      <c r="I490">
        <v>6.7163185226037805E-4</v>
      </c>
      <c r="J490">
        <v>1.0969009290191329E-3</v>
      </c>
      <c r="K490">
        <v>1.5245901273214051E-4</v>
      </c>
      <c r="L490" t="s">
        <v>96</v>
      </c>
      <c r="M490">
        <v>542.53466900700801</v>
      </c>
      <c r="N490">
        <v>-29.91287292353211</v>
      </c>
      <c r="O490">
        <v>512.62179608347594</v>
      </c>
      <c r="P490">
        <v>2.29</v>
      </c>
      <c r="Q490">
        <v>3.74</v>
      </c>
      <c r="R490">
        <v>0.51982516609597995</v>
      </c>
      <c r="S490" t="s">
        <v>96</v>
      </c>
      <c r="T490">
        <v>-1903.62927791527</v>
      </c>
    </row>
    <row r="491" spans="1:20" x14ac:dyDescent="0.25">
      <c r="A491" s="1" t="s">
        <v>36</v>
      </c>
      <c r="B491">
        <v>2003</v>
      </c>
      <c r="C491">
        <v>3413.4877912416368</v>
      </c>
      <c r="D491">
        <v>3413.4877912416368</v>
      </c>
      <c r="E491" t="s">
        <v>96</v>
      </c>
      <c r="F491">
        <v>0.1634538566492946</v>
      </c>
      <c r="G491">
        <v>-1.204239274609098E-2</v>
      </c>
      <c r="H491">
        <v>0.15141146390320359</v>
      </c>
      <c r="I491">
        <v>7.0016362915733502E-4</v>
      </c>
      <c r="J491">
        <v>1.142526424147952E-3</v>
      </c>
      <c r="K491">
        <v>1.6497610783382049E-4</v>
      </c>
      <c r="L491" t="s">
        <v>96</v>
      </c>
      <c r="M491">
        <v>557.94774410372781</v>
      </c>
      <c r="N491">
        <v>-41.106560616118408</v>
      </c>
      <c r="O491">
        <v>516.84118348760944</v>
      </c>
      <c r="P491">
        <v>2.39</v>
      </c>
      <c r="Q491">
        <v>3.9</v>
      </c>
      <c r="R491">
        <v>0.56314392993730999</v>
      </c>
      <c r="S491" t="s">
        <v>96</v>
      </c>
      <c r="T491">
        <v>-1920.2125338645119</v>
      </c>
    </row>
    <row r="492" spans="1:20" x14ac:dyDescent="0.25">
      <c r="A492" s="1" t="s">
        <v>36</v>
      </c>
      <c r="B492">
        <v>2004</v>
      </c>
      <c r="C492">
        <v>3417.3653491861819</v>
      </c>
      <c r="D492">
        <v>3417.3653491861819</v>
      </c>
      <c r="E492" t="s">
        <v>96</v>
      </c>
      <c r="F492">
        <v>0.1650022596726764</v>
      </c>
      <c r="G492">
        <v>-1.355899516417561E-2</v>
      </c>
      <c r="H492">
        <v>0.15144326450850079</v>
      </c>
      <c r="I492">
        <v>6.9351671765630692E-4</v>
      </c>
      <c r="J492">
        <v>1.1295251182081619E-3</v>
      </c>
      <c r="K492">
        <v>1.7746498597905961E-4</v>
      </c>
      <c r="L492" t="s">
        <v>96</v>
      </c>
      <c r="M492">
        <v>563.87300474282483</v>
      </c>
      <c r="N492">
        <v>-46.336040243836727</v>
      </c>
      <c r="O492">
        <v>517.53696449898814</v>
      </c>
      <c r="P492">
        <v>2.37</v>
      </c>
      <c r="Q492">
        <v>3.86</v>
      </c>
      <c r="R492">
        <v>0.60646269377865003</v>
      </c>
      <c r="S492" t="s">
        <v>96</v>
      </c>
      <c r="T492">
        <v>-1922.7025663736531</v>
      </c>
    </row>
    <row r="493" spans="1:20" x14ac:dyDescent="0.25">
      <c r="A493" s="1" t="s">
        <v>36</v>
      </c>
      <c r="B493">
        <v>2005</v>
      </c>
      <c r="C493">
        <v>3421.247443464727</v>
      </c>
      <c r="D493">
        <v>3421.247443464727</v>
      </c>
      <c r="E493" t="s">
        <v>96</v>
      </c>
      <c r="F493">
        <v>0.19663335900640991</v>
      </c>
      <c r="G493">
        <v>-1.2571741806651779E-2</v>
      </c>
      <c r="H493">
        <v>0.18406161719975811</v>
      </c>
      <c r="I493">
        <v>6.5765485752804979E-4</v>
      </c>
      <c r="J493">
        <v>1.069785234912294E-3</v>
      </c>
      <c r="K493">
        <v>1.899253030824133E-4</v>
      </c>
      <c r="L493" t="s">
        <v>96</v>
      </c>
      <c r="M493">
        <v>672.73137680056186</v>
      </c>
      <c r="N493">
        <v>-43.011039515906042</v>
      </c>
      <c r="O493">
        <v>629.72033728465578</v>
      </c>
      <c r="P493">
        <v>2.25</v>
      </c>
      <c r="Q493">
        <v>3.66</v>
      </c>
      <c r="R493">
        <v>0.64978145761996997</v>
      </c>
      <c r="S493" t="s">
        <v>96</v>
      </c>
      <c r="T493">
        <v>-2333.0271020552232</v>
      </c>
    </row>
    <row r="494" spans="1:20" x14ac:dyDescent="0.25">
      <c r="A494" s="1" t="s">
        <v>36</v>
      </c>
      <c r="B494">
        <v>2006</v>
      </c>
      <c r="C494">
        <v>3425.1201947992731</v>
      </c>
      <c r="D494">
        <v>3425.1201947992731</v>
      </c>
      <c r="E494" t="s">
        <v>96</v>
      </c>
      <c r="F494">
        <v>0.19586418679934789</v>
      </c>
      <c r="G494">
        <v>-1.342558469027552E-2</v>
      </c>
      <c r="H494">
        <v>0.1824386021090724</v>
      </c>
      <c r="I494">
        <v>6.0727795864165199E-4</v>
      </c>
      <c r="J494">
        <v>9.9266589393346956E-4</v>
      </c>
      <c r="K494">
        <v>2.0235792674187561E-4</v>
      </c>
      <c r="L494" t="s">
        <v>96</v>
      </c>
      <c r="M494">
        <v>670.85838164438383</v>
      </c>
      <c r="N494">
        <v>-45.984241249650623</v>
      </c>
      <c r="O494">
        <v>624.87414039473322</v>
      </c>
      <c r="P494">
        <v>2.08</v>
      </c>
      <c r="Q494">
        <v>3.4</v>
      </c>
      <c r="R494">
        <v>0.69310022146131001</v>
      </c>
      <c r="S494" t="s">
        <v>96</v>
      </c>
      <c r="T494">
        <v>-2313.83988225959</v>
      </c>
    </row>
    <row r="495" spans="1:20" x14ac:dyDescent="0.25">
      <c r="A495" s="1" t="s">
        <v>36</v>
      </c>
      <c r="B495">
        <v>2007</v>
      </c>
      <c r="C495">
        <v>3429.003113711819</v>
      </c>
      <c r="D495">
        <v>3429.003113711819</v>
      </c>
      <c r="E495" t="s">
        <v>96</v>
      </c>
      <c r="F495">
        <v>0.18623368418312691</v>
      </c>
      <c r="G495">
        <v>-2.200259347163485E-2</v>
      </c>
      <c r="H495">
        <v>0.164231090711492</v>
      </c>
      <c r="I495">
        <v>-8.3989425045533561E-4</v>
      </c>
      <c r="J495">
        <v>-1.3706607559514159E-3</v>
      </c>
      <c r="K495">
        <v>2.147618304450833E-4</v>
      </c>
      <c r="L495" t="s">
        <v>96</v>
      </c>
      <c r="M495">
        <v>638.59588294196556</v>
      </c>
      <c r="N495">
        <v>-75.446961523971225</v>
      </c>
      <c r="O495">
        <v>563.1489214179943</v>
      </c>
      <c r="P495">
        <v>-2.88</v>
      </c>
      <c r="Q495">
        <v>-4.7</v>
      </c>
      <c r="R495">
        <v>0.73641898530264005</v>
      </c>
      <c r="S495" t="s">
        <v>96</v>
      </c>
      <c r="T495">
        <v>-2039.786248145607</v>
      </c>
    </row>
    <row r="496" spans="1:20" x14ac:dyDescent="0.25">
      <c r="A496" s="1" t="s">
        <v>36</v>
      </c>
      <c r="B496">
        <v>2008</v>
      </c>
      <c r="C496">
        <v>3432.8796427153629</v>
      </c>
      <c r="D496">
        <v>3432.8796427153629</v>
      </c>
      <c r="E496" t="s">
        <v>96</v>
      </c>
      <c r="F496">
        <v>0.1861730047060256</v>
      </c>
      <c r="G496">
        <v>-1.574311755364818E-2</v>
      </c>
      <c r="H496">
        <v>0.17042988715237739</v>
      </c>
      <c r="I496">
        <v>3.9034284317060339E-4</v>
      </c>
      <c r="J496">
        <v>6.3503537172530998E-4</v>
      </c>
      <c r="K496">
        <v>2.271380969614238E-4</v>
      </c>
      <c r="L496" t="s">
        <v>96</v>
      </c>
      <c r="M496">
        <v>639.10951787846693</v>
      </c>
      <c r="N496">
        <v>-54.044227762793717</v>
      </c>
      <c r="O496">
        <v>585.06529011567318</v>
      </c>
      <c r="P496">
        <v>1.34</v>
      </c>
      <c r="Q496">
        <v>2.1800000000000002</v>
      </c>
      <c r="R496">
        <v>0.77973774914397997</v>
      </c>
      <c r="S496" t="s">
        <v>96</v>
      </c>
      <c r="T496">
        <v>-2161.0051021711929</v>
      </c>
    </row>
    <row r="497" spans="1:20" x14ac:dyDescent="0.25">
      <c r="A497" s="1" t="s">
        <v>36</v>
      </c>
      <c r="B497">
        <v>2009</v>
      </c>
      <c r="C497">
        <v>3436.757692317909</v>
      </c>
      <c r="D497">
        <v>3436.757692317909</v>
      </c>
      <c r="E497" t="s">
        <v>96</v>
      </c>
      <c r="F497">
        <v>0.1860889197516222</v>
      </c>
      <c r="G497">
        <v>-1.4722135038225011E-2</v>
      </c>
      <c r="H497">
        <v>0.1713667847133972</v>
      </c>
      <c r="I497">
        <v>1.3093736605460221E-4</v>
      </c>
      <c r="J497">
        <v>2.153192241786792E-4</v>
      </c>
      <c r="K497">
        <v>2.3948633760973779E-4</v>
      </c>
      <c r="L497" t="s">
        <v>96</v>
      </c>
      <c r="M497">
        <v>639.54252641151777</v>
      </c>
      <c r="N497">
        <v>-50.5964108399628</v>
      </c>
      <c r="O497">
        <v>588.94611557155497</v>
      </c>
      <c r="P497">
        <v>0.45</v>
      </c>
      <c r="Q497">
        <v>0.74</v>
      </c>
      <c r="R497">
        <v>0.82305651298531002</v>
      </c>
      <c r="S497" t="s">
        <v>96</v>
      </c>
      <c r="T497">
        <v>-2166.850297643512</v>
      </c>
    </row>
    <row r="498" spans="1:20" x14ac:dyDescent="0.25">
      <c r="A498" s="1" t="s">
        <v>36</v>
      </c>
      <c r="B498">
        <v>2010</v>
      </c>
      <c r="C498">
        <v>3440.639133965909</v>
      </c>
      <c r="D498">
        <v>3440.639133965909</v>
      </c>
      <c r="E498" t="s">
        <v>96</v>
      </c>
      <c r="F498">
        <v>0.185882069896212</v>
      </c>
      <c r="G498">
        <v>-1.2129354844736579E-2</v>
      </c>
      <c r="H498">
        <v>0.17375271505147541</v>
      </c>
      <c r="I498">
        <v>2.8483080086064909E-4</v>
      </c>
      <c r="J498">
        <v>4.6502987895616181E-4</v>
      </c>
      <c r="K498">
        <v>2.5180649382081468E-4</v>
      </c>
      <c r="L498" t="s">
        <v>96</v>
      </c>
      <c r="M498">
        <v>639.55312398749334</v>
      </c>
      <c r="N498">
        <v>-41.732732948559658</v>
      </c>
      <c r="O498">
        <v>597.82039103893362</v>
      </c>
      <c r="P498">
        <v>0.98</v>
      </c>
      <c r="Q498">
        <v>1.6</v>
      </c>
      <c r="R498">
        <v>0.86637527682663995</v>
      </c>
      <c r="S498" t="s">
        <v>96</v>
      </c>
      <c r="T498">
        <v>-2204.6448098246551</v>
      </c>
    </row>
    <row r="499" spans="1:20" x14ac:dyDescent="0.25">
      <c r="A499" s="1" t="s">
        <v>36</v>
      </c>
      <c r="B499">
        <v>2011</v>
      </c>
      <c r="C499">
        <v>3444.5223119429088</v>
      </c>
      <c r="D499">
        <v>3444.5223119429088</v>
      </c>
      <c r="E499" t="s">
        <v>96</v>
      </c>
      <c r="F499">
        <v>0.186011314272891</v>
      </c>
      <c r="G499">
        <v>-1.3431677699865609E-2</v>
      </c>
      <c r="H499">
        <v>0.17257963657302541</v>
      </c>
      <c r="I499">
        <v>3.6579818212566239E-4</v>
      </c>
      <c r="J499">
        <v>5.9514783599810145E-4</v>
      </c>
      <c r="K499">
        <v>2.5427966060316732E-4</v>
      </c>
      <c r="L499" t="s">
        <v>96</v>
      </c>
      <c r="M499">
        <v>640.7201222867975</v>
      </c>
      <c r="N499">
        <v>-46.265713524013108</v>
      </c>
      <c r="O499">
        <v>594.4544087627844</v>
      </c>
      <c r="P499">
        <v>1.26</v>
      </c>
      <c r="Q499">
        <v>2.0499999999999998</v>
      </c>
      <c r="R499">
        <v>0.87587196442088</v>
      </c>
      <c r="S499" t="s">
        <v>96</v>
      </c>
      <c r="T499">
        <v>-2195.014362666619</v>
      </c>
    </row>
    <row r="500" spans="1:20" x14ac:dyDescent="0.25">
      <c r="A500" s="1" t="s">
        <v>36</v>
      </c>
      <c r="B500">
        <v>2012</v>
      </c>
      <c r="C500">
        <v>3448.3964172359092</v>
      </c>
      <c r="D500">
        <v>3448.3964172359092</v>
      </c>
      <c r="E500" t="s">
        <v>96</v>
      </c>
      <c r="F500">
        <v>0.18579747130714941</v>
      </c>
      <c r="G500">
        <v>-1.3746194733027579E-2</v>
      </c>
      <c r="H500">
        <v>0.17205127657412181</v>
      </c>
      <c r="I500">
        <v>2.8129016581495921E-4</v>
      </c>
      <c r="J500">
        <v>4.6108388004720123E-4</v>
      </c>
      <c r="K500">
        <v>2.567479329203093E-4</v>
      </c>
      <c r="L500" t="s">
        <v>96</v>
      </c>
      <c r="M500">
        <v>640.70333438706541</v>
      </c>
      <c r="N500">
        <v>-47.402328667999441</v>
      </c>
      <c r="O500">
        <v>593.30100571906598</v>
      </c>
      <c r="P500">
        <v>0.97</v>
      </c>
      <c r="Q500">
        <v>1.59</v>
      </c>
      <c r="R500">
        <v>0.88536865201512005</v>
      </c>
      <c r="S500" t="s">
        <v>96</v>
      </c>
      <c r="T500">
        <v>-2188.0700393608299</v>
      </c>
    </row>
    <row r="501" spans="1:20" x14ac:dyDescent="0.25">
      <c r="A501" s="1" t="s">
        <v>36</v>
      </c>
      <c r="B501">
        <v>2013</v>
      </c>
      <c r="C501">
        <v>3452.273322180909</v>
      </c>
      <c r="D501">
        <v>3452.273322180909</v>
      </c>
      <c r="E501" t="s">
        <v>96</v>
      </c>
      <c r="F501">
        <v>0.18553114465563461</v>
      </c>
      <c r="G501">
        <v>-1.220804224680478E-2</v>
      </c>
      <c r="H501">
        <v>0.17332310240882981</v>
      </c>
      <c r="I501">
        <v>5.9091497387908675E-4</v>
      </c>
      <c r="J501">
        <v>9.6458179559674468E-4</v>
      </c>
      <c r="K501">
        <v>2.5921045528458781E-4</v>
      </c>
      <c r="L501" t="s">
        <v>96</v>
      </c>
      <c r="M501">
        <v>640.50422112833451</v>
      </c>
      <c r="N501">
        <v>-42.145498564701633</v>
      </c>
      <c r="O501">
        <v>598.35872256363291</v>
      </c>
      <c r="P501">
        <v>2.04</v>
      </c>
      <c r="Q501">
        <v>3.33</v>
      </c>
      <c r="R501">
        <v>0.89486533960935</v>
      </c>
      <c r="S501" t="s">
        <v>96</v>
      </c>
      <c r="T501">
        <v>-2216.953155645424</v>
      </c>
    </row>
    <row r="502" spans="1:20" x14ac:dyDescent="0.25">
      <c r="A502" s="1" t="s">
        <v>36</v>
      </c>
      <c r="B502">
        <v>2014</v>
      </c>
      <c r="C502">
        <v>3456.1506955269078</v>
      </c>
      <c r="D502">
        <v>3456.1506955269078</v>
      </c>
      <c r="E502" t="s">
        <v>96</v>
      </c>
      <c r="F502">
        <v>0.18448493668948979</v>
      </c>
      <c r="G502">
        <v>-1.0491374727427869E-2</v>
      </c>
      <c r="H502">
        <v>0.173993561962062</v>
      </c>
      <c r="I502">
        <v>5.5553133215080659E-4</v>
      </c>
      <c r="J502">
        <v>9.0563180710001275E-4</v>
      </c>
      <c r="K502">
        <v>2.6166741756198367E-4</v>
      </c>
      <c r="L502" t="s">
        <v>96</v>
      </c>
      <c r="M502">
        <v>637.60774225361797</v>
      </c>
      <c r="N502">
        <v>-36.259772061233249</v>
      </c>
      <c r="O502">
        <v>601.34797019238476</v>
      </c>
      <c r="P502">
        <v>1.92</v>
      </c>
      <c r="Q502">
        <v>3.13</v>
      </c>
      <c r="R502">
        <v>0.90436202720358005</v>
      </c>
      <c r="S502" t="s">
        <v>96</v>
      </c>
      <c r="T502">
        <v>-2226.7752181386932</v>
      </c>
    </row>
    <row r="503" spans="1:20" x14ac:dyDescent="0.25">
      <c r="A503" s="1" t="s">
        <v>36</v>
      </c>
      <c r="B503">
        <v>2015</v>
      </c>
      <c r="C503">
        <v>3460.0337342059088</v>
      </c>
      <c r="D503">
        <v>3460.0337342059088</v>
      </c>
      <c r="E503" t="s">
        <v>96</v>
      </c>
      <c r="F503">
        <v>0.1829145188745703</v>
      </c>
      <c r="G503">
        <v>-1.086587184107822E-2</v>
      </c>
      <c r="H503">
        <v>0.1720486470334921</v>
      </c>
      <c r="I503">
        <v>6.1849107968051022E-4</v>
      </c>
      <c r="J503">
        <v>1.0086606860210191E-3</v>
      </c>
      <c r="K503">
        <v>2.6411844074333688E-4</v>
      </c>
      <c r="L503" t="s">
        <v>96</v>
      </c>
      <c r="M503">
        <v>632.89040578205663</v>
      </c>
      <c r="N503">
        <v>-37.5962831216887</v>
      </c>
      <c r="O503">
        <v>595.29412266036798</v>
      </c>
      <c r="P503">
        <v>2.14</v>
      </c>
      <c r="Q503">
        <v>3.49</v>
      </c>
      <c r="R503">
        <v>0.91385871479781</v>
      </c>
      <c r="S503" t="s">
        <v>96</v>
      </c>
      <c r="T503">
        <v>-2206.7392650424749</v>
      </c>
    </row>
    <row r="504" spans="1:20" x14ac:dyDescent="0.25">
      <c r="A504" s="1" t="s">
        <v>36</v>
      </c>
      <c r="B504">
        <v>2016</v>
      </c>
      <c r="C504">
        <v>3463.9061425402092</v>
      </c>
      <c r="D504">
        <v>3463.9061425402092</v>
      </c>
      <c r="E504" t="s">
        <v>96</v>
      </c>
      <c r="F504">
        <v>0.18182461882158099</v>
      </c>
      <c r="G504">
        <v>-8.8158611512523088E-3</v>
      </c>
      <c r="H504">
        <v>0.17300875767032861</v>
      </c>
      <c r="I504">
        <v>4.1282873760295621E-4</v>
      </c>
      <c r="J504">
        <v>6.7265102001041121E-4</v>
      </c>
      <c r="K504">
        <v>2.665647868030627E-4</v>
      </c>
      <c r="L504" t="s">
        <v>96</v>
      </c>
      <c r="M504">
        <v>629.82341400110636</v>
      </c>
      <c r="N504">
        <v>-30.537315593604468</v>
      </c>
      <c r="O504">
        <v>599.28609840750187</v>
      </c>
      <c r="P504">
        <v>1.43</v>
      </c>
      <c r="Q504">
        <v>2.33</v>
      </c>
      <c r="R504">
        <v>0.92335540239205005</v>
      </c>
      <c r="S504" t="s">
        <v>96</v>
      </c>
      <c r="T504">
        <v>-2214.5546639698118</v>
      </c>
    </row>
    <row r="505" spans="1:20" x14ac:dyDescent="0.25">
      <c r="A505" s="1" t="s">
        <v>36</v>
      </c>
      <c r="B505">
        <v>2017</v>
      </c>
      <c r="C505">
        <v>3467.786769223454</v>
      </c>
      <c r="D505">
        <v>3467.786769223454</v>
      </c>
      <c r="E505" t="s">
        <v>96</v>
      </c>
      <c r="F505">
        <v>0.17757006518746721</v>
      </c>
      <c r="G505">
        <v>-9.3921648027412534E-3</v>
      </c>
      <c r="H505">
        <v>0.16817790038472599</v>
      </c>
      <c r="I505">
        <v>4.6715675092179001E-4</v>
      </c>
      <c r="J505">
        <v>7.6129248298365784E-4</v>
      </c>
      <c r="K505">
        <v>2.6900503175838998E-4</v>
      </c>
      <c r="L505" t="s">
        <v>96</v>
      </c>
      <c r="M505">
        <v>615.77512266724511</v>
      </c>
      <c r="N505">
        <v>-32.570024837312332</v>
      </c>
      <c r="O505">
        <v>583.20509782993281</v>
      </c>
      <c r="P505">
        <v>1.62</v>
      </c>
      <c r="Q505">
        <v>2.64</v>
      </c>
      <c r="R505">
        <v>0.93285208998628</v>
      </c>
      <c r="S505" t="s">
        <v>96</v>
      </c>
      <c r="T505">
        <v>-2157.4591497065662</v>
      </c>
    </row>
    <row r="506" spans="1:20" x14ac:dyDescent="0.25">
      <c r="A506" s="1" t="s">
        <v>36</v>
      </c>
      <c r="B506">
        <v>2018</v>
      </c>
      <c r="C506">
        <v>3471.6016</v>
      </c>
      <c r="D506">
        <v>3471.6016</v>
      </c>
      <c r="E506" t="s">
        <v>96</v>
      </c>
      <c r="F506">
        <v>0.1761438650418283</v>
      </c>
      <c r="G506">
        <v>-8.610486101571899E-3</v>
      </c>
      <c r="H506">
        <v>0.16753337894025641</v>
      </c>
      <c r="I506">
        <v>5.0697061552224193E-4</v>
      </c>
      <c r="J506">
        <v>8.2670776508456502E-4</v>
      </c>
      <c r="K506">
        <v>2.7144496579922068E-4</v>
      </c>
      <c r="L506" t="s">
        <v>96</v>
      </c>
      <c r="M506">
        <v>611.50132370939514</v>
      </c>
      <c r="N506">
        <v>-29.892177326994769</v>
      </c>
      <c r="O506">
        <v>581.60914638240035</v>
      </c>
      <c r="P506">
        <v>1.76</v>
      </c>
      <c r="Q506">
        <v>2.87</v>
      </c>
      <c r="R506">
        <v>0.94234877758052005</v>
      </c>
      <c r="S506" t="s">
        <v>96</v>
      </c>
      <c r="T506">
        <v>-2152.9988155867918</v>
      </c>
    </row>
    <row r="507" spans="1:20" x14ac:dyDescent="0.25">
      <c r="A507" s="1" t="s">
        <v>36</v>
      </c>
      <c r="B507">
        <v>2019</v>
      </c>
      <c r="C507">
        <v>3475.5666999999999</v>
      </c>
      <c r="D507">
        <v>3475.5666999999999</v>
      </c>
      <c r="E507" t="s">
        <v>96</v>
      </c>
      <c r="F507">
        <v>0.18132572419113141</v>
      </c>
      <c r="G507">
        <v>-4.6618889936744842E-3</v>
      </c>
      <c r="H507">
        <v>0.17666383519745679</v>
      </c>
      <c r="I507">
        <v>4.4884766561953773E-4</v>
      </c>
      <c r="J507">
        <v>7.33693299570398E-4</v>
      </c>
      <c r="K507">
        <v>2.7386770197066282E-4</v>
      </c>
      <c r="L507" t="s">
        <v>96</v>
      </c>
      <c r="M507">
        <v>630.20964885208059</v>
      </c>
      <c r="N507">
        <v>-16.202706145511549</v>
      </c>
      <c r="O507">
        <v>614.00694270656902</v>
      </c>
      <c r="P507">
        <v>1.56</v>
      </c>
      <c r="Q507">
        <v>2.5499999999999998</v>
      </c>
      <c r="R507">
        <v>0.95184546517475999</v>
      </c>
      <c r="S507" t="s">
        <v>96</v>
      </c>
      <c r="T507">
        <v>-2269.9188899632659</v>
      </c>
    </row>
    <row r="508" spans="1:20" x14ac:dyDescent="0.25">
      <c r="A508" s="1" t="s">
        <v>36</v>
      </c>
      <c r="B508">
        <v>2020</v>
      </c>
      <c r="C508">
        <v>3479.339989279204</v>
      </c>
      <c r="D508">
        <v>3479.339989279204</v>
      </c>
      <c r="E508" t="s">
        <v>96</v>
      </c>
      <c r="F508">
        <v>0.17998797894550631</v>
      </c>
      <c r="G508">
        <v>-4.0258679052484984E-3</v>
      </c>
      <c r="H508">
        <v>0.1759621110402578</v>
      </c>
      <c r="I508">
        <v>4.1387159761248761E-4</v>
      </c>
      <c r="J508">
        <v>6.7541545443704589E-4</v>
      </c>
      <c r="K508">
        <v>2.7630014765189591E-4</v>
      </c>
      <c r="L508" t="s">
        <v>96</v>
      </c>
      <c r="M508">
        <v>626.23937273464355</v>
      </c>
      <c r="N508">
        <v>-14.0073631942868</v>
      </c>
      <c r="O508">
        <v>612.23200954035678</v>
      </c>
      <c r="P508">
        <v>1.44</v>
      </c>
      <c r="Q508">
        <v>2.35</v>
      </c>
      <c r="R508">
        <v>0.96134215276899004</v>
      </c>
      <c r="S508" t="s">
        <v>96</v>
      </c>
      <c r="T508">
        <v>-2262.2722895416669</v>
      </c>
    </row>
    <row r="509" spans="1:20" x14ac:dyDescent="0.25">
      <c r="A509" s="1" t="s">
        <v>36</v>
      </c>
      <c r="B509">
        <v>2021</v>
      </c>
      <c r="C509">
        <v>3484.2638831847862</v>
      </c>
      <c r="D509">
        <v>3484.2638831847862</v>
      </c>
      <c r="E509" t="s">
        <v>96</v>
      </c>
      <c r="F509">
        <v>0.17363731848439901</v>
      </c>
      <c r="G509">
        <v>-3.6605267714583589E-3</v>
      </c>
      <c r="H509">
        <v>0.16997679171294069</v>
      </c>
      <c r="I509">
        <v>-6.4576050363423989E-4</v>
      </c>
      <c r="J509">
        <v>-1.053307132594516E-3</v>
      </c>
      <c r="K509">
        <v>2.7863527933363831E-4</v>
      </c>
      <c r="L509" t="s">
        <v>96</v>
      </c>
      <c r="M509">
        <v>604.9982375682456</v>
      </c>
      <c r="N509">
        <v>-12.754241223223371</v>
      </c>
      <c r="O509">
        <v>592.2439963450222</v>
      </c>
      <c r="P509">
        <v>-2.25</v>
      </c>
      <c r="Q509">
        <v>-3.67</v>
      </c>
      <c r="R509">
        <v>0.97083884036330004</v>
      </c>
      <c r="S509" t="s">
        <v>96</v>
      </c>
      <c r="T509">
        <v>-2153.414395679943</v>
      </c>
    </row>
    <row r="510" spans="1:20" x14ac:dyDescent="0.25">
      <c r="A510" s="1" t="s">
        <v>36</v>
      </c>
      <c r="B510">
        <v>2022</v>
      </c>
      <c r="C510">
        <v>3490.966199756288</v>
      </c>
      <c r="D510">
        <v>3490.966199756288</v>
      </c>
      <c r="E510" t="s">
        <v>96</v>
      </c>
      <c r="F510">
        <v>0.17475472170252249</v>
      </c>
      <c r="G510">
        <v>-3.3369663164049528E-3</v>
      </c>
      <c r="H510">
        <v>0.17141775538611759</v>
      </c>
      <c r="I510">
        <v>-2.9791179303672558E-4</v>
      </c>
      <c r="J510">
        <v>-4.8410666368467909E-4</v>
      </c>
      <c r="K510">
        <v>2.8082068741486221E-4</v>
      </c>
      <c r="L510" t="s">
        <v>96</v>
      </c>
      <c r="M510">
        <v>610.06282671132294</v>
      </c>
      <c r="N510">
        <v>-11.649236620294939</v>
      </c>
      <c r="O510">
        <v>598.41359009102803</v>
      </c>
      <c r="P510">
        <v>-1.04</v>
      </c>
      <c r="Q510">
        <v>-1.69</v>
      </c>
      <c r="R510">
        <v>0.98033552795761003</v>
      </c>
      <c r="S510" t="s">
        <v>96</v>
      </c>
      <c r="T510">
        <v>-2187.7677272698129</v>
      </c>
    </row>
    <row r="511" spans="1:20" x14ac:dyDescent="0.25">
      <c r="A511" s="1" t="s">
        <v>36</v>
      </c>
      <c r="B511">
        <v>2023</v>
      </c>
      <c r="C511">
        <v>3495.121238292385</v>
      </c>
      <c r="D511">
        <v>3495.121238292385</v>
      </c>
      <c r="E511" t="s">
        <v>96</v>
      </c>
      <c r="F511">
        <v>0.14351242838467451</v>
      </c>
      <c r="G511">
        <v>-2.4178917106434271E-3</v>
      </c>
      <c r="H511">
        <v>0.1410945366740311</v>
      </c>
      <c r="I511">
        <v>-2.9841597154712141E-3</v>
      </c>
      <c r="J511">
        <v>-4.8696450965791047E-3</v>
      </c>
      <c r="K511">
        <v>1.6306494437007019E-4</v>
      </c>
      <c r="L511" t="s">
        <v>96</v>
      </c>
      <c r="M511">
        <v>501.5933364061907</v>
      </c>
      <c r="N511">
        <v>-8.4508246697609462</v>
      </c>
      <c r="O511">
        <v>493.14251173642981</v>
      </c>
      <c r="P511">
        <v>-10.43</v>
      </c>
      <c r="Q511">
        <v>-17.02</v>
      </c>
      <c r="R511">
        <v>0.56993175028879872</v>
      </c>
      <c r="S511" t="s">
        <v>96</v>
      </c>
      <c r="T511">
        <v>-1709.6289594514569</v>
      </c>
    </row>
    <row r="512" spans="1:20" x14ac:dyDescent="0.25">
      <c r="A512" s="1" t="s">
        <v>37</v>
      </c>
      <c r="B512">
        <v>1990</v>
      </c>
      <c r="C512">
        <v>2361.707071704001</v>
      </c>
      <c r="D512">
        <v>2361.707071704001</v>
      </c>
      <c r="E512" t="s">
        <v>96</v>
      </c>
      <c r="F512">
        <v>1.5235478717327811</v>
      </c>
      <c r="G512">
        <v>-0.77140415450235156</v>
      </c>
      <c r="H512">
        <v>0.75214371723042972</v>
      </c>
      <c r="I512">
        <v>1.6818208963272129E-5</v>
      </c>
      <c r="J512">
        <v>3.4287030076754992E-4</v>
      </c>
      <c r="K512">
        <v>-4.4190504847283803E-4</v>
      </c>
      <c r="L512" t="s">
        <v>96</v>
      </c>
      <c r="M512">
        <v>3598.1737827508891</v>
      </c>
      <c r="N512">
        <v>-1821.8306468300491</v>
      </c>
      <c r="O512">
        <v>1776.34313592084</v>
      </c>
      <c r="P512">
        <v>3.9719683041955403E-2</v>
      </c>
      <c r="Q512">
        <v>0.80975921400000028</v>
      </c>
      <c r="R512">
        <v>-1.043650278000001</v>
      </c>
      <c r="S512" t="s">
        <v>96</v>
      </c>
      <c r="T512">
        <v>-6512.5462033134927</v>
      </c>
    </row>
    <row r="513" spans="1:20" x14ac:dyDescent="0.25">
      <c r="A513" s="1" t="s">
        <v>37</v>
      </c>
      <c r="B513">
        <v>1991</v>
      </c>
      <c r="C513">
        <v>2361.920421704001</v>
      </c>
      <c r="D513">
        <v>2361.920421704001</v>
      </c>
      <c r="E513" t="s">
        <v>96</v>
      </c>
      <c r="F513">
        <v>1.537700047107166</v>
      </c>
      <c r="G513">
        <v>-0.58993063702704573</v>
      </c>
      <c r="H513">
        <v>0.94776941008012006</v>
      </c>
      <c r="I513">
        <v>1.7298896288198031E-5</v>
      </c>
      <c r="J513">
        <v>3.4543533960868091E-4</v>
      </c>
      <c r="K513">
        <v>-4.4521097380637438E-4</v>
      </c>
      <c r="L513" t="s">
        <v>96</v>
      </c>
      <c r="M513">
        <v>3631.925143717619</v>
      </c>
      <c r="N513">
        <v>-1393.3692189830299</v>
      </c>
      <c r="O513">
        <v>2238.5559247345891</v>
      </c>
      <c r="P513">
        <v>4.0858616416034471E-2</v>
      </c>
      <c r="Q513">
        <v>0.81589078300000029</v>
      </c>
      <c r="R513">
        <v>-1.051552891</v>
      </c>
      <c r="S513" t="s">
        <v>96</v>
      </c>
      <c r="T513">
        <v>-8207.3241112250998</v>
      </c>
    </row>
    <row r="514" spans="1:20" x14ac:dyDescent="0.25">
      <c r="A514" s="1" t="s">
        <v>37</v>
      </c>
      <c r="B514">
        <v>1992</v>
      </c>
      <c r="C514">
        <v>2362.0830117040009</v>
      </c>
      <c r="D514">
        <v>2362.0830117040009</v>
      </c>
      <c r="E514" t="s">
        <v>96</v>
      </c>
      <c r="F514">
        <v>1.5518287210139889</v>
      </c>
      <c r="G514">
        <v>-0.56629696162339294</v>
      </c>
      <c r="H514">
        <v>0.98553175939059567</v>
      </c>
      <c r="I514">
        <v>1.688479050631836E-5</v>
      </c>
      <c r="J514">
        <v>3.4309704103725058E-4</v>
      </c>
      <c r="K514">
        <v>-4.4219728046157689E-4</v>
      </c>
      <c r="L514" t="s">
        <v>96</v>
      </c>
      <c r="M514">
        <v>3665.5482589814901</v>
      </c>
      <c r="N514">
        <v>-1337.640432630209</v>
      </c>
      <c r="O514">
        <v>2327.9078263512811</v>
      </c>
      <c r="P514">
        <v>3.9883276811155589E-2</v>
      </c>
      <c r="Q514">
        <v>0.8104236920000002</v>
      </c>
      <c r="R514">
        <v>-1.0445066839999999</v>
      </c>
      <c r="S514" t="s">
        <v>96</v>
      </c>
      <c r="T514">
        <v>-8534.9499643331128</v>
      </c>
    </row>
    <row r="515" spans="1:20" x14ac:dyDescent="0.25">
      <c r="A515" s="1" t="s">
        <v>37</v>
      </c>
      <c r="B515">
        <v>1993</v>
      </c>
      <c r="C515">
        <v>2362.3810017040009</v>
      </c>
      <c r="D515">
        <v>2362.3810017040009</v>
      </c>
      <c r="E515" t="s">
        <v>96</v>
      </c>
      <c r="F515">
        <v>1.566004974131618</v>
      </c>
      <c r="G515">
        <v>-0.55075323892140438</v>
      </c>
      <c r="H515">
        <v>1.0152517352102139</v>
      </c>
      <c r="I515">
        <v>1.755982734031623E-5</v>
      </c>
      <c r="J515">
        <v>3.5383602407785338E-4</v>
      </c>
      <c r="K515">
        <v>-4.5603811418349152E-4</v>
      </c>
      <c r="L515" t="s">
        <v>96</v>
      </c>
      <c r="M515">
        <v>3699.5003994624999</v>
      </c>
      <c r="N515">
        <v>-1301.0889882548699</v>
      </c>
      <c r="O515">
        <v>2398.41141120763</v>
      </c>
      <c r="P515">
        <v>4.1483002501965557E-2</v>
      </c>
      <c r="Q515">
        <v>0.83589550100000021</v>
      </c>
      <c r="R515">
        <v>-1.077335777</v>
      </c>
      <c r="S515" t="s">
        <v>96</v>
      </c>
      <c r="T515">
        <v>-8793.4419977592843</v>
      </c>
    </row>
    <row r="516" spans="1:20" x14ac:dyDescent="0.25">
      <c r="A516" s="1" t="s">
        <v>37</v>
      </c>
      <c r="B516">
        <v>1994</v>
      </c>
      <c r="C516">
        <v>2362.5803417040011</v>
      </c>
      <c r="D516">
        <v>2362.5803417040011</v>
      </c>
      <c r="E516" t="s">
        <v>96</v>
      </c>
      <c r="F516">
        <v>1.5801595098675121</v>
      </c>
      <c r="G516">
        <v>-0.58714039484073688</v>
      </c>
      <c r="H516">
        <v>0.99301911502677498</v>
      </c>
      <c r="I516">
        <v>1.7696834235735269E-5</v>
      </c>
      <c r="J516">
        <v>3.6078270226578879E-4</v>
      </c>
      <c r="K516">
        <v>-4.649912727233033E-4</v>
      </c>
      <c r="L516" t="s">
        <v>96</v>
      </c>
      <c r="M516">
        <v>3733.2537947696128</v>
      </c>
      <c r="N516">
        <v>-1387.1663546710499</v>
      </c>
      <c r="O516">
        <v>2346.0874400985631</v>
      </c>
      <c r="P516">
        <v>4.1810192675742507E-2</v>
      </c>
      <c r="Q516">
        <v>0.85237812000000013</v>
      </c>
      <c r="R516">
        <v>-1.0985792400000001</v>
      </c>
      <c r="S516" t="s">
        <v>96</v>
      </c>
      <c r="T516">
        <v>-8601.5711802953228</v>
      </c>
    </row>
    <row r="517" spans="1:20" x14ac:dyDescent="0.25">
      <c r="A517" s="1" t="s">
        <v>37</v>
      </c>
      <c r="B517">
        <v>1995</v>
      </c>
      <c r="C517">
        <v>2362.8089117040008</v>
      </c>
      <c r="D517">
        <v>2362.8089117040008</v>
      </c>
      <c r="E517" t="s">
        <v>96</v>
      </c>
      <c r="F517">
        <v>1.594312898968449</v>
      </c>
      <c r="G517">
        <v>-0.55392039197091936</v>
      </c>
      <c r="H517">
        <v>1.0403925069975299</v>
      </c>
      <c r="I517">
        <v>1.7858714468195019E-5</v>
      </c>
      <c r="J517">
        <v>3.6510580255847238E-4</v>
      </c>
      <c r="K517">
        <v>-4.7056305843969418E-4</v>
      </c>
      <c r="L517" t="s">
        <v>96</v>
      </c>
      <c r="M517">
        <v>3767.0567257272928</v>
      </c>
      <c r="N517">
        <v>-1308.8080385234621</v>
      </c>
      <c r="O517">
        <v>2458.2486872038312</v>
      </c>
      <c r="P517">
        <v>4.2196729697028361E-2</v>
      </c>
      <c r="Q517">
        <v>0.86267524399999995</v>
      </c>
      <c r="R517">
        <v>-1.111850588</v>
      </c>
      <c r="S517" t="s">
        <v>96</v>
      </c>
      <c r="T517">
        <v>-9012.8195981624231</v>
      </c>
    </row>
    <row r="518" spans="1:20" x14ac:dyDescent="0.25">
      <c r="A518" s="1" t="s">
        <v>37</v>
      </c>
      <c r="B518">
        <v>1996</v>
      </c>
      <c r="C518">
        <v>2363.096401704001</v>
      </c>
      <c r="D518">
        <v>2363.096401704001</v>
      </c>
      <c r="E518" t="s">
        <v>96</v>
      </c>
      <c r="F518">
        <v>1.608483751908879</v>
      </c>
      <c r="G518">
        <v>-0.59142565617982434</v>
      </c>
      <c r="H518">
        <v>1.0170580957290549</v>
      </c>
      <c r="I518">
        <v>1.83875882088042E-5</v>
      </c>
      <c r="J518">
        <v>3.7482508219355661E-4</v>
      </c>
      <c r="K518">
        <v>-4.8308965735668462E-4</v>
      </c>
      <c r="L518" t="s">
        <v>96</v>
      </c>
      <c r="M518">
        <v>3801.0021663352231</v>
      </c>
      <c r="N518">
        <v>-1397.59583999397</v>
      </c>
      <c r="O518">
        <v>2403.4063263412531</v>
      </c>
      <c r="P518">
        <v>4.3451643532240111E-2</v>
      </c>
      <c r="Q518">
        <v>0.885747803</v>
      </c>
      <c r="R518">
        <v>-1.141587431</v>
      </c>
      <c r="S518" t="s">
        <v>96</v>
      </c>
      <c r="T518">
        <v>-8811.7111073090109</v>
      </c>
    </row>
    <row r="519" spans="1:20" x14ac:dyDescent="0.25">
      <c r="A519" s="1" t="s">
        <v>37</v>
      </c>
      <c r="B519">
        <v>1997</v>
      </c>
      <c r="C519">
        <v>2363.214111704001</v>
      </c>
      <c r="D519">
        <v>2363.214111704001</v>
      </c>
      <c r="E519" t="s">
        <v>96</v>
      </c>
      <c r="F519">
        <v>1.623880261185735</v>
      </c>
      <c r="G519">
        <v>-0.66186388860350176</v>
      </c>
      <c r="H519">
        <v>0.96201637258223371</v>
      </c>
      <c r="I519">
        <v>1.8890242433025149E-5</v>
      </c>
      <c r="J519">
        <v>3.7574372867963811E-4</v>
      </c>
      <c r="K519">
        <v>-4.8427364593502602E-4</v>
      </c>
      <c r="L519" t="s">
        <v>96</v>
      </c>
      <c r="M519">
        <v>3837.5767489517079</v>
      </c>
      <c r="N519">
        <v>-1564.12608157508</v>
      </c>
      <c r="O519">
        <v>2273.4506673766282</v>
      </c>
      <c r="P519">
        <v>4.4641687491234747E-2</v>
      </c>
      <c r="Q519">
        <v>0.88796288199999995</v>
      </c>
      <c r="R519">
        <v>-1.144442314</v>
      </c>
      <c r="S519" t="s">
        <v>96</v>
      </c>
      <c r="T519">
        <v>-8335.2090419851957</v>
      </c>
    </row>
    <row r="520" spans="1:20" x14ac:dyDescent="0.25">
      <c r="A520" s="1" t="s">
        <v>37</v>
      </c>
      <c r="B520">
        <v>1998</v>
      </c>
      <c r="C520">
        <v>2363.3695617040012</v>
      </c>
      <c r="D520">
        <v>2363.3695617040012</v>
      </c>
      <c r="E520" t="s">
        <v>96</v>
      </c>
      <c r="F520">
        <v>1.6392337941795541</v>
      </c>
      <c r="G520">
        <v>-0.67224591523894572</v>
      </c>
      <c r="H520">
        <v>0.96698787894060834</v>
      </c>
      <c r="I520">
        <v>1.9415197913950141E-5</v>
      </c>
      <c r="J520">
        <v>3.828440442245624E-4</v>
      </c>
      <c r="K520">
        <v>-4.9342481848636171E-4</v>
      </c>
      <c r="L520" t="s">
        <v>96</v>
      </c>
      <c r="M520">
        <v>3874.1152536805189</v>
      </c>
      <c r="N520">
        <v>-1588.7655340555721</v>
      </c>
      <c r="O520">
        <v>2285.3497196249468</v>
      </c>
      <c r="P520">
        <v>4.588528778428877E-2</v>
      </c>
      <c r="Q520">
        <v>0.90480196099999111</v>
      </c>
      <c r="R520">
        <v>-1.166145196999989</v>
      </c>
      <c r="S520" t="s">
        <v>96</v>
      </c>
      <c r="T520">
        <v>-8378.825626148775</v>
      </c>
    </row>
    <row r="521" spans="1:20" x14ac:dyDescent="0.25">
      <c r="A521" s="1" t="s">
        <v>37</v>
      </c>
      <c r="B521">
        <v>1999</v>
      </c>
      <c r="C521">
        <v>2363.6688817040008</v>
      </c>
      <c r="D521">
        <v>2363.6688817040008</v>
      </c>
      <c r="E521" t="s">
        <v>96</v>
      </c>
      <c r="F521">
        <v>1.654600324465</v>
      </c>
      <c r="G521">
        <v>-0.66716231882371813</v>
      </c>
      <c r="H521">
        <v>0.98743800564128181</v>
      </c>
      <c r="I521">
        <v>1.9391506537189029E-5</v>
      </c>
      <c r="J521">
        <v>3.9683558778494512E-4</v>
      </c>
      <c r="K521">
        <v>-5.114576831626535E-4</v>
      </c>
      <c r="L521" t="s">
        <v>96</v>
      </c>
      <c r="M521">
        <v>3910.927298595263</v>
      </c>
      <c r="N521">
        <v>-1576.9508120491059</v>
      </c>
      <c r="O521">
        <v>2333.976486546158</v>
      </c>
      <c r="P521">
        <v>4.5835100571313417E-2</v>
      </c>
      <c r="Q521">
        <v>0.93798792999999092</v>
      </c>
      <c r="R521">
        <v>-1.208916609999988</v>
      </c>
      <c r="S521" t="s">
        <v>96</v>
      </c>
      <c r="T521">
        <v>-8557.0884408787842</v>
      </c>
    </row>
    <row r="522" spans="1:20" x14ac:dyDescent="0.25">
      <c r="A522" s="1" t="s">
        <v>37</v>
      </c>
      <c r="B522">
        <v>2000</v>
      </c>
      <c r="C522">
        <v>2363.7445000000012</v>
      </c>
      <c r="D522">
        <v>2363.7445000000012</v>
      </c>
      <c r="E522" t="s">
        <v>96</v>
      </c>
      <c r="F522">
        <v>1.669931335659774</v>
      </c>
      <c r="G522">
        <v>-0.70630879449191619</v>
      </c>
      <c r="H522">
        <v>0.96362254116785784</v>
      </c>
      <c r="I522">
        <v>2.0390668594625071E-5</v>
      </c>
      <c r="J522">
        <v>4.023672266609148E-4</v>
      </c>
      <c r="K522">
        <v>-5.185870820640675E-4</v>
      </c>
      <c r="L522" t="s">
        <v>96</v>
      </c>
      <c r="M522">
        <v>3947.291010043446</v>
      </c>
      <c r="N522">
        <v>-1669.533528281898</v>
      </c>
      <c r="O522">
        <v>2277.7574817615482</v>
      </c>
      <c r="P522">
        <v>4.8198330741867773E-2</v>
      </c>
      <c r="Q522">
        <v>0.95109331899999106</v>
      </c>
      <c r="R522">
        <v>-1.225807362999989</v>
      </c>
      <c r="S522" t="s">
        <v>96</v>
      </c>
      <c r="T522">
        <v>-8350.9468755111557</v>
      </c>
    </row>
    <row r="523" spans="1:20" x14ac:dyDescent="0.25">
      <c r="A523" s="1" t="s">
        <v>37</v>
      </c>
      <c r="B523">
        <v>2001</v>
      </c>
      <c r="C523">
        <v>2363.64392</v>
      </c>
      <c r="D523">
        <v>2363.64392</v>
      </c>
      <c r="E523" t="s">
        <v>96</v>
      </c>
      <c r="F523">
        <v>1.68545534134854</v>
      </c>
      <c r="G523">
        <v>-0.71325277726464109</v>
      </c>
      <c r="H523">
        <v>0.97220256408389893</v>
      </c>
      <c r="I523">
        <v>2.077247610032064E-5</v>
      </c>
      <c r="J523">
        <v>4.088840454445401E-4</v>
      </c>
      <c r="K523">
        <v>-5.269862204963548E-4</v>
      </c>
      <c r="L523" t="s">
        <v>96</v>
      </c>
      <c r="M523">
        <v>3983.816270010002</v>
      </c>
      <c r="N523">
        <v>-1685.875590404683</v>
      </c>
      <c r="O523">
        <v>2297.940679605319</v>
      </c>
      <c r="P523">
        <v>4.9098736837868202E-2</v>
      </c>
      <c r="Q523">
        <v>0.96645628799999106</v>
      </c>
      <c r="R523">
        <v>-1.2456077759999891</v>
      </c>
      <c r="S523" t="s">
        <v>96</v>
      </c>
      <c r="T523">
        <v>-8424.9389651326728</v>
      </c>
    </row>
    <row r="524" spans="1:20" x14ac:dyDescent="0.25">
      <c r="A524" s="1" t="s">
        <v>37</v>
      </c>
      <c r="B524">
        <v>2002</v>
      </c>
      <c r="C524">
        <v>2363.7158483320009</v>
      </c>
      <c r="D524">
        <v>2363.7158483320009</v>
      </c>
      <c r="E524" t="s">
        <v>96</v>
      </c>
      <c r="F524">
        <v>1.7008313796599139</v>
      </c>
      <c r="G524">
        <v>-0.71008289775546607</v>
      </c>
      <c r="H524">
        <v>0.99074848190444775</v>
      </c>
      <c r="I524">
        <v>2.2124888027292949E-5</v>
      </c>
      <c r="J524">
        <v>4.1978504637103152E-4</v>
      </c>
      <c r="K524">
        <v>-5.4103586939286124E-4</v>
      </c>
      <c r="L524" t="s">
        <v>96</v>
      </c>
      <c r="M524">
        <v>4020.2820874425211</v>
      </c>
      <c r="N524">
        <v>-1678.434199054107</v>
      </c>
      <c r="O524">
        <v>2341.847888388414</v>
      </c>
      <c r="P524">
        <v>5.2296948472683277E-2</v>
      </c>
      <c r="Q524">
        <v>0.99225256699999098</v>
      </c>
      <c r="R524">
        <v>-1.278855058999989</v>
      </c>
      <c r="S524" t="s">
        <v>96</v>
      </c>
      <c r="T524">
        <v>-8585.9164704320301</v>
      </c>
    </row>
    <row r="525" spans="1:20" x14ac:dyDescent="0.25">
      <c r="A525" s="1" t="s">
        <v>37</v>
      </c>
      <c r="B525">
        <v>2003</v>
      </c>
      <c r="C525">
        <v>2363.9045700000011</v>
      </c>
      <c r="D525">
        <v>2363.9045700000011</v>
      </c>
      <c r="E525" t="s">
        <v>96</v>
      </c>
      <c r="F525">
        <v>1.7161947617933799</v>
      </c>
      <c r="G525">
        <v>-0.75070630313925113</v>
      </c>
      <c r="H525">
        <v>0.96548845865412847</v>
      </c>
      <c r="I525">
        <v>2.267585144399975E-5</v>
      </c>
      <c r="J525">
        <v>4.2919306896470121E-4</v>
      </c>
      <c r="K525">
        <v>-5.5316129811736764E-4</v>
      </c>
      <c r="L525" t="s">
        <v>96</v>
      </c>
      <c r="M525">
        <v>4056.920640413432</v>
      </c>
      <c r="N525">
        <v>-1774.5980607186821</v>
      </c>
      <c r="O525">
        <v>2282.3225796947509</v>
      </c>
      <c r="P525">
        <v>5.3603548857112132E-2</v>
      </c>
      <c r="Q525">
        <v>1.014571457137982</v>
      </c>
      <c r="R525">
        <v>-1.3076205205667779</v>
      </c>
      <c r="S525" t="s">
        <v>96</v>
      </c>
      <c r="T525">
        <v>-8367.6381586614189</v>
      </c>
    </row>
    <row r="526" spans="1:20" x14ac:dyDescent="0.25">
      <c r="A526" s="1" t="s">
        <v>37</v>
      </c>
      <c r="B526">
        <v>2004</v>
      </c>
      <c r="C526">
        <v>2364.208340000001</v>
      </c>
      <c r="D526">
        <v>2364.208340000001</v>
      </c>
      <c r="E526" t="s">
        <v>96</v>
      </c>
      <c r="F526">
        <v>1.7318218572059021</v>
      </c>
      <c r="G526">
        <v>-0.78243674439199273</v>
      </c>
      <c r="H526">
        <v>0.94938511281390903</v>
      </c>
      <c r="I526">
        <v>3.3789433368593382E-5</v>
      </c>
      <c r="J526">
        <v>4.7406011863488392E-4</v>
      </c>
      <c r="K526">
        <v>-5.9634786412692334E-4</v>
      </c>
      <c r="L526" t="s">
        <v>96</v>
      </c>
      <c r="M526">
        <v>4094.3876782004841</v>
      </c>
      <c r="N526">
        <v>-1849.8434766139981</v>
      </c>
      <c r="O526">
        <v>2244.544201586486</v>
      </c>
      <c r="P526">
        <v>7.9885260173902781E-2</v>
      </c>
      <c r="Q526">
        <v>1.120776886137983</v>
      </c>
      <c r="R526">
        <v>-1.4098905939100601</v>
      </c>
      <c r="S526" t="s">
        <v>96</v>
      </c>
      <c r="T526">
        <v>-8229.2282348433364</v>
      </c>
    </row>
    <row r="527" spans="1:20" x14ac:dyDescent="0.25">
      <c r="A527" s="1" t="s">
        <v>37</v>
      </c>
      <c r="B527">
        <v>2005</v>
      </c>
      <c r="C527">
        <v>2366.8891700000008</v>
      </c>
      <c r="D527">
        <v>2366.8891700000008</v>
      </c>
      <c r="E527" t="s">
        <v>96</v>
      </c>
      <c r="F527">
        <v>1.7459546897390099</v>
      </c>
      <c r="G527">
        <v>-0.78451885845142721</v>
      </c>
      <c r="H527">
        <v>0.96143583128758259</v>
      </c>
      <c r="I527">
        <v>4.3187213808595101E-5</v>
      </c>
      <c r="J527">
        <v>7.4954267298369044E-4</v>
      </c>
      <c r="K527">
        <v>-9.2402083969785271E-4</v>
      </c>
      <c r="L527" t="s">
        <v>96</v>
      </c>
      <c r="M527">
        <v>4132.4812464539737</v>
      </c>
      <c r="N527">
        <v>-1856.869189729447</v>
      </c>
      <c r="O527">
        <v>2275.6120567245271</v>
      </c>
      <c r="P527">
        <v>0.1022193486460382</v>
      </c>
      <c r="Q527">
        <v>1.774084435137949</v>
      </c>
      <c r="R527">
        <v>-2.187054918335154</v>
      </c>
      <c r="S527" t="s">
        <v>96</v>
      </c>
      <c r="T527">
        <v>-8342.77145383067</v>
      </c>
    </row>
    <row r="528" spans="1:20" x14ac:dyDescent="0.25">
      <c r="A528" s="1" t="s">
        <v>37</v>
      </c>
      <c r="B528">
        <v>2006</v>
      </c>
      <c r="C528">
        <v>2369.409380000001</v>
      </c>
      <c r="D528">
        <v>2369.409380000001</v>
      </c>
      <c r="E528" t="s">
        <v>96</v>
      </c>
      <c r="F528">
        <v>1.7601831089444639</v>
      </c>
      <c r="G528">
        <v>-0.8101183011254347</v>
      </c>
      <c r="H528">
        <v>0.95006480781902902</v>
      </c>
      <c r="I528">
        <v>5.1886553651175237E-5</v>
      </c>
      <c r="J528">
        <v>1.007772208675029E-3</v>
      </c>
      <c r="K528">
        <v>-1.2281535109917739E-3</v>
      </c>
      <c r="L528" t="s">
        <v>96</v>
      </c>
      <c r="M528">
        <v>4170.5943688505758</v>
      </c>
      <c r="N528">
        <v>-1919.50190159627</v>
      </c>
      <c r="O528">
        <v>2251.092467254306</v>
      </c>
      <c r="P528">
        <v>0.12294048691696791</v>
      </c>
      <c r="Q528">
        <v>2.387824924137933</v>
      </c>
      <c r="R528">
        <v>-2.9099984490238451</v>
      </c>
      <c r="S528" t="s">
        <v>96</v>
      </c>
      <c r="T528">
        <v>-8252.5418587939839</v>
      </c>
    </row>
    <row r="529" spans="1:20" x14ac:dyDescent="0.25">
      <c r="A529" s="1" t="s">
        <v>37</v>
      </c>
      <c r="B529">
        <v>2007</v>
      </c>
      <c r="C529">
        <v>2373.1467900000021</v>
      </c>
      <c r="D529">
        <v>2373.1467900000021</v>
      </c>
      <c r="E529" t="s">
        <v>96</v>
      </c>
      <c r="F529">
        <v>1.752120613909693</v>
      </c>
      <c r="G529">
        <v>-0.86291033225746294</v>
      </c>
      <c r="H529">
        <v>0.88921028165223048</v>
      </c>
      <c r="I529">
        <v>6.4422460675841076E-5</v>
      </c>
      <c r="J529">
        <v>1.3697639740767971E-3</v>
      </c>
      <c r="K529">
        <v>-1.6576178919670149E-3</v>
      </c>
      <c r="L529" t="s">
        <v>96</v>
      </c>
      <c r="M529">
        <v>4158.0394105926207</v>
      </c>
      <c r="N529">
        <v>-2047.8128850546329</v>
      </c>
      <c r="O529">
        <v>2110.226525537988</v>
      </c>
      <c r="P529">
        <v>0.1528839557567736</v>
      </c>
      <c r="Q529">
        <v>3.2506509781379962</v>
      </c>
      <c r="R529">
        <v>-3.9337705793680908</v>
      </c>
      <c r="S529" t="s">
        <v>96</v>
      </c>
      <c r="T529">
        <v>-7735.5530629399227</v>
      </c>
    </row>
    <row r="530" spans="1:20" x14ac:dyDescent="0.25">
      <c r="A530" s="1" t="s">
        <v>37</v>
      </c>
      <c r="B530">
        <v>2008</v>
      </c>
      <c r="C530">
        <v>2374.5712300000009</v>
      </c>
      <c r="D530">
        <v>2374.5712300000009</v>
      </c>
      <c r="E530" t="s">
        <v>96</v>
      </c>
      <c r="F530">
        <v>1.7459557278007229</v>
      </c>
      <c r="G530">
        <v>-0.86856326649804261</v>
      </c>
      <c r="H530">
        <v>0.87739246130268045</v>
      </c>
      <c r="I530">
        <v>8.6418276914633624E-5</v>
      </c>
      <c r="J530">
        <v>1.527475251663883E-3</v>
      </c>
      <c r="K530">
        <v>-1.823260042684086E-3</v>
      </c>
      <c r="L530" t="s">
        <v>96</v>
      </c>
      <c r="M530">
        <v>4145.8962400893106</v>
      </c>
      <c r="N530">
        <v>-2062.4653440610759</v>
      </c>
      <c r="O530">
        <v>2083.4308960282351</v>
      </c>
      <c r="P530">
        <v>0.2052063541076623</v>
      </c>
      <c r="Q530">
        <v>3.6270987871380691</v>
      </c>
      <c r="R530">
        <v>-4.3294608421662044</v>
      </c>
      <c r="S530" t="s">
        <v>96</v>
      </c>
      <c r="T530">
        <v>-7637.4237145341804</v>
      </c>
    </row>
    <row r="531" spans="1:20" x14ac:dyDescent="0.25">
      <c r="A531" s="1" t="s">
        <v>37</v>
      </c>
      <c r="B531">
        <v>2009</v>
      </c>
      <c r="C531">
        <v>2378.4155900000019</v>
      </c>
      <c r="D531">
        <v>2378.4155900000019</v>
      </c>
      <c r="E531" t="s">
        <v>96</v>
      </c>
      <c r="F531">
        <v>1.738717513578431</v>
      </c>
      <c r="G531">
        <v>-0.82504913263572421</v>
      </c>
      <c r="H531">
        <v>0.91366838094270642</v>
      </c>
      <c r="I531">
        <v>1.1406658737803371E-4</v>
      </c>
      <c r="J531">
        <v>1.934640987674541E-3</v>
      </c>
      <c r="K531">
        <v>-2.2931729615078798E-3</v>
      </c>
      <c r="L531" t="s">
        <v>96</v>
      </c>
      <c r="M531">
        <v>4135.3928409009804</v>
      </c>
      <c r="N531">
        <v>-1962.3097195767859</v>
      </c>
      <c r="O531">
        <v>2173.0831213241941</v>
      </c>
      <c r="P531">
        <v>0.27129774971801268</v>
      </c>
      <c r="Q531">
        <v>4.601380286138129</v>
      </c>
      <c r="R531">
        <v>-5.4541183222168161</v>
      </c>
      <c r="S531" t="s">
        <v>96</v>
      </c>
      <c r="T531">
        <v>-7965.8394971394446</v>
      </c>
    </row>
    <row r="532" spans="1:20" x14ac:dyDescent="0.25">
      <c r="A532" s="1" t="s">
        <v>37</v>
      </c>
      <c r="B532">
        <v>2010</v>
      </c>
      <c r="C532">
        <v>2382.873860000002</v>
      </c>
      <c r="D532">
        <v>2382.873860000002</v>
      </c>
      <c r="E532" t="s">
        <v>96</v>
      </c>
      <c r="F532">
        <v>1.7321169397438201</v>
      </c>
      <c r="G532">
        <v>-0.84143095346246422</v>
      </c>
      <c r="H532">
        <v>0.89068598628135587</v>
      </c>
      <c r="I532">
        <v>1.5750714175847221E-4</v>
      </c>
      <c r="J532">
        <v>2.392038505193097E-3</v>
      </c>
      <c r="K532">
        <v>-2.809344036668614E-3</v>
      </c>
      <c r="L532" t="s">
        <v>96</v>
      </c>
      <c r="M532">
        <v>4127.416178178747</v>
      </c>
      <c r="N532">
        <v>-2005.023824000584</v>
      </c>
      <c r="O532">
        <v>2122.3923541781628</v>
      </c>
      <c r="P532">
        <v>0.37531965085957802</v>
      </c>
      <c r="Q532">
        <v>5.6999260261381108</v>
      </c>
      <c r="R532">
        <v>-6.6943124687245259</v>
      </c>
      <c r="S532" t="s">
        <v>96</v>
      </c>
      <c r="T532">
        <v>-7779.8353870843084</v>
      </c>
    </row>
    <row r="533" spans="1:20" x14ac:dyDescent="0.25">
      <c r="A533" s="1" t="s">
        <v>37</v>
      </c>
      <c r="B533">
        <v>2011</v>
      </c>
      <c r="C533">
        <v>2388.727130000002</v>
      </c>
      <c r="D533">
        <v>2388.727130000002</v>
      </c>
      <c r="E533" t="s">
        <v>96</v>
      </c>
      <c r="F533">
        <v>1.723580798327407</v>
      </c>
      <c r="G533">
        <v>-0.95126345939065193</v>
      </c>
      <c r="H533">
        <v>0.77231733893675558</v>
      </c>
      <c r="I533">
        <v>1.809091126089464E-4</v>
      </c>
      <c r="J533">
        <v>2.9440008227888692E-3</v>
      </c>
      <c r="K533">
        <v>-3.458482211976136E-3</v>
      </c>
      <c r="L533" t="s">
        <v>96</v>
      </c>
      <c r="M533">
        <v>4117.1642137117396</v>
      </c>
      <c r="N533">
        <v>-2272.308833224105</v>
      </c>
      <c r="O533">
        <v>1844.8553804876351</v>
      </c>
      <c r="P533">
        <v>0.43214250535321558</v>
      </c>
      <c r="Q533">
        <v>7.0324146361380979</v>
      </c>
      <c r="R533">
        <v>-8.2613702883698128</v>
      </c>
      <c r="S533" t="s">
        <v>96</v>
      </c>
      <c r="T533">
        <v>-6761.5480802500533</v>
      </c>
    </row>
    <row r="534" spans="1:20" x14ac:dyDescent="0.25">
      <c r="A534" s="1" t="s">
        <v>37</v>
      </c>
      <c r="B534">
        <v>2012</v>
      </c>
      <c r="C534">
        <v>2393.5090600000012</v>
      </c>
      <c r="D534">
        <v>2393.5090600000012</v>
      </c>
      <c r="E534" t="s">
        <v>96</v>
      </c>
      <c r="F534">
        <v>1.7178912846982239</v>
      </c>
      <c r="G534">
        <v>-0.96327410921986634</v>
      </c>
      <c r="H534">
        <v>0.75461717547835783</v>
      </c>
      <c r="I534">
        <v>2.4755359040463541E-4</v>
      </c>
      <c r="J534">
        <v>3.4024883202815369E-3</v>
      </c>
      <c r="K534">
        <v>-3.9305619528032746E-3</v>
      </c>
      <c r="L534" t="s">
        <v>96</v>
      </c>
      <c r="M534">
        <v>4111.7883540202411</v>
      </c>
      <c r="N534">
        <v>-2305.6053076811809</v>
      </c>
      <c r="O534">
        <v>1806.18304633906</v>
      </c>
      <c r="P534">
        <v>0.59252176146902424</v>
      </c>
      <c r="Q534">
        <v>8.1438866211380461</v>
      </c>
      <c r="R534">
        <v>-9.4078356449259353</v>
      </c>
      <c r="S534" t="s">
        <v>96</v>
      </c>
      <c r="T534">
        <v>-6620.2092699486539</v>
      </c>
    </row>
    <row r="535" spans="1:20" x14ac:dyDescent="0.25">
      <c r="A535" s="1" t="s">
        <v>37</v>
      </c>
      <c r="B535">
        <v>2013</v>
      </c>
      <c r="C535">
        <v>2400.4839500000012</v>
      </c>
      <c r="D535">
        <v>2400.4839500000012</v>
      </c>
      <c r="E535" t="s">
        <v>96</v>
      </c>
      <c r="F535">
        <v>1.710463753278626</v>
      </c>
      <c r="G535">
        <v>-0.95581260543235014</v>
      </c>
      <c r="H535">
        <v>0.75465114784627585</v>
      </c>
      <c r="I535">
        <v>2.9917464886829843E-4</v>
      </c>
      <c r="J535">
        <v>4.0440279078466706E-3</v>
      </c>
      <c r="K535">
        <v>-4.6125941719784404E-3</v>
      </c>
      <c r="L535" t="s">
        <v>96</v>
      </c>
      <c r="M535">
        <v>4105.9407868021044</v>
      </c>
      <c r="N535">
        <v>-2294.4128185480399</v>
      </c>
      <c r="O535">
        <v>1811.5279682540629</v>
      </c>
      <c r="P535">
        <v>0.71816394285523621</v>
      </c>
      <c r="Q535">
        <v>9.7076240861380168</v>
      </c>
      <c r="R535">
        <v>-11.072458277697789</v>
      </c>
      <c r="S535" t="s">
        <v>96</v>
      </c>
      <c r="T535">
        <v>-6639.8980926869181</v>
      </c>
    </row>
    <row r="536" spans="1:20" x14ac:dyDescent="0.25">
      <c r="A536" s="1" t="s">
        <v>37</v>
      </c>
      <c r="B536">
        <v>2014</v>
      </c>
      <c r="C536">
        <v>2408.7871300000011</v>
      </c>
      <c r="D536">
        <v>2408.7871300000011</v>
      </c>
      <c r="E536" t="s">
        <v>96</v>
      </c>
      <c r="F536">
        <v>1.701774138508116</v>
      </c>
      <c r="G536">
        <v>-0.98354300232244485</v>
      </c>
      <c r="H536">
        <v>0.71823113618567158</v>
      </c>
      <c r="I536">
        <v>3.5039057700602582E-4</v>
      </c>
      <c r="J536">
        <v>4.7974235112830336E-3</v>
      </c>
      <c r="K536">
        <v>-5.3994705197458687E-3</v>
      </c>
      <c r="L536" t="s">
        <v>96</v>
      </c>
      <c r="M536">
        <v>4099.2116430051901</v>
      </c>
      <c r="N536">
        <v>-2369.1457257958659</v>
      </c>
      <c r="O536">
        <v>1730.065917209324</v>
      </c>
      <c r="P536">
        <v>0.84401631236538932</v>
      </c>
      <c r="Q536">
        <v>11.555972011137991</v>
      </c>
      <c r="R536">
        <v>-13.006175096778261</v>
      </c>
      <c r="S536" t="s">
        <v>96</v>
      </c>
      <c r="T536">
        <v>-6341.3523449327558</v>
      </c>
    </row>
    <row r="537" spans="1:20" x14ac:dyDescent="0.25">
      <c r="A537" s="1" t="s">
        <v>37</v>
      </c>
      <c r="B537">
        <v>2015</v>
      </c>
      <c r="C537">
        <v>2414.9258000000009</v>
      </c>
      <c r="D537">
        <v>2414.9258000000009</v>
      </c>
      <c r="E537" t="s">
        <v>96</v>
      </c>
      <c r="F537">
        <v>1.6928942526992239</v>
      </c>
      <c r="G537">
        <v>-1.016398463954137</v>
      </c>
      <c r="H537">
        <v>0.67649578874508653</v>
      </c>
      <c r="I537">
        <v>3.7367848073520279E-4</v>
      </c>
      <c r="J537">
        <v>5.3669648985231432E-3</v>
      </c>
      <c r="K537">
        <v>-5.8675067367961568E-3</v>
      </c>
      <c r="L537" t="s">
        <v>96</v>
      </c>
      <c r="M537">
        <v>4088.2140075150769</v>
      </c>
      <c r="N537">
        <v>-2454.5268736832181</v>
      </c>
      <c r="O537">
        <v>1633.6871338318599</v>
      </c>
      <c r="P537">
        <v>0.90240580403224468</v>
      </c>
      <c r="Q537">
        <v>12.960822001137929</v>
      </c>
      <c r="R537">
        <v>-14.169593400362849</v>
      </c>
      <c r="S537" t="s">
        <v>96</v>
      </c>
      <c r="T537">
        <v>-5989.0628168683243</v>
      </c>
    </row>
    <row r="538" spans="1:20" x14ac:dyDescent="0.25">
      <c r="A538" s="1" t="s">
        <v>37</v>
      </c>
      <c r="B538">
        <v>2016</v>
      </c>
      <c r="C538">
        <v>2416.3191100000008</v>
      </c>
      <c r="D538">
        <v>2416.3191100000008</v>
      </c>
      <c r="E538" t="s">
        <v>96</v>
      </c>
      <c r="F538">
        <v>1.6871782290611661</v>
      </c>
      <c r="G538">
        <v>-1.028309061363363</v>
      </c>
      <c r="H538">
        <v>0.6588691676978029</v>
      </c>
      <c r="I538">
        <v>3.9787368133238919E-4</v>
      </c>
      <c r="J538">
        <v>5.4716736963347197E-3</v>
      </c>
      <c r="K538">
        <v>-6.003064907831172E-3</v>
      </c>
      <c r="L538" t="s">
        <v>96</v>
      </c>
      <c r="M538">
        <v>4076.7609968564539</v>
      </c>
      <c r="N538">
        <v>-2484.7228359584578</v>
      </c>
      <c r="O538">
        <v>1592.038160897996</v>
      </c>
      <c r="P538">
        <v>0.96138977956950267</v>
      </c>
      <c r="Q538">
        <v>13.221309716137929</v>
      </c>
      <c r="R538">
        <v>-14.505320455362851</v>
      </c>
      <c r="S538" t="s">
        <v>96</v>
      </c>
      <c r="T538">
        <v>-5836.2903131077819</v>
      </c>
    </row>
    <row r="539" spans="1:20" x14ac:dyDescent="0.25">
      <c r="A539" s="1" t="s">
        <v>37</v>
      </c>
      <c r="B539">
        <v>2017</v>
      </c>
      <c r="C539">
        <v>2420.241840000002</v>
      </c>
      <c r="D539">
        <v>2420.241840000002</v>
      </c>
      <c r="E539" t="s">
        <v>96</v>
      </c>
      <c r="F539">
        <v>1.695597629487293</v>
      </c>
      <c r="G539">
        <v>-1.062803991939457</v>
      </c>
      <c r="H539">
        <v>0.63279363754783657</v>
      </c>
      <c r="I539">
        <v>4.1948806717254772E-4</v>
      </c>
      <c r="J539">
        <v>5.815373795925287E-3</v>
      </c>
      <c r="K539">
        <v>-6.4477397330520289E-3</v>
      </c>
      <c r="L539" t="s">
        <v>96</v>
      </c>
      <c r="M539">
        <v>4103.7563266899679</v>
      </c>
      <c r="N539">
        <v>-2572.2426890108982</v>
      </c>
      <c r="O539">
        <v>1531.5136376790699</v>
      </c>
      <c r="P539">
        <v>1.0152625715517309</v>
      </c>
      <c r="Q539">
        <v>14.074610976138009</v>
      </c>
      <c r="R539">
        <v>-15.605089475362959</v>
      </c>
      <c r="S539" t="s">
        <v>96</v>
      </c>
      <c r="T539">
        <v>-5613.6608797556328</v>
      </c>
    </row>
    <row r="540" spans="1:20" x14ac:dyDescent="0.25">
      <c r="A540" s="1" t="s">
        <v>37</v>
      </c>
      <c r="B540">
        <v>2018</v>
      </c>
      <c r="C540">
        <v>2421.966730000001</v>
      </c>
      <c r="D540">
        <v>2421.966730000001</v>
      </c>
      <c r="E540" t="s">
        <v>96</v>
      </c>
      <c r="F540">
        <v>1.705233415926789</v>
      </c>
      <c r="G540">
        <v>-1.081430298092074</v>
      </c>
      <c r="H540">
        <v>0.62380311783471465</v>
      </c>
      <c r="I540">
        <v>4.251756779333617E-4</v>
      </c>
      <c r="J540">
        <v>5.9502247234164479E-3</v>
      </c>
      <c r="K540">
        <v>-6.6222869441988864E-3</v>
      </c>
      <c r="L540" t="s">
        <v>96</v>
      </c>
      <c r="M540">
        <v>4130.0186002589371</v>
      </c>
      <c r="N540">
        <v>-2619.1882027929878</v>
      </c>
      <c r="O540">
        <v>1510.8303974659491</v>
      </c>
      <c r="P540">
        <v>1.0297613463597981</v>
      </c>
      <c r="Q540">
        <v>14.411246316138101</v>
      </c>
      <c r="R540">
        <v>-16.038958655363079</v>
      </c>
      <c r="S540" t="s">
        <v>96</v>
      </c>
      <c r="T540">
        <v>-5537.5189704018121</v>
      </c>
    </row>
    <row r="541" spans="1:20" x14ac:dyDescent="0.25">
      <c r="A541" s="1" t="s">
        <v>37</v>
      </c>
      <c r="B541">
        <v>2019</v>
      </c>
      <c r="C541">
        <v>2422.4700400000011</v>
      </c>
      <c r="D541">
        <v>2422.4700400000011</v>
      </c>
      <c r="E541" t="s">
        <v>96</v>
      </c>
      <c r="F541">
        <v>1.7161473466978401</v>
      </c>
      <c r="G541">
        <v>-1.0627078281644819</v>
      </c>
      <c r="H541">
        <v>0.65343951853335869</v>
      </c>
      <c r="I541">
        <v>4.2675242381007939E-4</v>
      </c>
      <c r="J541">
        <v>5.9683477679410317E-3</v>
      </c>
      <c r="K541">
        <v>-6.6458621033608258E-3</v>
      </c>
      <c r="L541" t="s">
        <v>96</v>
      </c>
      <c r="M541">
        <v>4157.3155316010116</v>
      </c>
      <c r="N541">
        <v>-2574.377875001926</v>
      </c>
      <c r="O541">
        <v>1582.9376565990869</v>
      </c>
      <c r="P541">
        <v>1.033794961177301</v>
      </c>
      <c r="Q541">
        <v>14.458143656138031</v>
      </c>
      <c r="R541">
        <v>-16.09940183536299</v>
      </c>
      <c r="S541" t="s">
        <v>96</v>
      </c>
      <c r="T541">
        <v>-5801.8773757310046</v>
      </c>
    </row>
    <row r="542" spans="1:20" x14ac:dyDescent="0.25">
      <c r="A542" s="1" t="s">
        <v>37</v>
      </c>
      <c r="B542">
        <v>2020</v>
      </c>
      <c r="C542">
        <v>2422.791200000001</v>
      </c>
      <c r="D542">
        <v>2422.791200000001</v>
      </c>
      <c r="E542" t="s">
        <v>96</v>
      </c>
      <c r="F542">
        <v>1.731337412124045</v>
      </c>
      <c r="G542">
        <v>-1.025788800974853</v>
      </c>
      <c r="H542">
        <v>0.70554861114919287</v>
      </c>
      <c r="I542">
        <v>4.2866098146730942E-4</v>
      </c>
      <c r="J542">
        <v>5.9768171814137449E-3</v>
      </c>
      <c r="K542">
        <v>-6.6569165309676654E-3</v>
      </c>
      <c r="L542" t="s">
        <v>96</v>
      </c>
      <c r="M542">
        <v>4194.6690463249124</v>
      </c>
      <c r="N542">
        <v>-2485.2720800604252</v>
      </c>
      <c r="O542">
        <v>1709.396966264487</v>
      </c>
      <c r="P542">
        <v>1.038556053682361</v>
      </c>
      <c r="Q542">
        <v>14.48058007113803</v>
      </c>
      <c r="R542">
        <v>-16.128318790362989</v>
      </c>
      <c r="S542" t="s">
        <v>96</v>
      </c>
      <c r="T542">
        <v>-6265.5552065300317</v>
      </c>
    </row>
    <row r="543" spans="1:20" x14ac:dyDescent="0.25">
      <c r="A543" s="1" t="s">
        <v>37</v>
      </c>
      <c r="B543">
        <v>2021</v>
      </c>
      <c r="C543">
        <v>2423.1777300000008</v>
      </c>
      <c r="D543">
        <v>2423.1777300000008</v>
      </c>
      <c r="E543" t="s">
        <v>96</v>
      </c>
      <c r="F543">
        <v>1.713891509131577</v>
      </c>
      <c r="G543">
        <v>-1.0468557539752199</v>
      </c>
      <c r="H543">
        <v>0.6670357551563576</v>
      </c>
      <c r="I543">
        <v>4.3070584238439789E-4</v>
      </c>
      <c r="J543">
        <v>5.9954984569530467E-3</v>
      </c>
      <c r="K543">
        <v>-6.6811606016051218E-3</v>
      </c>
      <c r="L543" t="s">
        <v>96</v>
      </c>
      <c r="M543">
        <v>4153.0637365637313</v>
      </c>
      <c r="N543">
        <v>-2536.7175495551119</v>
      </c>
      <c r="O543">
        <v>1616.3461870086189</v>
      </c>
      <c r="P543">
        <v>1.043676805446764</v>
      </c>
      <c r="Q543">
        <v>14.52815834113799</v>
      </c>
      <c r="R543">
        <v>-16.18963958036294</v>
      </c>
      <c r="S543" t="s">
        <v>96</v>
      </c>
      <c r="T543">
        <v>-5924.3374027749542</v>
      </c>
    </row>
    <row r="544" spans="1:20" x14ac:dyDescent="0.25">
      <c r="A544" s="1" t="s">
        <v>37</v>
      </c>
      <c r="B544">
        <v>2022</v>
      </c>
      <c r="C544">
        <v>2423.2835300000011</v>
      </c>
      <c r="D544">
        <v>2423.2835300000011</v>
      </c>
      <c r="E544" t="s">
        <v>96</v>
      </c>
      <c r="F544">
        <v>1.70341928462954</v>
      </c>
      <c r="G544">
        <v>-1.0708858898207601</v>
      </c>
      <c r="H544">
        <v>0.63253339480878079</v>
      </c>
      <c r="I544">
        <v>4.302577263070312E-4</v>
      </c>
      <c r="J544">
        <v>5.9952828987113937E-3</v>
      </c>
      <c r="K544">
        <v>-6.6809284530411194E-3</v>
      </c>
      <c r="L544" t="s">
        <v>96</v>
      </c>
      <c r="M544">
        <v>4127.8678971271484</v>
      </c>
      <c r="N544">
        <v>-2595.0601393120419</v>
      </c>
      <c r="O544">
        <v>1532.807757815106</v>
      </c>
      <c r="P544">
        <v>1.042636461815077</v>
      </c>
      <c r="Q544">
        <v>14.52827030613798</v>
      </c>
      <c r="R544">
        <v>-16.189783885362932</v>
      </c>
      <c r="S544" t="s">
        <v>96</v>
      </c>
      <c r="T544">
        <v>-5618.0258958920658</v>
      </c>
    </row>
    <row r="545" spans="1:20" x14ac:dyDescent="0.25">
      <c r="A545" s="1" t="s">
        <v>37</v>
      </c>
      <c r="B545">
        <v>2023</v>
      </c>
      <c r="C545">
        <v>2424.3043299999999</v>
      </c>
      <c r="D545">
        <v>2424.3043299999999</v>
      </c>
      <c r="E545" t="s">
        <v>96</v>
      </c>
      <c r="F545">
        <v>1.7059435073436551</v>
      </c>
      <c r="G545">
        <v>-1.0514148292554231</v>
      </c>
      <c r="H545">
        <v>0.65452867808823145</v>
      </c>
      <c r="I545">
        <v>4.411940395134046E-4</v>
      </c>
      <c r="J545">
        <v>6.0693782038495087E-3</v>
      </c>
      <c r="K545">
        <v>-6.7768659274704754E-3</v>
      </c>
      <c r="L545" t="s">
        <v>96</v>
      </c>
      <c r="M545">
        <v>4135.7262315886092</v>
      </c>
      <c r="N545">
        <v>-2548.9495231901328</v>
      </c>
      <c r="O545">
        <v>1586.7767083984761</v>
      </c>
      <c r="P545">
        <v>1.069588620362538</v>
      </c>
      <c r="Q545">
        <v>14.71401985999999</v>
      </c>
      <c r="R545">
        <v>-16.429185411796141</v>
      </c>
      <c r="S545" t="s">
        <v>96</v>
      </c>
      <c r="T545">
        <v>-5815.8141487130169</v>
      </c>
    </row>
    <row r="546" spans="1:20" x14ac:dyDescent="0.25">
      <c r="A546" s="1" t="s">
        <v>38</v>
      </c>
      <c r="B546">
        <v>1990</v>
      </c>
      <c r="C546">
        <v>481.07439999999991</v>
      </c>
      <c r="D546">
        <v>193.2860684825466</v>
      </c>
      <c r="E546">
        <v>287.78833151745329</v>
      </c>
      <c r="F546">
        <v>6.5828082510628727</v>
      </c>
      <c r="G546">
        <v>-4.0786353348076014</v>
      </c>
      <c r="H546">
        <v>2.5041729162552722</v>
      </c>
      <c r="I546">
        <v>0.1307926405143274</v>
      </c>
      <c r="J546">
        <v>4.7624706257579703E-2</v>
      </c>
      <c r="K546">
        <v>-4.9977022040627421E-2</v>
      </c>
      <c r="L546">
        <v>-1.6046053843067929</v>
      </c>
      <c r="M546">
        <v>3166.8205296951201</v>
      </c>
      <c r="N546">
        <v>-1962.1270465113651</v>
      </c>
      <c r="O546">
        <v>1204.693483183755</v>
      </c>
      <c r="P546">
        <v>62.920991059845733</v>
      </c>
      <c r="Q546">
        <v>22.911026988041389</v>
      </c>
      <c r="R546">
        <v>-9.6598621046984512</v>
      </c>
      <c r="S546">
        <v>-461.78670629357413</v>
      </c>
      <c r="T546">
        <v>-3003.2894203892952</v>
      </c>
    </row>
    <row r="547" spans="1:20" x14ac:dyDescent="0.25">
      <c r="A547" s="1" t="s">
        <v>38</v>
      </c>
      <c r="B547">
        <v>1991</v>
      </c>
      <c r="C547">
        <v>500.2007999999995</v>
      </c>
      <c r="D547">
        <v>201.42027244229931</v>
      </c>
      <c r="E547">
        <v>298.78052755770022</v>
      </c>
      <c r="F547">
        <v>6.4393444911432098</v>
      </c>
      <c r="G547">
        <v>-3.9722076045314081</v>
      </c>
      <c r="H547">
        <v>2.4671368866118022</v>
      </c>
      <c r="I547">
        <v>0.111133617370739</v>
      </c>
      <c r="J547">
        <v>7.3981583635765791E-2</v>
      </c>
      <c r="K547">
        <v>-5.4837860469034633E-2</v>
      </c>
      <c r="L547">
        <v>-1.600771748805764</v>
      </c>
      <c r="M547">
        <v>3220.9652659454232</v>
      </c>
      <c r="N547">
        <v>-1986.901421552692</v>
      </c>
      <c r="O547">
        <v>1234.063844392731</v>
      </c>
      <c r="P547">
        <v>55.589124315737457</v>
      </c>
      <c r="Q547">
        <v>37.005647319876921</v>
      </c>
      <c r="R547">
        <v>-11.04545679582575</v>
      </c>
      <c r="S547">
        <v>-478.27942760764847</v>
      </c>
      <c r="T547">
        <v>-3070.2236826248081</v>
      </c>
    </row>
    <row r="548" spans="1:20" x14ac:dyDescent="0.25">
      <c r="A548" s="1" t="s">
        <v>38</v>
      </c>
      <c r="B548">
        <v>1992</v>
      </c>
      <c r="C548">
        <v>516.87919999999951</v>
      </c>
      <c r="D548">
        <v>208.5122000156957</v>
      </c>
      <c r="E548">
        <v>308.36699998430379</v>
      </c>
      <c r="F548">
        <v>6.3470561687570113</v>
      </c>
      <c r="G548">
        <v>-4.3121132533030222</v>
      </c>
      <c r="H548">
        <v>2.0349429154539891</v>
      </c>
      <c r="I548">
        <v>9.6083422955830028E-2</v>
      </c>
      <c r="J548">
        <v>0.1477895180322373</v>
      </c>
      <c r="K548">
        <v>-5.7936997421375327E-2</v>
      </c>
      <c r="L548">
        <v>-1.603716806199815</v>
      </c>
      <c r="M548">
        <v>3280.6613148621859</v>
      </c>
      <c r="N548">
        <v>-2228.841648676661</v>
      </c>
      <c r="O548">
        <v>1051.819666185525</v>
      </c>
      <c r="P548">
        <v>49.66352279067101</v>
      </c>
      <c r="Q548">
        <v>76.389327848888314</v>
      </c>
      <c r="R548">
        <v>-12.08057079463466</v>
      </c>
      <c r="S548">
        <v>-494.53334035224623</v>
      </c>
      <c r="T548">
        <v>-2461.2815541536352</v>
      </c>
    </row>
    <row r="549" spans="1:20" x14ac:dyDescent="0.25">
      <c r="A549" s="1" t="s">
        <v>38</v>
      </c>
      <c r="B549">
        <v>1993</v>
      </c>
      <c r="C549">
        <v>532.85660000000041</v>
      </c>
      <c r="D549">
        <v>215.30513412008079</v>
      </c>
      <c r="E549">
        <v>317.55146587991959</v>
      </c>
      <c r="F549">
        <v>6.2601471043974071</v>
      </c>
      <c r="G549">
        <v>-4.0116204426014512</v>
      </c>
      <c r="H549">
        <v>2.248526661795955</v>
      </c>
      <c r="I549">
        <v>8.7562758299047527E-2</v>
      </c>
      <c r="J549">
        <v>-3.2274328651028007E-2</v>
      </c>
      <c r="K549">
        <v>-5.8913828266955362E-2</v>
      </c>
      <c r="L549">
        <v>-1.598675575504465</v>
      </c>
      <c r="M549">
        <v>3335.7607015490498</v>
      </c>
      <c r="N549">
        <v>-2137.6184295351059</v>
      </c>
      <c r="O549">
        <v>1198.142272013944</v>
      </c>
      <c r="P549">
        <v>46.658393673852288</v>
      </c>
      <c r="Q549">
        <v>-17.197589032269381</v>
      </c>
      <c r="R549">
        <v>-12.684449696544229</v>
      </c>
      <c r="S549">
        <v>-507.66177246786719</v>
      </c>
      <c r="T549">
        <v>-2593.2751331343229</v>
      </c>
    </row>
    <row r="550" spans="1:20" x14ac:dyDescent="0.25">
      <c r="A550" s="1" t="s">
        <v>38</v>
      </c>
      <c r="B550">
        <v>1994</v>
      </c>
      <c r="C550">
        <v>552.29500000000007</v>
      </c>
      <c r="D550">
        <v>223.42245352306591</v>
      </c>
      <c r="E550">
        <v>328.87254647693419</v>
      </c>
      <c r="F550">
        <v>6.1438821284589196</v>
      </c>
      <c r="G550">
        <v>-4.1842320569797113</v>
      </c>
      <c r="H550">
        <v>1.95965007147921</v>
      </c>
      <c r="I550">
        <v>8.9731255597773549E-2</v>
      </c>
      <c r="J550">
        <v>1.8004758835649649E-2</v>
      </c>
      <c r="K550">
        <v>-5.7132020168378379E-2</v>
      </c>
      <c r="L550">
        <v>-1.595609915998154</v>
      </c>
      <c r="M550">
        <v>3393.2353801372201</v>
      </c>
      <c r="N550">
        <v>-2310.9304439096099</v>
      </c>
      <c r="O550">
        <v>1082.3049362276099</v>
      </c>
      <c r="P550">
        <v>49.558123810372351</v>
      </c>
      <c r="Q550">
        <v>9.9439382811351251</v>
      </c>
      <c r="R550">
        <v>-12.76457612074838</v>
      </c>
      <c r="S550">
        <v>-524.75229625815996</v>
      </c>
      <c r="T550">
        <v>-2215.7304617809691</v>
      </c>
    </row>
    <row r="551" spans="1:20" x14ac:dyDescent="0.25">
      <c r="A551" s="1" t="s">
        <v>38</v>
      </c>
      <c r="B551">
        <v>1995</v>
      </c>
      <c r="C551">
        <v>575.6717000000001</v>
      </c>
      <c r="D551">
        <v>232.30970907862141</v>
      </c>
      <c r="E551">
        <v>343.36199092137872</v>
      </c>
      <c r="F551">
        <v>6.011058199802366</v>
      </c>
      <c r="G551">
        <v>-4.2727992050511041</v>
      </c>
      <c r="H551">
        <v>1.7382589947512621</v>
      </c>
      <c r="I551">
        <v>8.4282923058765044E-2</v>
      </c>
      <c r="J551">
        <v>6.745829492132327E-2</v>
      </c>
      <c r="K551">
        <v>-5.7192581161903247E-2</v>
      </c>
      <c r="L551">
        <v>-1.6053016574390691</v>
      </c>
      <c r="M551">
        <v>3460.3960926791679</v>
      </c>
      <c r="N551">
        <v>-2459.7295821304178</v>
      </c>
      <c r="O551">
        <v>1000.66651054875</v>
      </c>
      <c r="P551">
        <v>48.519293598208478</v>
      </c>
      <c r="Q551">
        <v>38.833831316459538</v>
      </c>
      <c r="R551">
        <v>-13.286391891177191</v>
      </c>
      <c r="S551">
        <v>-551.1995731276678</v>
      </c>
      <c r="T551">
        <v>-1919.6234582969421</v>
      </c>
    </row>
    <row r="552" spans="1:20" x14ac:dyDescent="0.25">
      <c r="A552" s="1" t="s">
        <v>38</v>
      </c>
      <c r="B552">
        <v>1996</v>
      </c>
      <c r="C552">
        <v>596.3194000000002</v>
      </c>
      <c r="D552">
        <v>241.607032029441</v>
      </c>
      <c r="E552">
        <v>354.71236797055923</v>
      </c>
      <c r="F552">
        <v>5.9338532781392672</v>
      </c>
      <c r="G552">
        <v>-4.300073260036438</v>
      </c>
      <c r="H552">
        <v>1.633780018102829</v>
      </c>
      <c r="I552">
        <v>8.4132521371117888E-2</v>
      </c>
      <c r="J552">
        <v>9.4172422308786016E-2</v>
      </c>
      <c r="K552">
        <v>-5.4309400098003877E-2</v>
      </c>
      <c r="L552">
        <v>-1.610402610948652</v>
      </c>
      <c r="M552">
        <v>3538.4718265080419</v>
      </c>
      <c r="N552">
        <v>-2564.2171063809742</v>
      </c>
      <c r="O552">
        <v>974.25472012706814</v>
      </c>
      <c r="P552">
        <v>50.169854664512208</v>
      </c>
      <c r="Q552">
        <v>56.156842367721907</v>
      </c>
      <c r="R552">
        <v>-13.121532968978149</v>
      </c>
      <c r="S552">
        <v>-571.22972351556768</v>
      </c>
      <c r="T552">
        <v>-1819.5105891409401</v>
      </c>
    </row>
    <row r="553" spans="1:20" x14ac:dyDescent="0.25">
      <c r="A553" s="1" t="s">
        <v>38</v>
      </c>
      <c r="B553">
        <v>1997</v>
      </c>
      <c r="C553">
        <v>607.42009999999971</v>
      </c>
      <c r="D553">
        <v>245.64555555885281</v>
      </c>
      <c r="E553">
        <v>361.77454444114687</v>
      </c>
      <c r="F553">
        <v>5.951877618950066</v>
      </c>
      <c r="G553">
        <v>-3.924167862800783</v>
      </c>
      <c r="H553">
        <v>2.0277097561492829</v>
      </c>
      <c r="I553">
        <v>9.38944921717704E-2</v>
      </c>
      <c r="J553">
        <v>-8.9257564567409464E-2</v>
      </c>
      <c r="K553">
        <v>-5.1157846824435908E-2</v>
      </c>
      <c r="L553">
        <v>-1.602851303586236</v>
      </c>
      <c r="M553">
        <v>3615.290098490409</v>
      </c>
      <c r="N553">
        <v>-2383.6184356392368</v>
      </c>
      <c r="O553">
        <v>1231.671662851172</v>
      </c>
      <c r="P553">
        <v>57.033401824425972</v>
      </c>
      <c r="Q553">
        <v>-54.21683879529229</v>
      </c>
      <c r="R553">
        <v>-12.56669770438325</v>
      </c>
      <c r="S553">
        <v>-579.87080016180892</v>
      </c>
      <c r="T553">
        <v>-2354.1860027186308</v>
      </c>
    </row>
    <row r="554" spans="1:20" x14ac:dyDescent="0.25">
      <c r="A554" s="1" t="s">
        <v>38</v>
      </c>
      <c r="B554">
        <v>1998</v>
      </c>
      <c r="C554">
        <v>620.01479999999947</v>
      </c>
      <c r="D554">
        <v>250.6009828315801</v>
      </c>
      <c r="E554">
        <v>369.41381716841943</v>
      </c>
      <c r="F554">
        <v>5.9935357107366576</v>
      </c>
      <c r="G554">
        <v>-4.288320609731854</v>
      </c>
      <c r="H554">
        <v>1.705215101004804</v>
      </c>
      <c r="I554">
        <v>8.2327995893371544E-2</v>
      </c>
      <c r="J554">
        <v>1.8724756137365219E-2</v>
      </c>
      <c r="K554">
        <v>-4.8147604147214668E-2</v>
      </c>
      <c r="L554">
        <v>-1.5970453743968831</v>
      </c>
      <c r="M554">
        <v>3716.0808449852429</v>
      </c>
      <c r="N554">
        <v>-2658.822245178771</v>
      </c>
      <c r="O554">
        <v>1057.2585998064719</v>
      </c>
      <c r="P554">
        <v>51.04457590822954</v>
      </c>
      <c r="Q554">
        <v>11.609625931557259</v>
      </c>
      <c r="R554">
        <v>-12.06583692027786</v>
      </c>
      <c r="S554">
        <v>-589.97062794712008</v>
      </c>
      <c r="T554">
        <v>-1898.8799015226641</v>
      </c>
    </row>
    <row r="555" spans="1:20" x14ac:dyDescent="0.25">
      <c r="A555" s="1" t="s">
        <v>38</v>
      </c>
      <c r="B555">
        <v>1999</v>
      </c>
      <c r="C555">
        <v>632.34950000000003</v>
      </c>
      <c r="D555">
        <v>256.65180613579611</v>
      </c>
      <c r="E555">
        <v>375.69769386420398</v>
      </c>
      <c r="F555">
        <v>6.0494228645298378</v>
      </c>
      <c r="G555">
        <v>-4.3922149435196864</v>
      </c>
      <c r="H555">
        <v>1.6572079210101509</v>
      </c>
      <c r="I555">
        <v>8.4746131189702797E-2</v>
      </c>
      <c r="J555">
        <v>-2.1453417128145299E-2</v>
      </c>
      <c r="K555">
        <v>-4.6176840952072543E-2</v>
      </c>
      <c r="L555">
        <v>-1.594261165451925</v>
      </c>
      <c r="M555">
        <v>3825.3495236740109</v>
      </c>
      <c r="N555">
        <v>-2777.4149234272022</v>
      </c>
      <c r="O555">
        <v>1047.9346002468089</v>
      </c>
      <c r="P555">
        <v>53.589173684742967</v>
      </c>
      <c r="Q555">
        <v>-13.56605759427411</v>
      </c>
      <c r="R555">
        <v>-11.85136963199481</v>
      </c>
      <c r="S555">
        <v>-598.96024327754617</v>
      </c>
      <c r="T555">
        <v>-1749.5357125685259</v>
      </c>
    </row>
    <row r="556" spans="1:20" x14ac:dyDescent="0.25">
      <c r="A556" s="1" t="s">
        <v>38</v>
      </c>
      <c r="B556">
        <v>2000</v>
      </c>
      <c r="C556">
        <v>647.18750000000023</v>
      </c>
      <c r="D556">
        <v>262.6918471628365</v>
      </c>
      <c r="E556">
        <v>384.49565283716379</v>
      </c>
      <c r="F556">
        <v>6.0540713572073628</v>
      </c>
      <c r="G556">
        <v>-4.7576439719364627</v>
      </c>
      <c r="H556">
        <v>1.296427385270901</v>
      </c>
      <c r="I556">
        <v>8.7017335890386835E-2</v>
      </c>
      <c r="J556">
        <v>-0.104198610967236</v>
      </c>
      <c r="K556">
        <v>-4.3969330370517049E-2</v>
      </c>
      <c r="L556">
        <v>-1.588736012927054</v>
      </c>
      <c r="M556">
        <v>3918.119306492641</v>
      </c>
      <c r="N556">
        <v>-3079.0877080876298</v>
      </c>
      <c r="O556">
        <v>839.03159840501121</v>
      </c>
      <c r="P556">
        <v>56.316532071559749</v>
      </c>
      <c r="Q556">
        <v>-67.436038535358065</v>
      </c>
      <c r="R556">
        <v>-11.55038461354413</v>
      </c>
      <c r="S556">
        <v>-610.86209047630052</v>
      </c>
      <c r="T556">
        <v>-753.49859512175215</v>
      </c>
    </row>
    <row r="557" spans="1:20" x14ac:dyDescent="0.25">
      <c r="A557" s="1" t="s">
        <v>38</v>
      </c>
      <c r="B557">
        <v>2001</v>
      </c>
      <c r="C557">
        <v>661.79550000000006</v>
      </c>
      <c r="D557">
        <v>267.56231382950313</v>
      </c>
      <c r="E557">
        <v>394.23318617049699</v>
      </c>
      <c r="F557">
        <v>6.2126826867495888</v>
      </c>
      <c r="G557">
        <v>-4.8447071076865704</v>
      </c>
      <c r="H557">
        <v>1.367975579063019</v>
      </c>
      <c r="I557">
        <v>9.1564796140228139E-2</v>
      </c>
      <c r="J557">
        <v>-1.060012977374695E-3</v>
      </c>
      <c r="K557">
        <v>-4.0047984573119137E-2</v>
      </c>
      <c r="L557">
        <v>-1.584179812020174</v>
      </c>
      <c r="M557">
        <v>4111.5254450187877</v>
      </c>
      <c r="N557">
        <v>-3206.205362684987</v>
      </c>
      <c r="O557">
        <v>905.3200823338002</v>
      </c>
      <c r="P557">
        <v>60.597170044020359</v>
      </c>
      <c r="Q557">
        <v>-0.701511818368175</v>
      </c>
      <c r="R557">
        <v>-10.715331416592001</v>
      </c>
      <c r="S557">
        <v>-624.53625475969216</v>
      </c>
      <c r="T557">
        <v>-1209.8685660717269</v>
      </c>
    </row>
    <row r="558" spans="1:20" x14ac:dyDescent="0.25">
      <c r="A558" s="1" t="s">
        <v>38</v>
      </c>
      <c r="B558">
        <v>2002</v>
      </c>
      <c r="C558">
        <v>675.99250000000006</v>
      </c>
      <c r="D558">
        <v>272.31054240093158</v>
      </c>
      <c r="E558">
        <v>403.68195759906843</v>
      </c>
      <c r="F558">
        <v>6.1621728602155059</v>
      </c>
      <c r="G558">
        <v>-4.9395309179285514</v>
      </c>
      <c r="H558">
        <v>1.2226419422869541</v>
      </c>
      <c r="I558">
        <v>9.3829485762754031E-2</v>
      </c>
      <c r="J558">
        <v>2.9154781270108131E-2</v>
      </c>
      <c r="K558">
        <v>-3.5417153336871017E-2</v>
      </c>
      <c r="L558">
        <v>-1.5749577801563279</v>
      </c>
      <c r="M558">
        <v>4165.5826372092306</v>
      </c>
      <c r="N558">
        <v>-3339.0858540378172</v>
      </c>
      <c r="O558">
        <v>826.49678317141388</v>
      </c>
      <c r="P558">
        <v>63.42802865447851</v>
      </c>
      <c r="Q558">
        <v>19.708413477733568</v>
      </c>
      <c r="R558">
        <v>-9.6444642354603101</v>
      </c>
      <c r="S558">
        <v>-635.78203982938976</v>
      </c>
      <c r="T558">
        <v>-968.75797787559975</v>
      </c>
    </row>
    <row r="559" spans="1:20" x14ac:dyDescent="0.25">
      <c r="A559" s="1" t="s">
        <v>38</v>
      </c>
      <c r="B559">
        <v>2003</v>
      </c>
      <c r="C559">
        <v>684.23250000000019</v>
      </c>
      <c r="D559">
        <v>274.71467573426492</v>
      </c>
      <c r="E559">
        <v>409.51782426573533</v>
      </c>
      <c r="F559">
        <v>6.2268165446527783</v>
      </c>
      <c r="G559">
        <v>-4.8120576852773009</v>
      </c>
      <c r="H559">
        <v>1.414758859375477</v>
      </c>
      <c r="I559">
        <v>9.7459098674318401E-2</v>
      </c>
      <c r="J559">
        <v>-6.8299427585305425E-2</v>
      </c>
      <c r="K559">
        <v>-3.0513598216039689E-2</v>
      </c>
      <c r="L559">
        <v>-1.5756062341659809</v>
      </c>
      <c r="M559">
        <v>4260.5902513891333</v>
      </c>
      <c r="N559">
        <v>-3292.566260141502</v>
      </c>
      <c r="O559">
        <v>968.02399124763133</v>
      </c>
      <c r="P559">
        <v>66.684682733675587</v>
      </c>
      <c r="Q559">
        <v>-46.73268808526251</v>
      </c>
      <c r="R559">
        <v>-8.3825332394049887</v>
      </c>
      <c r="S559">
        <v>-645.23883691518131</v>
      </c>
      <c r="T559">
        <v>-1225.966924385458</v>
      </c>
    </row>
    <row r="560" spans="1:20" x14ac:dyDescent="0.25">
      <c r="A560" s="1" t="s">
        <v>38</v>
      </c>
      <c r="B560">
        <v>2004</v>
      </c>
      <c r="C560">
        <v>693.11449999999991</v>
      </c>
      <c r="D560">
        <v>279.45286348936702</v>
      </c>
      <c r="E560">
        <v>413.66163651063289</v>
      </c>
      <c r="F560">
        <v>6.3142863337964759</v>
      </c>
      <c r="G560">
        <v>-4.5438391233692643</v>
      </c>
      <c r="H560">
        <v>1.770447210427212</v>
      </c>
      <c r="I560">
        <v>0.1022591282788488</v>
      </c>
      <c r="J560">
        <v>-0.18256209746363139</v>
      </c>
      <c r="K560">
        <v>-2.5472466638276039E-2</v>
      </c>
      <c r="L560">
        <v>-1.581285489855174</v>
      </c>
      <c r="M560">
        <v>4376.5234151061768</v>
      </c>
      <c r="N560">
        <v>-3149.400782074526</v>
      </c>
      <c r="O560">
        <v>1227.122633031651</v>
      </c>
      <c r="P560">
        <v>70.877284567430124</v>
      </c>
      <c r="Q560">
        <v>-126.5364369024562</v>
      </c>
      <c r="R560">
        <v>-7.1183537422036096</v>
      </c>
      <c r="S560">
        <v>-654.11714352400918</v>
      </c>
      <c r="T560">
        <v>-1870.835939245015</v>
      </c>
    </row>
    <row r="561" spans="1:20" x14ac:dyDescent="0.25">
      <c r="A561" s="1" t="s">
        <v>38</v>
      </c>
      <c r="B561">
        <v>2005</v>
      </c>
      <c r="C561">
        <v>702.35350000000039</v>
      </c>
      <c r="D561">
        <v>284.66971612094602</v>
      </c>
      <c r="E561">
        <v>417.68378387905437</v>
      </c>
      <c r="F561">
        <v>6.4105768598726529</v>
      </c>
      <c r="G561">
        <v>-4.8488250253783969</v>
      </c>
      <c r="H561">
        <v>1.561751834494256</v>
      </c>
      <c r="I561">
        <v>0.1087964326870043</v>
      </c>
      <c r="J561">
        <v>-0.120372588677572</v>
      </c>
      <c r="K561">
        <v>-1.9728617489761058E-2</v>
      </c>
      <c r="L561">
        <v>-1.588055048225395</v>
      </c>
      <c r="M561">
        <v>4502.4910945505699</v>
      </c>
      <c r="N561">
        <v>-3405.5892274621078</v>
      </c>
      <c r="O561">
        <v>1096.901867088462</v>
      </c>
      <c r="P561">
        <v>76.413555285231894</v>
      </c>
      <c r="Q561">
        <v>-84.544108961753139</v>
      </c>
      <c r="R561">
        <v>-5.6161399402690098</v>
      </c>
      <c r="S561">
        <v>-663.30484155101703</v>
      </c>
      <c r="T561">
        <v>-1539.451217042541</v>
      </c>
    </row>
    <row r="562" spans="1:20" x14ac:dyDescent="0.25">
      <c r="A562" s="1" t="s">
        <v>38</v>
      </c>
      <c r="B562">
        <v>2006</v>
      </c>
      <c r="C562">
        <v>708.39049999999997</v>
      </c>
      <c r="D562">
        <v>290.29746612094601</v>
      </c>
      <c r="E562">
        <v>418.09303387905402</v>
      </c>
      <c r="F562">
        <v>6.4935457778746937</v>
      </c>
      <c r="G562">
        <v>-4.5474530102036343</v>
      </c>
      <c r="H562">
        <v>1.9460927676710591</v>
      </c>
      <c r="I562">
        <v>-0.15681074676408141</v>
      </c>
      <c r="J562">
        <v>8.3717434193823631E-2</v>
      </c>
      <c r="K562">
        <v>-2.8857323598613718E-2</v>
      </c>
      <c r="L562">
        <v>-1.5894261030213299</v>
      </c>
      <c r="M562">
        <v>4599.9661403615428</v>
      </c>
      <c r="N562">
        <v>-3221.3725116246578</v>
      </c>
      <c r="O562">
        <v>1378.593628736885</v>
      </c>
      <c r="P562">
        <v>-111.08324330558099</v>
      </c>
      <c r="Q562">
        <v>59.304635067279818</v>
      </c>
      <c r="R562">
        <v>-8.3772079197097398</v>
      </c>
      <c r="S562">
        <v>-664.52798153874983</v>
      </c>
      <c r="T562">
        <v>-2397.6693804806741</v>
      </c>
    </row>
    <row r="563" spans="1:20" x14ac:dyDescent="0.25">
      <c r="A563" s="1" t="s">
        <v>38</v>
      </c>
      <c r="B563">
        <v>2007</v>
      </c>
      <c r="C563">
        <v>713.96549999999991</v>
      </c>
      <c r="D563">
        <v>293.90520177801909</v>
      </c>
      <c r="E563">
        <v>420.06029822198082</v>
      </c>
      <c r="F563">
        <v>6.6209968940860788</v>
      </c>
      <c r="G563">
        <v>-4.8601114618365902</v>
      </c>
      <c r="H563">
        <v>1.7608854322494889</v>
      </c>
      <c r="I563">
        <v>-8.9426164632120705E-2</v>
      </c>
      <c r="J563">
        <v>0.18779068746748279</v>
      </c>
      <c r="K563">
        <v>-2.0432413732341888E-2</v>
      </c>
      <c r="L563">
        <v>-1.589460909147683</v>
      </c>
      <c r="M563">
        <v>4727.1633579846139</v>
      </c>
      <c r="N563">
        <v>-3469.9519099058921</v>
      </c>
      <c r="O563">
        <v>1257.211448078722</v>
      </c>
      <c r="P563">
        <v>-63.847196344654357</v>
      </c>
      <c r="Q563">
        <v>134.07607207306509</v>
      </c>
      <c r="R563">
        <v>-6.0051926808159104</v>
      </c>
      <c r="S563">
        <v>-667.66942350875661</v>
      </c>
      <c r="T563">
        <v>-2397.140927931272</v>
      </c>
    </row>
    <row r="564" spans="1:20" x14ac:dyDescent="0.25">
      <c r="A564" s="1" t="s">
        <v>38</v>
      </c>
      <c r="B564">
        <v>2008</v>
      </c>
      <c r="C564">
        <v>718.21450000000027</v>
      </c>
      <c r="D564">
        <v>296.11538208069931</v>
      </c>
      <c r="E564">
        <v>422.09911791930102</v>
      </c>
      <c r="F564">
        <v>6.7531746520259013</v>
      </c>
      <c r="G564">
        <v>-4.5744561072636456</v>
      </c>
      <c r="H564">
        <v>2.1787185447622539</v>
      </c>
      <c r="I564">
        <v>-8.5081996815237509E-2</v>
      </c>
      <c r="J564">
        <v>0.11088924612216899</v>
      </c>
      <c r="K564">
        <v>-2.2798264225601141E-2</v>
      </c>
      <c r="L564">
        <v>-1.588429122030341</v>
      </c>
      <c r="M564">
        <v>4850.2279561174582</v>
      </c>
      <c r="N564">
        <v>-3285.440705850307</v>
      </c>
      <c r="O564">
        <v>1564.787250267151</v>
      </c>
      <c r="P564">
        <v>-61.107123801657423</v>
      </c>
      <c r="Q564">
        <v>79.642264459010548</v>
      </c>
      <c r="R564">
        <v>-6.7509167219406203</v>
      </c>
      <c r="S564">
        <v>-670.47453128633651</v>
      </c>
      <c r="T564">
        <v>-3322.3554573597989</v>
      </c>
    </row>
    <row r="565" spans="1:20" x14ac:dyDescent="0.25">
      <c r="A565" s="1" t="s">
        <v>38</v>
      </c>
      <c r="B565">
        <v>2009</v>
      </c>
      <c r="C565">
        <v>724.06231000000037</v>
      </c>
      <c r="D565">
        <v>299.33486454963469</v>
      </c>
      <c r="E565">
        <v>424.72744545036562</v>
      </c>
      <c r="F565">
        <v>6.8960343253245524</v>
      </c>
      <c r="G565">
        <v>-4.8306087267178404</v>
      </c>
      <c r="H565">
        <v>2.0654255986067112</v>
      </c>
      <c r="I565">
        <v>-5.3093834119757093E-2</v>
      </c>
      <c r="J565">
        <v>0.191658067709334</v>
      </c>
      <c r="K565">
        <v>-9.7383238835958615E-3</v>
      </c>
      <c r="L565">
        <v>-1.5893674729321221</v>
      </c>
      <c r="M565">
        <v>4993.1585434337894</v>
      </c>
      <c r="N565">
        <v>-3497.6617133734799</v>
      </c>
      <c r="O565">
        <v>1495.4968300603091</v>
      </c>
      <c r="P565">
        <v>-38.443244179508163</v>
      </c>
      <c r="Q565">
        <v>138.77238323575691</v>
      </c>
      <c r="R565">
        <v>-2.9150198606366402</v>
      </c>
      <c r="S565">
        <v>-675.04798666036322</v>
      </c>
      <c r="T565">
        <v>-3365.4975295173499</v>
      </c>
    </row>
    <row r="566" spans="1:20" x14ac:dyDescent="0.25">
      <c r="A566" s="1" t="s">
        <v>38</v>
      </c>
      <c r="B566">
        <v>2010</v>
      </c>
      <c r="C566">
        <v>731.57630999999947</v>
      </c>
      <c r="D566">
        <v>303.06402407582158</v>
      </c>
      <c r="E566">
        <v>428.51228592417777</v>
      </c>
      <c r="F566">
        <v>6.9859483642173172</v>
      </c>
      <c r="G566">
        <v>-5.1076989085839104</v>
      </c>
      <c r="H566">
        <v>1.878249455633406</v>
      </c>
      <c r="I566">
        <v>5.6631669317698648E-2</v>
      </c>
      <c r="J566">
        <v>0.27919070041931948</v>
      </c>
      <c r="K566">
        <v>-6.638959404732787E-3</v>
      </c>
      <c r="L566">
        <v>-1.5947491971566821</v>
      </c>
      <c r="M566">
        <v>5110.7543261446372</v>
      </c>
      <c r="N566">
        <v>-3736.671520132842</v>
      </c>
      <c r="O566">
        <v>1374.0828060117949</v>
      </c>
      <c r="P566">
        <v>41.430387668582171</v>
      </c>
      <c r="Q566">
        <v>204.2493023990811</v>
      </c>
      <c r="R566">
        <v>-2.0120297528743398</v>
      </c>
      <c r="S566">
        <v>-683.36962394935722</v>
      </c>
      <c r="T566">
        <v>-3426.0630887168099</v>
      </c>
    </row>
    <row r="567" spans="1:20" x14ac:dyDescent="0.25">
      <c r="A567" s="1" t="s">
        <v>38</v>
      </c>
      <c r="B567">
        <v>2011</v>
      </c>
      <c r="C567">
        <v>736.62931000000049</v>
      </c>
      <c r="D567">
        <v>305.48776959363317</v>
      </c>
      <c r="E567">
        <v>431.14154040636731</v>
      </c>
      <c r="F567">
        <v>7.0877814816413141</v>
      </c>
      <c r="G567">
        <v>-5.1361124033709906</v>
      </c>
      <c r="H567">
        <v>1.9516690782703241</v>
      </c>
      <c r="I567">
        <v>6.0824971247017037E-2</v>
      </c>
      <c r="J567">
        <v>0.26551684091545358</v>
      </c>
      <c r="K567">
        <v>-4.4931429224755702E-3</v>
      </c>
      <c r="L567">
        <v>-1.596524332126968</v>
      </c>
      <c r="M567">
        <v>5221.0675822522226</v>
      </c>
      <c r="N567">
        <v>-3783.4109357776169</v>
      </c>
      <c r="O567">
        <v>1437.6566464746061</v>
      </c>
      <c r="P567">
        <v>44.805456600460033</v>
      </c>
      <c r="Q567">
        <v>195.58748731693049</v>
      </c>
      <c r="R567">
        <v>-1.372600209852481</v>
      </c>
      <c r="S567">
        <v>-688.3279598494679</v>
      </c>
      <c r="T567">
        <v>-3623.9464445534741</v>
      </c>
    </row>
    <row r="568" spans="1:20" x14ac:dyDescent="0.25">
      <c r="A568" s="1" t="s">
        <v>38</v>
      </c>
      <c r="B568">
        <v>2012</v>
      </c>
      <c r="C568">
        <v>742.48130999999989</v>
      </c>
      <c r="D568">
        <v>308.67779706238878</v>
      </c>
      <c r="E568">
        <v>433.80351293761112</v>
      </c>
      <c r="F568">
        <v>7.17703228430452</v>
      </c>
      <c r="G568">
        <v>-5.1183450175154501</v>
      </c>
      <c r="H568">
        <v>2.0586872667890699</v>
      </c>
      <c r="I568">
        <v>5.4780159246514387E-2</v>
      </c>
      <c r="J568">
        <v>0.22358444332966529</v>
      </c>
      <c r="K568">
        <v>-3.206311124496436E-3</v>
      </c>
      <c r="L568">
        <v>-1.5998246055406371</v>
      </c>
      <c r="M568">
        <v>5328.8123323627105</v>
      </c>
      <c r="N568">
        <v>-3800.2755136368442</v>
      </c>
      <c r="O568">
        <v>1528.536818725868</v>
      </c>
      <c r="P568">
        <v>40.673244399360613</v>
      </c>
      <c r="Q568">
        <v>166.00727037903059</v>
      </c>
      <c r="R568">
        <v>-0.98971705460619042</v>
      </c>
      <c r="S568">
        <v>-694.00953396755642</v>
      </c>
      <c r="T568">
        <v>-3814.1329691013661</v>
      </c>
    </row>
    <row r="569" spans="1:20" x14ac:dyDescent="0.25">
      <c r="A569" s="1" t="s">
        <v>38</v>
      </c>
      <c r="B569">
        <v>2013</v>
      </c>
      <c r="C569">
        <v>747.13337000000035</v>
      </c>
      <c r="D569">
        <v>310.95942321386502</v>
      </c>
      <c r="E569">
        <v>436.17394678613539</v>
      </c>
      <c r="F569">
        <v>7.2569624452631416</v>
      </c>
      <c r="G569">
        <v>-5.1339574069651714</v>
      </c>
      <c r="H569">
        <v>2.1230050382979719</v>
      </c>
      <c r="I569">
        <v>8.9616743378623021E-2</v>
      </c>
      <c r="J569">
        <v>0.231919975921555</v>
      </c>
      <c r="K569">
        <v>-7.4106403050655384E-3</v>
      </c>
      <c r="L569">
        <v>-1.59102673989493</v>
      </c>
      <c r="M569">
        <v>5421.9188076928949</v>
      </c>
      <c r="N569">
        <v>-3835.7508989023509</v>
      </c>
      <c r="O569">
        <v>1586.1679087905441</v>
      </c>
      <c r="P569">
        <v>66.955659488895833</v>
      </c>
      <c r="Q569">
        <v>173.27515318059031</v>
      </c>
      <c r="R569">
        <v>-2.3044084349085998</v>
      </c>
      <c r="S569">
        <v>-693.96441258224968</v>
      </c>
      <c r="T569">
        <v>-4143.8096349575744</v>
      </c>
    </row>
    <row r="570" spans="1:20" x14ac:dyDescent="0.25">
      <c r="A570" s="1" t="s">
        <v>38</v>
      </c>
      <c r="B570">
        <v>2014</v>
      </c>
      <c r="C570">
        <v>752.88977999999986</v>
      </c>
      <c r="D570">
        <v>313.52342297966311</v>
      </c>
      <c r="E570">
        <v>439.36635702033669</v>
      </c>
      <c r="F570">
        <v>7.3482406618927198</v>
      </c>
      <c r="G570">
        <v>-5.4771677641284473</v>
      </c>
      <c r="H570">
        <v>1.871072897764273</v>
      </c>
      <c r="I570">
        <v>0.1356290299505587</v>
      </c>
      <c r="J570">
        <v>0.30381580977957517</v>
      </c>
      <c r="K570">
        <v>4.0127275675568477E-3</v>
      </c>
      <c r="L570">
        <v>-1.5894068445321849</v>
      </c>
      <c r="M570">
        <v>5532.4152953194634</v>
      </c>
      <c r="N570">
        <v>-4123.7036329577577</v>
      </c>
      <c r="O570">
        <v>1408.711662361706</v>
      </c>
      <c r="P570">
        <v>102.1137105210895</v>
      </c>
      <c r="Q570">
        <v>228.73981818546619</v>
      </c>
      <c r="R570">
        <v>1.2580840824652799</v>
      </c>
      <c r="S570">
        <v>-698.33189510529473</v>
      </c>
      <c r="T570">
        <v>-3822.4683935002649</v>
      </c>
    </row>
    <row r="571" spans="1:20" x14ac:dyDescent="0.25">
      <c r="A571" s="1" t="s">
        <v>38</v>
      </c>
      <c r="B571">
        <v>2015</v>
      </c>
      <c r="C571">
        <v>758.38259000000039</v>
      </c>
      <c r="D571">
        <v>316.21238603908159</v>
      </c>
      <c r="E571">
        <v>442.1702039609188</v>
      </c>
      <c r="F571">
        <v>7.408369524271766</v>
      </c>
      <c r="G571">
        <v>-5.3055801008244661</v>
      </c>
      <c r="H571">
        <v>2.1027894234472999</v>
      </c>
      <c r="I571">
        <v>0.1535972492448518</v>
      </c>
      <c r="J571">
        <v>0.26584818661884102</v>
      </c>
      <c r="K571">
        <v>-2.595454665031101E-3</v>
      </c>
      <c r="L571">
        <v>-1.596442271080069</v>
      </c>
      <c r="M571">
        <v>5618.3784674942926</v>
      </c>
      <c r="N571">
        <v>-4023.6595783157218</v>
      </c>
      <c r="O571">
        <v>1594.7188891785711</v>
      </c>
      <c r="P571">
        <v>116.4854796991863</v>
      </c>
      <c r="Q571">
        <v>201.61463631480009</v>
      </c>
      <c r="R571">
        <v>-0.82071491248574979</v>
      </c>
      <c r="S571">
        <v>-705.89920461530653</v>
      </c>
      <c r="T571">
        <v>-4422.3633141045402</v>
      </c>
    </row>
    <row r="572" spans="1:20" x14ac:dyDescent="0.25">
      <c r="A572" s="1" t="s">
        <v>38</v>
      </c>
      <c r="B572">
        <v>2016</v>
      </c>
      <c r="C572">
        <v>763.68238999999949</v>
      </c>
      <c r="D572">
        <v>318.16694812086598</v>
      </c>
      <c r="E572">
        <v>445.51544187913362</v>
      </c>
      <c r="F572">
        <v>7.609435693711732</v>
      </c>
      <c r="G572">
        <v>-5.4641631297537412</v>
      </c>
      <c r="H572">
        <v>2.1452725639579908</v>
      </c>
      <c r="I572">
        <v>0.1518710633484156</v>
      </c>
      <c r="J572">
        <v>0.23542912994419199</v>
      </c>
      <c r="K572">
        <v>-1.567315273136111E-2</v>
      </c>
      <c r="L572">
        <v>-1.5998878897083679</v>
      </c>
      <c r="M572">
        <v>5811.1920371250799</v>
      </c>
      <c r="N572">
        <v>-4172.8851582802135</v>
      </c>
      <c r="O572">
        <v>1638.306878844865</v>
      </c>
      <c r="P572">
        <v>115.9812566297593</v>
      </c>
      <c r="Q572">
        <v>179.79308063140101</v>
      </c>
      <c r="R572">
        <v>-4.9866791719693788</v>
      </c>
      <c r="S572">
        <v>-712.77476014049819</v>
      </c>
      <c r="T572">
        <v>-4459.8391815767854</v>
      </c>
    </row>
    <row r="573" spans="1:20" x14ac:dyDescent="0.25">
      <c r="A573" s="1" t="s">
        <v>38</v>
      </c>
      <c r="B573">
        <v>2017</v>
      </c>
      <c r="C573">
        <v>768.81814000000031</v>
      </c>
      <c r="D573">
        <v>320.17987369707419</v>
      </c>
      <c r="E573">
        <v>448.63826630292613</v>
      </c>
      <c r="F573">
        <v>7.598981423171546</v>
      </c>
      <c r="G573">
        <v>-6.1795082138911424</v>
      </c>
      <c r="H573">
        <v>1.419473209280403</v>
      </c>
      <c r="I573">
        <v>0.30640291568138289</v>
      </c>
      <c r="J573">
        <v>0.39325619199066592</v>
      </c>
      <c r="K573">
        <v>-6.1492643749121792E-3</v>
      </c>
      <c r="L573">
        <v>-1.604727426110133</v>
      </c>
      <c r="M573">
        <v>5842.2347636573031</v>
      </c>
      <c r="N573">
        <v>-4750.9180111185124</v>
      </c>
      <c r="O573">
        <v>1091.316752538791</v>
      </c>
      <c r="P573">
        <v>235.56811972473781</v>
      </c>
      <c r="Q573">
        <v>302.34249406974669</v>
      </c>
      <c r="R573">
        <v>-1.968870690889299</v>
      </c>
      <c r="S573">
        <v>-719.94213033880692</v>
      </c>
      <c r="T573">
        <v>-3326.8266727800919</v>
      </c>
    </row>
    <row r="574" spans="1:20" x14ac:dyDescent="0.25">
      <c r="A574" s="1" t="s">
        <v>38</v>
      </c>
      <c r="B574">
        <v>2018</v>
      </c>
      <c r="C574">
        <v>771.64361999999994</v>
      </c>
      <c r="D574">
        <v>320.70048198703711</v>
      </c>
      <c r="E574">
        <v>450.94313801296289</v>
      </c>
      <c r="F574">
        <v>7.6248473543739612</v>
      </c>
      <c r="G574">
        <v>-6.2021665170077132</v>
      </c>
      <c r="H574">
        <v>1.4226808373662481</v>
      </c>
      <c r="I574">
        <v>0.249572585982378</v>
      </c>
      <c r="J574">
        <v>0.29342141552313261</v>
      </c>
      <c r="K574">
        <v>-9.7681646830448006E-3</v>
      </c>
      <c r="L574">
        <v>-1.6098593643523129</v>
      </c>
      <c r="M574">
        <v>5883.6648144765459</v>
      </c>
      <c r="N574">
        <v>-4785.8622230266228</v>
      </c>
      <c r="O574">
        <v>1097.8025914499231</v>
      </c>
      <c r="P574">
        <v>192.58109370020341</v>
      </c>
      <c r="Q574">
        <v>226.41676325979421</v>
      </c>
      <c r="R574">
        <v>-3.13265512198122</v>
      </c>
      <c r="S574">
        <v>-725.95503352058586</v>
      </c>
      <c r="T574">
        <v>-2888.2801191472249</v>
      </c>
    </row>
    <row r="575" spans="1:20" x14ac:dyDescent="0.25">
      <c r="A575" s="1" t="s">
        <v>38</v>
      </c>
      <c r="B575">
        <v>2019</v>
      </c>
      <c r="C575">
        <v>774.79350999999997</v>
      </c>
      <c r="D575">
        <v>321.632265712037</v>
      </c>
      <c r="E575">
        <v>453.16124428796297</v>
      </c>
      <c r="F575">
        <v>7.6189884664720662</v>
      </c>
      <c r="G575">
        <v>-6.4341519285990136</v>
      </c>
      <c r="H575">
        <v>1.184836537873053</v>
      </c>
      <c r="I575">
        <v>0.27138532348642519</v>
      </c>
      <c r="J575">
        <v>0.31273251443604849</v>
      </c>
      <c r="K575">
        <v>-1.154531976984885E-2</v>
      </c>
      <c r="L575">
        <v>-1.6135497074544081</v>
      </c>
      <c r="M575">
        <v>5903.1428165874086</v>
      </c>
      <c r="N575">
        <v>-4985.1391566324992</v>
      </c>
      <c r="O575">
        <v>918.00365995491029</v>
      </c>
      <c r="P575">
        <v>210.26758734653279</v>
      </c>
      <c r="Q575">
        <v>242.30312255103169</v>
      </c>
      <c r="R575">
        <v>-3.71334735594646</v>
      </c>
      <c r="S575">
        <v>-731.19819315051825</v>
      </c>
      <c r="T575">
        <v>-2330.7637076022479</v>
      </c>
    </row>
    <row r="576" spans="1:20" x14ac:dyDescent="0.25">
      <c r="A576" s="1" t="s">
        <v>38</v>
      </c>
      <c r="B576">
        <v>2020</v>
      </c>
      <c r="C576">
        <v>776.42783000000054</v>
      </c>
      <c r="D576">
        <v>321.632265712037</v>
      </c>
      <c r="E576">
        <v>454.79556428796349</v>
      </c>
      <c r="F576">
        <v>7.5966318749759658</v>
      </c>
      <c r="G576">
        <v>-6.2444422968894466</v>
      </c>
      <c r="H576">
        <v>1.352189578086519</v>
      </c>
      <c r="I576">
        <v>0.13869300963985459</v>
      </c>
      <c r="J576">
        <v>0.19727305496874981</v>
      </c>
      <c r="K576">
        <v>-1.7360416796998651E-2</v>
      </c>
      <c r="L576">
        <v>-1.5821359585869359</v>
      </c>
      <c r="M576">
        <v>5898.2364019964243</v>
      </c>
      <c r="N576">
        <v>-4848.3587821340934</v>
      </c>
      <c r="O576">
        <v>1049.877619862332</v>
      </c>
      <c r="P576">
        <v>107.68511251084151</v>
      </c>
      <c r="Q576">
        <v>153.16828998685719</v>
      </c>
      <c r="R576">
        <v>-5.5836701881239801</v>
      </c>
      <c r="S576">
        <v>-719.54841606582363</v>
      </c>
      <c r="T576">
        <v>-2147.1960990558318</v>
      </c>
    </row>
    <row r="577" spans="1:20" x14ac:dyDescent="0.25">
      <c r="A577" s="1" t="s">
        <v>38</v>
      </c>
      <c r="B577">
        <v>2021</v>
      </c>
      <c r="C577">
        <v>778.44430999999963</v>
      </c>
      <c r="D577">
        <v>321.632265712037</v>
      </c>
      <c r="E577">
        <v>456.81204428796258</v>
      </c>
      <c r="F577">
        <v>7.5930673016400334</v>
      </c>
      <c r="G577">
        <v>-6.5938457727935544</v>
      </c>
      <c r="H577">
        <v>0.9992215288464783</v>
      </c>
      <c r="I577">
        <v>0.181635190481019</v>
      </c>
      <c r="J577">
        <v>0.25128866278418149</v>
      </c>
      <c r="K577">
        <v>-1.402283316589756E-2</v>
      </c>
      <c r="L577">
        <v>-1.557630496682072</v>
      </c>
      <c r="M577">
        <v>5910.7800364087343</v>
      </c>
      <c r="N577">
        <v>-5132.9417228486927</v>
      </c>
      <c r="O577">
        <v>777.83831356004157</v>
      </c>
      <c r="P577">
        <v>141.39288052571541</v>
      </c>
      <c r="Q577">
        <v>195.61422971185479</v>
      </c>
      <c r="R577">
        <v>-4.5101956028495298</v>
      </c>
      <c r="S577">
        <v>-711.54437143461166</v>
      </c>
      <c r="T577">
        <v>-1462.2331414540181</v>
      </c>
    </row>
    <row r="578" spans="1:20" x14ac:dyDescent="0.25">
      <c r="A578" s="1" t="s">
        <v>38</v>
      </c>
      <c r="B578">
        <v>2022</v>
      </c>
      <c r="C578">
        <v>780.53619999999978</v>
      </c>
      <c r="D578">
        <v>321.632265712037</v>
      </c>
      <c r="E578">
        <v>458.90393428796278</v>
      </c>
      <c r="F578">
        <v>7.5757992117747657</v>
      </c>
      <c r="G578">
        <v>-6.3898567204940084</v>
      </c>
      <c r="H578">
        <v>1.185942491280759</v>
      </c>
      <c r="I578">
        <v>0.35169808546672843</v>
      </c>
      <c r="J578">
        <v>3.3569383676244673E-2</v>
      </c>
      <c r="K578">
        <v>-1.6480984418180151E-2</v>
      </c>
      <c r="L578">
        <v>-1.531324958446141</v>
      </c>
      <c r="M578">
        <v>5913.1855287216686</v>
      </c>
      <c r="N578">
        <v>-4987.5144831588532</v>
      </c>
      <c r="O578">
        <v>925.67104556281629</v>
      </c>
      <c r="P578">
        <v>274.51308717747531</v>
      </c>
      <c r="Q578">
        <v>26.202119170998039</v>
      </c>
      <c r="R578">
        <v>-5.3008163595840596</v>
      </c>
      <c r="S578">
        <v>-702.73104810428526</v>
      </c>
      <c r="T578">
        <v>-1900.6327539740471</v>
      </c>
    </row>
    <row r="579" spans="1:20" x14ac:dyDescent="0.25">
      <c r="A579" s="1" t="s">
        <v>38</v>
      </c>
      <c r="B579">
        <v>2023</v>
      </c>
      <c r="C579">
        <v>782.08385999999996</v>
      </c>
      <c r="D579">
        <v>321.63226571199999</v>
      </c>
      <c r="E579">
        <v>460.45159428800002</v>
      </c>
      <c r="F579">
        <v>7.5125816107009298</v>
      </c>
      <c r="G579">
        <v>-6.4761083929661973</v>
      </c>
      <c r="H579">
        <v>1.036473217734732</v>
      </c>
      <c r="I579">
        <v>0.45222783923887649</v>
      </c>
      <c r="J579">
        <v>8.3643803210566206E-2</v>
      </c>
      <c r="K579">
        <v>-1.9810390606163231E-2</v>
      </c>
      <c r="L579">
        <v>-1.510844843803878</v>
      </c>
      <c r="M579">
        <v>5875.4688246619999</v>
      </c>
      <c r="N579">
        <v>-5064.8598497494004</v>
      </c>
      <c r="O579">
        <v>810.60897491259948</v>
      </c>
      <c r="P579">
        <v>353.68009411140002</v>
      </c>
      <c r="Q579">
        <v>65.416468480000006</v>
      </c>
      <c r="R579">
        <v>-6.3716608153000003</v>
      </c>
      <c r="S579">
        <v>-695.67091705129997</v>
      </c>
      <c r="T579">
        <v>-1934.7641853373079</v>
      </c>
    </row>
    <row r="580" spans="1:20" x14ac:dyDescent="0.25">
      <c r="A580" s="1" t="s">
        <v>99</v>
      </c>
      <c r="B580">
        <v>1990</v>
      </c>
      <c r="C580">
        <v>95.556068835701552</v>
      </c>
      <c r="D580">
        <v>94.930064244655711</v>
      </c>
      <c r="E580">
        <v>0.62600459104584716</v>
      </c>
      <c r="F580">
        <v>5.4519176958137378E-2</v>
      </c>
      <c r="G580">
        <v>-1.4399647697843679E-3</v>
      </c>
      <c r="H580">
        <v>5.3079212188353007E-2</v>
      </c>
      <c r="I580">
        <v>4.4350914909358538E-4</v>
      </c>
      <c r="J580">
        <v>9.9143655042651119E-3</v>
      </c>
      <c r="K580">
        <v>2.51832131813041E-2</v>
      </c>
      <c r="L580">
        <v>-0.3699999999999965</v>
      </c>
      <c r="M580">
        <v>5.20963822627757</v>
      </c>
      <c r="N580">
        <v>-0.13759737266250019</v>
      </c>
      <c r="O580">
        <v>5.0720408536150696</v>
      </c>
      <c r="P580">
        <v>4.2379990780050072E-2</v>
      </c>
      <c r="Q580">
        <v>0.94737779258786203</v>
      </c>
      <c r="R580">
        <v>2.3906440451880591</v>
      </c>
      <c r="S580">
        <v>-0.23162169868696131</v>
      </c>
      <c r="T580">
        <v>-30.143010272777701</v>
      </c>
    </row>
    <row r="581" spans="1:20" x14ac:dyDescent="0.25">
      <c r="A581" s="1" t="s">
        <v>99</v>
      </c>
      <c r="B581">
        <v>1991</v>
      </c>
      <c r="C581">
        <v>96.561829569521024</v>
      </c>
      <c r="D581">
        <v>95.683595497245889</v>
      </c>
      <c r="E581">
        <v>0.87823407227513395</v>
      </c>
      <c r="F581">
        <v>5.4904366552173733E-2</v>
      </c>
      <c r="G581">
        <v>-1.5215180473102359E-3</v>
      </c>
      <c r="H581">
        <v>5.3382848504863488E-2</v>
      </c>
      <c r="I581">
        <v>4.5848920689176887E-4</v>
      </c>
      <c r="J581">
        <v>1.1279716435698179E-2</v>
      </c>
      <c r="K581">
        <v>2.8095429617921108E-2</v>
      </c>
      <c r="L581">
        <v>-0.3700000000000021</v>
      </c>
      <c r="M581">
        <v>5.3016660856335101</v>
      </c>
      <c r="N581">
        <v>-0.14692056637132139</v>
      </c>
      <c r="O581">
        <v>5.1547455192621889</v>
      </c>
      <c r="P581">
        <v>4.427255665534785E-2</v>
      </c>
      <c r="Q581">
        <v>1.0891900560564129</v>
      </c>
      <c r="R581">
        <v>2.6882717228825048</v>
      </c>
      <c r="S581">
        <v>-0.32494660674180142</v>
      </c>
      <c r="T581">
        <v>-31.722288576423281</v>
      </c>
    </row>
    <row r="582" spans="1:20" x14ac:dyDescent="0.25">
      <c r="A582" s="1" t="s">
        <v>99</v>
      </c>
      <c r="B582">
        <v>1992</v>
      </c>
      <c r="C582">
        <v>98.337664476884598</v>
      </c>
      <c r="D582">
        <v>97.165871873844878</v>
      </c>
      <c r="E582">
        <v>1.171792603039713</v>
      </c>
      <c r="F582">
        <v>6.0226874955822532E-2</v>
      </c>
      <c r="G582">
        <v>-1.5908243627895881E-3</v>
      </c>
      <c r="H582">
        <v>5.8636050593032937E-2</v>
      </c>
      <c r="I582">
        <v>4.6938882839287291E-4</v>
      </c>
      <c r="J582">
        <v>1.3622275708099169E-2</v>
      </c>
      <c r="K582">
        <v>3.3954161082766519E-2</v>
      </c>
      <c r="L582">
        <v>-0.36999999999999972</v>
      </c>
      <c r="M582">
        <v>5.9225702218969598</v>
      </c>
      <c r="N582">
        <v>-0.15643795242965619</v>
      </c>
      <c r="O582">
        <v>5.7661322694673034</v>
      </c>
      <c r="P582">
        <v>4.6158601115696293E-2</v>
      </c>
      <c r="Q582">
        <v>1.3395827779946721</v>
      </c>
      <c r="R582">
        <v>3.299185665351982</v>
      </c>
      <c r="S582">
        <v>-0.43356326312469329</v>
      </c>
      <c r="T582">
        <v>-36.730818852954862</v>
      </c>
    </row>
    <row r="583" spans="1:20" x14ac:dyDescent="0.25">
      <c r="A583" s="1" t="s">
        <v>99</v>
      </c>
      <c r="B583">
        <v>1993</v>
      </c>
      <c r="C583">
        <v>99.982618562151487</v>
      </c>
      <c r="D583">
        <v>98.742349886069391</v>
      </c>
      <c r="E583">
        <v>1.24026867608209</v>
      </c>
      <c r="F583">
        <v>6.4937839671683498E-2</v>
      </c>
      <c r="G583">
        <v>-1.661874158064769E-3</v>
      </c>
      <c r="H583">
        <v>6.3275965513618734E-2</v>
      </c>
      <c r="I583">
        <v>4.8070484005175237E-4</v>
      </c>
      <c r="J583">
        <v>1.571794504502215E-2</v>
      </c>
      <c r="K583">
        <v>3.9885407020681447E-2</v>
      </c>
      <c r="L583">
        <v>-0.36999999999999789</v>
      </c>
      <c r="M583">
        <v>6.4926552541440801</v>
      </c>
      <c r="N583">
        <v>-0.1661585300440864</v>
      </c>
      <c r="O583">
        <v>6.3264967240999939</v>
      </c>
      <c r="P583">
        <v>4.8062128663874402E-2</v>
      </c>
      <c r="Q583">
        <v>1.5715213040173079</v>
      </c>
      <c r="R583">
        <v>3.9383788153844161</v>
      </c>
      <c r="S583">
        <v>-0.45889941015037078</v>
      </c>
      <c r="T583">
        <v>-41.893718394059619</v>
      </c>
    </row>
    <row r="584" spans="1:20" x14ac:dyDescent="0.25">
      <c r="A584" s="1" t="s">
        <v>99</v>
      </c>
      <c r="B584">
        <v>1994</v>
      </c>
      <c r="C584">
        <v>101.1879030787009</v>
      </c>
      <c r="D584">
        <v>99.866449970560396</v>
      </c>
      <c r="E584">
        <v>1.3214531081404639</v>
      </c>
      <c r="F584">
        <v>6.663386105290163E-2</v>
      </c>
      <c r="G584">
        <v>-1.7402447338285879E-3</v>
      </c>
      <c r="H584">
        <v>6.4893616319073047E-2</v>
      </c>
      <c r="I584">
        <v>4.939931019390069E-4</v>
      </c>
      <c r="J584">
        <v>1.721022343447819E-2</v>
      </c>
      <c r="K584">
        <v>4.4091694499253632E-2</v>
      </c>
      <c r="L584">
        <v>-0.37000000000000122</v>
      </c>
      <c r="M584">
        <v>6.7425406739806304</v>
      </c>
      <c r="N584">
        <v>-0.17609171545986679</v>
      </c>
      <c r="O584">
        <v>6.5664489585207626</v>
      </c>
      <c r="P584">
        <v>4.9986126120551019E-2</v>
      </c>
      <c r="Q584">
        <v>1.7414664208507651</v>
      </c>
      <c r="R584">
        <v>4.4032810028269456</v>
      </c>
      <c r="S584">
        <v>-0.48893765001197342</v>
      </c>
      <c r="T584">
        <v>-44.99823114712995</v>
      </c>
    </row>
    <row r="585" spans="1:20" x14ac:dyDescent="0.25">
      <c r="A585" s="1" t="s">
        <v>99</v>
      </c>
      <c r="B585">
        <v>1995</v>
      </c>
      <c r="C585">
        <v>104.0309938143147</v>
      </c>
      <c r="D585">
        <v>102.49055639704061</v>
      </c>
      <c r="E585">
        <v>1.540437417274062</v>
      </c>
      <c r="F585">
        <v>7.7726559286288452E-2</v>
      </c>
      <c r="G585">
        <v>-1.7903064698164819E-3</v>
      </c>
      <c r="H585">
        <v>7.5936252816471969E-2</v>
      </c>
      <c r="I585">
        <v>4.9920850826759859E-4</v>
      </c>
      <c r="J585">
        <v>2.059330720608319E-2</v>
      </c>
      <c r="K585">
        <v>5.2936888807854757E-2</v>
      </c>
      <c r="L585">
        <v>-0.36999999999999961</v>
      </c>
      <c r="M585">
        <v>8.0859712083198403</v>
      </c>
      <c r="N585">
        <v>-0.18624736128720601</v>
      </c>
      <c r="O585">
        <v>7.8997238470326341</v>
      </c>
      <c r="P585">
        <v>5.1933157235639821E-2</v>
      </c>
      <c r="Q585">
        <v>2.1423422145723232</v>
      </c>
      <c r="R585">
        <v>5.4255311878453094</v>
      </c>
      <c r="S585">
        <v>-0.56996184439140241</v>
      </c>
      <c r="T585">
        <v>-54.815084728418157</v>
      </c>
    </row>
    <row r="586" spans="1:20" x14ac:dyDescent="0.25">
      <c r="A586" s="1" t="s">
        <v>99</v>
      </c>
      <c r="B586">
        <v>1996</v>
      </c>
      <c r="C586">
        <v>105.2385654707155</v>
      </c>
      <c r="D586">
        <v>103.6169436213831</v>
      </c>
      <c r="E586">
        <v>1.621621849332427</v>
      </c>
      <c r="F586">
        <v>8.2445312048267314E-2</v>
      </c>
      <c r="G586">
        <v>-2.1338572074232651E-3</v>
      </c>
      <c r="H586">
        <v>8.0311454840844065E-2</v>
      </c>
      <c r="I586">
        <v>5.9396257234480433E-4</v>
      </c>
      <c r="J586">
        <v>2.1974927231104769E-2</v>
      </c>
      <c r="K586">
        <v>5.6695316760947807E-2</v>
      </c>
      <c r="L586">
        <v>-0.36999999999999822</v>
      </c>
      <c r="M586">
        <v>8.6764263697451494</v>
      </c>
      <c r="N586">
        <v>-0.2245640714285714</v>
      </c>
      <c r="O586">
        <v>8.4518622983165788</v>
      </c>
      <c r="P586">
        <v>6.2507769056863283E-2</v>
      </c>
      <c r="Q586">
        <v>2.312609818124828</v>
      </c>
      <c r="R586">
        <v>5.8745954404155842</v>
      </c>
      <c r="S586">
        <v>-0.60000008425299489</v>
      </c>
      <c r="T586">
        <v>-59.039109219428511</v>
      </c>
    </row>
    <row r="587" spans="1:20" x14ac:dyDescent="0.25">
      <c r="A587" s="1" t="s">
        <v>99</v>
      </c>
      <c r="B587">
        <v>1997</v>
      </c>
      <c r="C587">
        <v>107.11437819969321</v>
      </c>
      <c r="D587">
        <v>105.4115719183024</v>
      </c>
      <c r="E587">
        <v>1.7028062813908009</v>
      </c>
      <c r="F587">
        <v>9.0188782674423054E-2</v>
      </c>
      <c r="G587">
        <v>-1.6469406860457291E-3</v>
      </c>
      <c r="H587">
        <v>8.8541841988377321E-2</v>
      </c>
      <c r="I587">
        <v>4.3135534787568227E-4</v>
      </c>
      <c r="J587">
        <v>2.405932290533596E-2</v>
      </c>
      <c r="K587">
        <v>6.2528670069159173E-2</v>
      </c>
      <c r="L587">
        <v>-0.37000000000000072</v>
      </c>
      <c r="M587">
        <v>9.6605153767580898</v>
      </c>
      <c r="N587">
        <v>-0.17641102751756441</v>
      </c>
      <c r="O587">
        <v>9.4841043492405248</v>
      </c>
      <c r="P587">
        <v>4.6204359870816059E-2</v>
      </c>
      <c r="Q587">
        <v>2.5770994129106972</v>
      </c>
      <c r="R587">
        <v>6.5912454019509754</v>
      </c>
      <c r="S587">
        <v>-0.63003832411459748</v>
      </c>
      <c r="T587">
        <v>-66.251589066153542</v>
      </c>
    </row>
    <row r="588" spans="1:20" x14ac:dyDescent="0.25">
      <c r="A588" s="1" t="s">
        <v>99</v>
      </c>
      <c r="B588">
        <v>1998</v>
      </c>
      <c r="C588">
        <v>109.36064230213221</v>
      </c>
      <c r="D588">
        <v>107.43330756918679</v>
      </c>
      <c r="E588">
        <v>1.927334732945341</v>
      </c>
      <c r="F588">
        <v>9.9797653896068733E-2</v>
      </c>
      <c r="G588">
        <v>-1.6823720721192161E-3</v>
      </c>
      <c r="H588">
        <v>9.8115281823949518E-2</v>
      </c>
      <c r="I588">
        <v>4.3375662076473393E-4</v>
      </c>
      <c r="J588">
        <v>2.6461280680482681E-2</v>
      </c>
      <c r="K588">
        <v>6.8839253134801548E-2</v>
      </c>
      <c r="L588">
        <v>-0.3699999999999995</v>
      </c>
      <c r="M588">
        <v>10.913935530319961</v>
      </c>
      <c r="N588">
        <v>-0.1839852903981265</v>
      </c>
      <c r="O588">
        <v>10.729950239921831</v>
      </c>
      <c r="P588">
        <v>4.7435902649633647E-2</v>
      </c>
      <c r="Q588">
        <v>2.8938226513545859</v>
      </c>
      <c r="R588">
        <v>7.3956286548642431</v>
      </c>
      <c r="S588">
        <v>-0.71311385118977522</v>
      </c>
      <c r="T588">
        <v>-74.630319857875364</v>
      </c>
    </row>
    <row r="589" spans="1:20" x14ac:dyDescent="0.25">
      <c r="A589" s="1" t="s">
        <v>99</v>
      </c>
      <c r="B589">
        <v>1999</v>
      </c>
      <c r="C589">
        <v>110.9983908295272</v>
      </c>
      <c r="D589">
        <v>108.95695803697529</v>
      </c>
      <c r="E589">
        <v>2.0414327925519249</v>
      </c>
      <c r="F589">
        <v>0.10643271342386811</v>
      </c>
      <c r="G589">
        <v>-1.6628442633458409E-3</v>
      </c>
      <c r="H589">
        <v>0.10476986916052231</v>
      </c>
      <c r="I589">
        <v>4.188864208739984E-4</v>
      </c>
      <c r="J589">
        <v>2.815126571083635E-2</v>
      </c>
      <c r="K589">
        <v>7.3564679594190371E-2</v>
      </c>
      <c r="L589">
        <v>-0.3699999999999985</v>
      </c>
      <c r="M589">
        <v>11.813859921669581</v>
      </c>
      <c r="N589">
        <v>-0.18457303743149889</v>
      </c>
      <c r="O589">
        <v>11.629286884238081</v>
      </c>
      <c r="P589">
        <v>4.6495718657353892E-2</v>
      </c>
      <c r="Q589">
        <v>3.1247451937172812</v>
      </c>
      <c r="R589">
        <v>8.0153837075477306</v>
      </c>
      <c r="S589">
        <v>-0.75533013324420928</v>
      </c>
      <c r="T589">
        <v>-80.888798360033562</v>
      </c>
    </row>
    <row r="590" spans="1:20" x14ac:dyDescent="0.25">
      <c r="A590" s="1" t="s">
        <v>99</v>
      </c>
      <c r="B590">
        <v>2000</v>
      </c>
      <c r="C590">
        <v>113.8038988366914</v>
      </c>
      <c r="D590">
        <v>111.4508401707745</v>
      </c>
      <c r="E590">
        <v>2.353058665916969</v>
      </c>
      <c r="F590">
        <v>0.120183867097782</v>
      </c>
      <c r="G590">
        <v>-1.7223336512722121E-3</v>
      </c>
      <c r="H590">
        <v>0.1184615334465098</v>
      </c>
      <c r="I590">
        <v>4.2984312695185149E-4</v>
      </c>
      <c r="J590">
        <v>3.0717054787667571E-2</v>
      </c>
      <c r="K590">
        <v>8.0387085057413071E-2</v>
      </c>
      <c r="L590">
        <v>-0.37000000000000038</v>
      </c>
      <c r="M590">
        <v>13.67739265299835</v>
      </c>
      <c r="N590">
        <v>-0.19600828461241221</v>
      </c>
      <c r="O590">
        <v>13.481384368385941</v>
      </c>
      <c r="P590">
        <v>4.8917823735275617E-2</v>
      </c>
      <c r="Q590">
        <v>3.4957205956168291</v>
      </c>
      <c r="R590">
        <v>8.9592081685281961</v>
      </c>
      <c r="S590">
        <v>-0.87063170638927967</v>
      </c>
      <c r="T590">
        <v>-92.086863916223876</v>
      </c>
    </row>
    <row r="591" spans="1:20" x14ac:dyDescent="0.25">
      <c r="A591" s="1" t="s">
        <v>99</v>
      </c>
      <c r="B591">
        <v>2001</v>
      </c>
      <c r="C591">
        <v>115.3237804191631</v>
      </c>
      <c r="D591">
        <v>112.7755072884071</v>
      </c>
      <c r="E591">
        <v>2.5482731307559421</v>
      </c>
      <c r="F591">
        <v>0.12580115479852119</v>
      </c>
      <c r="G591">
        <v>-1.4720933459879649E-3</v>
      </c>
      <c r="H591">
        <v>0.12432906145253329</v>
      </c>
      <c r="I591">
        <v>3.4407657490833889E-4</v>
      </c>
      <c r="J591">
        <v>3.2170501914354881E-2</v>
      </c>
      <c r="K591">
        <v>8.4396199683012083E-2</v>
      </c>
      <c r="L591">
        <v>-0.36999999999999961</v>
      </c>
      <c r="M591">
        <v>14.50786475246181</v>
      </c>
      <c r="N591">
        <v>-0.16976736978922721</v>
      </c>
      <c r="O591">
        <v>14.338097382672579</v>
      </c>
      <c r="P591">
        <v>3.9680211372106991E-2</v>
      </c>
      <c r="Q591">
        <v>3.710023898745328</v>
      </c>
      <c r="R591">
        <v>9.5178242324653937</v>
      </c>
      <c r="S591">
        <v>-0.94286105837969736</v>
      </c>
      <c r="T591">
        <v>-97.763470445219838</v>
      </c>
    </row>
    <row r="592" spans="1:20" x14ac:dyDescent="0.25">
      <c r="A592" s="1" t="s">
        <v>99</v>
      </c>
      <c r="B592">
        <v>2002</v>
      </c>
      <c r="C592">
        <v>117.9383315860305</v>
      </c>
      <c r="D592">
        <v>115.1472723700964</v>
      </c>
      <c r="E592">
        <v>2.791059215934077</v>
      </c>
      <c r="F592">
        <v>0.13376808862142059</v>
      </c>
      <c r="G592">
        <v>-2.2368665232423719E-3</v>
      </c>
      <c r="H592">
        <v>0.13153122209817819</v>
      </c>
      <c r="I592">
        <v>5.7405211574956003E-4</v>
      </c>
      <c r="J592">
        <v>3.4583121182263248E-2</v>
      </c>
      <c r="K592">
        <v>9.0950928599003417E-2</v>
      </c>
      <c r="L592">
        <v>-0.37000000000000099</v>
      </c>
      <c r="M592">
        <v>15.776385191462619</v>
      </c>
      <c r="N592">
        <v>-0.26381230573185011</v>
      </c>
      <c r="O592">
        <v>15.512572885730769</v>
      </c>
      <c r="P592">
        <v>6.7702748774933985E-2</v>
      </c>
      <c r="Q592">
        <v>4.0786756132736386</v>
      </c>
      <c r="R592">
        <v>10.472751347702641</v>
      </c>
      <c r="S592">
        <v>-1.0326919098956111</v>
      </c>
      <c r="T592">
        <v>-106.6963725138264</v>
      </c>
    </row>
    <row r="593" spans="1:20" x14ac:dyDescent="0.25">
      <c r="A593" s="1" t="s">
        <v>99</v>
      </c>
      <c r="B593">
        <v>2003</v>
      </c>
      <c r="C593">
        <v>120.85995736310269</v>
      </c>
      <c r="D593">
        <v>117.8083179621205</v>
      </c>
      <c r="E593">
        <v>3.051639400982173</v>
      </c>
      <c r="F593">
        <v>0.14400980680815281</v>
      </c>
      <c r="G593">
        <v>-3.329680867159103E-3</v>
      </c>
      <c r="H593">
        <v>0.14068012594099369</v>
      </c>
      <c r="I593">
        <v>9.0029621210324456E-4</v>
      </c>
      <c r="J593">
        <v>3.7155605097141539E-2</v>
      </c>
      <c r="K593">
        <v>9.8144307622867452E-2</v>
      </c>
      <c r="L593">
        <v>-0.37000000000000027</v>
      </c>
      <c r="M593">
        <v>17.405019110701989</v>
      </c>
      <c r="N593">
        <v>-0.40242508763758778</v>
      </c>
      <c r="O593">
        <v>17.0025940230644</v>
      </c>
      <c r="P593">
        <v>0.108809761808961</v>
      </c>
      <c r="Q593">
        <v>4.490624847840806</v>
      </c>
      <c r="R593">
        <v>11.56221579860693</v>
      </c>
      <c r="S593">
        <v>-1.1291065783634049</v>
      </c>
      <c r="T593">
        <v>-117.46217212752219</v>
      </c>
    </row>
    <row r="594" spans="1:20" x14ac:dyDescent="0.25">
      <c r="A594" s="1" t="s">
        <v>99</v>
      </c>
      <c r="B594">
        <v>2004</v>
      </c>
      <c r="C594">
        <v>122.549308222684</v>
      </c>
      <c r="D594">
        <v>119.4196877761122</v>
      </c>
      <c r="E594">
        <v>3.1296204465717961</v>
      </c>
      <c r="F594">
        <v>0.14918669778843871</v>
      </c>
      <c r="G594">
        <v>-2.951736307814565E-3</v>
      </c>
      <c r="H594">
        <v>0.14623496148062409</v>
      </c>
      <c r="I594">
        <v>7.6480674736273261E-4</v>
      </c>
      <c r="J594">
        <v>3.8587107406996148E-2</v>
      </c>
      <c r="K594">
        <v>0.1021034512882928</v>
      </c>
      <c r="L594">
        <v>-0.3699999999999995</v>
      </c>
      <c r="M594">
        <v>18.282726609999791</v>
      </c>
      <c r="N594">
        <v>-0.36173324257845441</v>
      </c>
      <c r="O594">
        <v>17.920993367421339</v>
      </c>
      <c r="P594">
        <v>9.3726537813343946E-2</v>
      </c>
      <c r="Q594">
        <v>4.7288233190417852</v>
      </c>
      <c r="R594">
        <v>12.19316227371141</v>
      </c>
      <c r="S594">
        <v>-1.1579595652315631</v>
      </c>
      <c r="T594">
        <v>-123.8554017534511</v>
      </c>
    </row>
    <row r="595" spans="1:20" x14ac:dyDescent="0.25">
      <c r="A595" s="1" t="s">
        <v>99</v>
      </c>
      <c r="B595">
        <v>2005</v>
      </c>
      <c r="C595">
        <v>125.2364526272286</v>
      </c>
      <c r="D595">
        <v>122.0256477485985</v>
      </c>
      <c r="E595">
        <v>3.2108048786301699</v>
      </c>
      <c r="F595">
        <v>0.17864508190802111</v>
      </c>
      <c r="G595">
        <v>-4.9559556494742901E-3</v>
      </c>
      <c r="H595">
        <v>0.17368912625854679</v>
      </c>
      <c r="I595">
        <v>1.367444751610125E-3</v>
      </c>
      <c r="J595">
        <v>4.0696450393661772E-2</v>
      </c>
      <c r="K595">
        <v>0.108346937367141</v>
      </c>
      <c r="L595">
        <v>-0.37000000000000077</v>
      </c>
      <c r="M595">
        <v>22.372876337461271</v>
      </c>
      <c r="N595">
        <v>-0.62066630491803298</v>
      </c>
      <c r="O595">
        <v>21.752210032543239</v>
      </c>
      <c r="P595">
        <v>0.17125392985537391</v>
      </c>
      <c r="Q595">
        <v>5.0966790818221828</v>
      </c>
      <c r="R595">
        <v>13.2211052138022</v>
      </c>
      <c r="S595">
        <v>-1.187997805093165</v>
      </c>
      <c r="T595">
        <v>-143.1952516607557</v>
      </c>
    </row>
    <row r="596" spans="1:20" x14ac:dyDescent="0.25">
      <c r="A596" s="1" t="s">
        <v>99</v>
      </c>
      <c r="B596">
        <v>2006</v>
      </c>
      <c r="C596">
        <v>127.2412719133997</v>
      </c>
      <c r="D596">
        <v>123.8957720142685</v>
      </c>
      <c r="E596">
        <v>3.3454998991312079</v>
      </c>
      <c r="F596">
        <v>0.18236925167052739</v>
      </c>
      <c r="G596">
        <v>-4.8955087722221281E-3</v>
      </c>
      <c r="H596">
        <v>0.17747374289830531</v>
      </c>
      <c r="I596">
        <v>1.3198381342371919E-3</v>
      </c>
      <c r="J596">
        <v>4.2276837698019078E-2</v>
      </c>
      <c r="K596">
        <v>0.1128213287268167</v>
      </c>
      <c r="L596">
        <v>-0.37000000000000011</v>
      </c>
      <c r="M596">
        <v>23.204895540452799</v>
      </c>
      <c r="N596">
        <v>-0.62291076284074942</v>
      </c>
      <c r="O596">
        <v>22.58198477761205</v>
      </c>
      <c r="P596">
        <v>0.16793788292014869</v>
      </c>
      <c r="Q596">
        <v>5.3793586011723127</v>
      </c>
      <c r="R596">
        <v>13.97808562228453</v>
      </c>
      <c r="S596">
        <v>-1.237834962678547</v>
      </c>
      <c r="T596">
        <v>-149.8549503781521</v>
      </c>
    </row>
    <row r="597" spans="1:20" x14ac:dyDescent="0.25">
      <c r="A597" s="1" t="s">
        <v>99</v>
      </c>
      <c r="B597">
        <v>2007</v>
      </c>
      <c r="C597">
        <v>129.04033420101371</v>
      </c>
      <c r="D597">
        <v>125.6184396991239</v>
      </c>
      <c r="E597">
        <v>3.421894501889772</v>
      </c>
      <c r="F597">
        <v>0.42058840923335639</v>
      </c>
      <c r="G597">
        <v>-3.304276184664771E-3</v>
      </c>
      <c r="H597">
        <v>0.41728413304869172</v>
      </c>
      <c r="I597">
        <v>8.0157870119084123E-4</v>
      </c>
      <c r="J597">
        <v>4.365322221617142E-2</v>
      </c>
      <c r="K597">
        <v>0.1167443617877441</v>
      </c>
      <c r="L597">
        <v>-0.3699999999999995</v>
      </c>
      <c r="M597">
        <v>54.27286888854502</v>
      </c>
      <c r="N597">
        <v>-0.4263849031615925</v>
      </c>
      <c r="O597">
        <v>53.846483985383429</v>
      </c>
      <c r="P597">
        <v>0.1034359834900806</v>
      </c>
      <c r="Q597">
        <v>5.6330263837258752</v>
      </c>
      <c r="R597">
        <v>14.66524457144644</v>
      </c>
      <c r="S597">
        <v>-1.2661009656992139</v>
      </c>
      <c r="T597">
        <v>-267.60099651396189</v>
      </c>
    </row>
    <row r="598" spans="1:20" x14ac:dyDescent="0.25">
      <c r="A598" s="1" t="s">
        <v>99</v>
      </c>
      <c r="B598">
        <v>2008</v>
      </c>
      <c r="C598">
        <v>130.94873757547711</v>
      </c>
      <c r="D598">
        <v>127.402932728964</v>
      </c>
      <c r="E598">
        <v>3.5458048465131222</v>
      </c>
      <c r="F598">
        <v>0.41689043048091318</v>
      </c>
      <c r="G598">
        <v>-6.1433448745882293E-3</v>
      </c>
      <c r="H598">
        <v>0.41074708560632489</v>
      </c>
      <c r="I598">
        <v>1.660214502441984E-3</v>
      </c>
      <c r="J598">
        <v>4.5010530466679133E-2</v>
      </c>
      <c r="K598">
        <v>0.120894755904773</v>
      </c>
      <c r="L598">
        <v>-0.37000000000000072</v>
      </c>
      <c r="M598">
        <v>54.591275578772787</v>
      </c>
      <c r="N598">
        <v>-0.80446325581810652</v>
      </c>
      <c r="O598">
        <v>53.786812322954688</v>
      </c>
      <c r="P598">
        <v>0.21740299319927681</v>
      </c>
      <c r="Q598">
        <v>5.894072142214184</v>
      </c>
      <c r="R598">
        <v>15.40234645382032</v>
      </c>
      <c r="S598">
        <v>-1.3119477932098571</v>
      </c>
      <c r="T598">
        <v>-271.29184910294629</v>
      </c>
    </row>
    <row r="599" spans="1:20" x14ac:dyDescent="0.25">
      <c r="A599" s="1" t="s">
        <v>99</v>
      </c>
      <c r="B599">
        <v>2009</v>
      </c>
      <c r="C599">
        <v>132.91329560681041</v>
      </c>
      <c r="D599">
        <v>129.1792614952025</v>
      </c>
      <c r="E599">
        <v>3.7340341116079512</v>
      </c>
      <c r="F599">
        <v>0.43242977119113379</v>
      </c>
      <c r="G599">
        <v>-8.7463430996662338E-3</v>
      </c>
      <c r="H599">
        <v>0.42368342809146758</v>
      </c>
      <c r="I599">
        <v>2.4271508271976232E-3</v>
      </c>
      <c r="J599">
        <v>4.642932670097738E-2</v>
      </c>
      <c r="K599">
        <v>0.1246342244102786</v>
      </c>
      <c r="L599">
        <v>-0.37000000000000011</v>
      </c>
      <c r="M599">
        <v>57.475666007512558</v>
      </c>
      <c r="N599">
        <v>-1.1625052858845251</v>
      </c>
      <c r="O599">
        <v>56.31316072162803</v>
      </c>
      <c r="P599">
        <v>0.32260061537763213</v>
      </c>
      <c r="Q599">
        <v>6.171074824632182</v>
      </c>
      <c r="R599">
        <v>16.10015706634713</v>
      </c>
      <c r="S599">
        <v>-1.3815926212949421</v>
      </c>
      <c r="T599">
        <v>-284.25980222455593</v>
      </c>
    </row>
    <row r="600" spans="1:20" x14ac:dyDescent="0.25">
      <c r="A600" s="1" t="s">
        <v>99</v>
      </c>
      <c r="B600">
        <v>2010</v>
      </c>
      <c r="C600">
        <v>135.03399211232329</v>
      </c>
      <c r="D600">
        <v>131.21877356865701</v>
      </c>
      <c r="E600">
        <v>3.8152185436663149</v>
      </c>
      <c r="F600">
        <v>0.47001274203826737</v>
      </c>
      <c r="G600">
        <v>-1.619930075221682E-2</v>
      </c>
      <c r="H600">
        <v>0.45381344128605061</v>
      </c>
      <c r="I600">
        <v>4.6707950781914188E-3</v>
      </c>
      <c r="J600">
        <v>4.7573563091960577E-2</v>
      </c>
      <c r="K600">
        <v>0.12834452125995299</v>
      </c>
      <c r="L600">
        <v>-0.36999999999999938</v>
      </c>
      <c r="M600">
        <v>63.467696901086867</v>
      </c>
      <c r="N600">
        <v>-2.1874562499999999</v>
      </c>
      <c r="O600">
        <v>61.280240651086871</v>
      </c>
      <c r="P600">
        <v>0.63071610574677872</v>
      </c>
      <c r="Q600">
        <v>6.4240481433149217</v>
      </c>
      <c r="R600">
        <v>16.841210673987469</v>
      </c>
      <c r="S600">
        <v>-1.411630861156534</v>
      </c>
      <c r="T600">
        <v>-307.13681061428622</v>
      </c>
    </row>
    <row r="601" spans="1:20" x14ac:dyDescent="0.25">
      <c r="A601" s="1" t="s">
        <v>99</v>
      </c>
      <c r="B601">
        <v>2011</v>
      </c>
      <c r="C601">
        <v>136.43892332950949</v>
      </c>
      <c r="D601">
        <v>132.54252035378479</v>
      </c>
      <c r="E601">
        <v>3.8964029757246892</v>
      </c>
      <c r="F601">
        <v>0.51440346728819775</v>
      </c>
      <c r="G601">
        <v>-1.5569246650164381E-2</v>
      </c>
      <c r="H601">
        <v>0.49883422063803329</v>
      </c>
      <c r="I601">
        <v>4.3719530750874272E-3</v>
      </c>
      <c r="J601">
        <v>4.8503415329787081E-2</v>
      </c>
      <c r="K601">
        <v>0.13098502712310339</v>
      </c>
      <c r="L601">
        <v>-0.3700000000000005</v>
      </c>
      <c r="M601">
        <v>70.184655233768268</v>
      </c>
      <c r="N601">
        <v>-2.1242512499999999</v>
      </c>
      <c r="O601">
        <v>68.060403983768268</v>
      </c>
      <c r="P601">
        <v>0.59650457041206684</v>
      </c>
      <c r="Q601">
        <v>6.6177537654001766</v>
      </c>
      <c r="R601">
        <v>17.36108562350498</v>
      </c>
      <c r="S601">
        <v>-1.4416691010181371</v>
      </c>
      <c r="T601">
        <v>-334.37828908761082</v>
      </c>
    </row>
    <row r="602" spans="1:20" x14ac:dyDescent="0.25">
      <c r="A602" s="1" t="s">
        <v>99</v>
      </c>
      <c r="B602">
        <v>2012</v>
      </c>
      <c r="C602">
        <v>137.86930026596741</v>
      </c>
      <c r="D602">
        <v>133.89171285818429</v>
      </c>
      <c r="E602">
        <v>3.9775874077830529</v>
      </c>
      <c r="F602">
        <v>0.52513190883969207</v>
      </c>
      <c r="G602">
        <v>-1.3283264450222669E-2</v>
      </c>
      <c r="H602">
        <v>0.51184864438946942</v>
      </c>
      <c r="I602">
        <v>3.5698482610258611E-3</v>
      </c>
      <c r="J602">
        <v>4.9404746255980472E-2</v>
      </c>
      <c r="K602">
        <v>0.13368142888814341</v>
      </c>
      <c r="L602">
        <v>-0.36999999999999988</v>
      </c>
      <c r="M602">
        <v>72.399568819060121</v>
      </c>
      <c r="N602">
        <v>-1.8313543750000001</v>
      </c>
      <c r="O602">
        <v>70.568214444060118</v>
      </c>
      <c r="P602">
        <v>0.49217248180331602</v>
      </c>
      <c r="Q602">
        <v>6.8113977961296994</v>
      </c>
      <c r="R602">
        <v>17.89883549116308</v>
      </c>
      <c r="S602">
        <v>-1.471707340879729</v>
      </c>
      <c r="T602">
        <v>-345.76268053171191</v>
      </c>
    </row>
    <row r="603" spans="1:20" x14ac:dyDescent="0.25">
      <c r="A603" s="1" t="s">
        <v>99</v>
      </c>
      <c r="B603">
        <v>2013</v>
      </c>
      <c r="C603">
        <v>139.01318957431661</v>
      </c>
      <c r="D603">
        <v>135.01143275086551</v>
      </c>
      <c r="E603">
        <v>4.0017568234511129</v>
      </c>
      <c r="F603">
        <v>0.55645475454287097</v>
      </c>
      <c r="G603">
        <v>-2.0416228191661889E-2</v>
      </c>
      <c r="H603">
        <v>0.53603852635120908</v>
      </c>
      <c r="I603">
        <v>5.6869602361753731E-3</v>
      </c>
      <c r="J603">
        <v>5.0100620614654708E-2</v>
      </c>
      <c r="K603">
        <v>0.13586331858916509</v>
      </c>
      <c r="L603">
        <v>-0.36999999999999938</v>
      </c>
      <c r="M603">
        <v>77.354550282797931</v>
      </c>
      <c r="N603">
        <v>-2.8381250000000011</v>
      </c>
      <c r="O603">
        <v>74.516425282797925</v>
      </c>
      <c r="P603">
        <v>0.79056248141304741</v>
      </c>
      <c r="Q603">
        <v>6.964647071295909</v>
      </c>
      <c r="R603">
        <v>18.343101301010481</v>
      </c>
      <c r="S603">
        <v>-1.480650024676909</v>
      </c>
      <c r="T603">
        <v>-363.49164907678141</v>
      </c>
    </row>
    <row r="604" spans="1:20" x14ac:dyDescent="0.25">
      <c r="A604" s="1" t="s">
        <v>99</v>
      </c>
      <c r="B604">
        <v>2014</v>
      </c>
      <c r="C604">
        <v>140.2304654696305</v>
      </c>
      <c r="D604">
        <v>136.16522766067169</v>
      </c>
      <c r="E604">
        <v>4.0652378089587904</v>
      </c>
      <c r="F604">
        <v>0.59440903516176291</v>
      </c>
      <c r="G604">
        <v>-2.174188746924105E-2</v>
      </c>
      <c r="H604">
        <v>0.57266714769252181</v>
      </c>
      <c r="I604">
        <v>5.9683273719282883E-3</v>
      </c>
      <c r="J604">
        <v>5.0889676138746502E-2</v>
      </c>
      <c r="K604">
        <v>0.13809889656280169</v>
      </c>
      <c r="L604">
        <v>-0.37000000000000038</v>
      </c>
      <c r="M604">
        <v>83.354255680087988</v>
      </c>
      <c r="N604">
        <v>-3.0488749999999998</v>
      </c>
      <c r="O604">
        <v>80.305380680087993</v>
      </c>
      <c r="P604">
        <v>0.83694132544064059</v>
      </c>
      <c r="Q604">
        <v>7.136282972535172</v>
      </c>
      <c r="R604">
        <v>18.804267690161449</v>
      </c>
      <c r="S604">
        <v>-1.504137989314754</v>
      </c>
      <c r="T604">
        <v>-387.12202715604042</v>
      </c>
    </row>
    <row r="605" spans="1:20" x14ac:dyDescent="0.25">
      <c r="A605" s="1" t="s">
        <v>99</v>
      </c>
      <c r="B605">
        <v>2015</v>
      </c>
      <c r="C605">
        <v>141.61521497554571</v>
      </c>
      <c r="D605">
        <v>137.53746775091889</v>
      </c>
      <c r="E605">
        <v>4.07774722462685</v>
      </c>
      <c r="F605">
        <v>0.62952974062022127</v>
      </c>
      <c r="G605">
        <v>-1.7317595432266849E-2</v>
      </c>
      <c r="H605">
        <v>0.61221214518795453</v>
      </c>
      <c r="I605">
        <v>4.473222514469145E-3</v>
      </c>
      <c r="J605">
        <v>5.1549363601304909E-2</v>
      </c>
      <c r="K605">
        <v>0.1402511668440736</v>
      </c>
      <c r="L605">
        <v>-0.36999999999999988</v>
      </c>
      <c r="M605">
        <v>89.15098955143219</v>
      </c>
      <c r="N605">
        <v>-2.452434999999999</v>
      </c>
      <c r="O605">
        <v>86.698554551432196</v>
      </c>
      <c r="P605">
        <v>0.63347636801999918</v>
      </c>
      <c r="Q605">
        <v>7.3001742082513674</v>
      </c>
      <c r="R605">
        <v>19.28979033684551</v>
      </c>
      <c r="S605">
        <v>-1.5087664731119339</v>
      </c>
      <c r="T605">
        <v>-412.18183963530703</v>
      </c>
    </row>
    <row r="606" spans="1:20" x14ac:dyDescent="0.25">
      <c r="A606" s="1" t="s">
        <v>99</v>
      </c>
      <c r="B606">
        <v>2016</v>
      </c>
      <c r="C606">
        <v>142.89606403178919</v>
      </c>
      <c r="D606">
        <v>138.79414739149431</v>
      </c>
      <c r="E606">
        <v>4.1019166402949097</v>
      </c>
      <c r="F606">
        <v>0.66383777258534238</v>
      </c>
      <c r="G606">
        <v>-1.531637708028896E-2</v>
      </c>
      <c r="H606">
        <v>0.64852139550505339</v>
      </c>
      <c r="I606">
        <v>3.758961440637205E-3</v>
      </c>
      <c r="J606">
        <v>5.2351154497282039E-2</v>
      </c>
      <c r="K606">
        <v>0.14267884054742391</v>
      </c>
      <c r="L606">
        <v>-0.36999999999999938</v>
      </c>
      <c r="M606">
        <v>94.859804858075393</v>
      </c>
      <c r="N606">
        <v>-2.18865</v>
      </c>
      <c r="O606">
        <v>92.671154858075397</v>
      </c>
      <c r="P606">
        <v>0.53714079471432052</v>
      </c>
      <c r="Q606">
        <v>7.4807739251817029</v>
      </c>
      <c r="R606">
        <v>19.802988024586661</v>
      </c>
      <c r="S606">
        <v>-1.5177091569091139</v>
      </c>
      <c r="T606">
        <v>-436.23927763408591</v>
      </c>
    </row>
    <row r="607" spans="1:20" x14ac:dyDescent="0.25">
      <c r="A607" s="1" t="s">
        <v>99</v>
      </c>
      <c r="B607">
        <v>2017</v>
      </c>
      <c r="C607">
        <v>143.93802276904569</v>
      </c>
      <c r="D607">
        <v>139.8119367130827</v>
      </c>
      <c r="E607">
        <v>4.1260860559629702</v>
      </c>
      <c r="F607">
        <v>0.72966006121617222</v>
      </c>
      <c r="G607">
        <v>-1.7567977879322409E-2</v>
      </c>
      <c r="H607">
        <v>0.71209208333684981</v>
      </c>
      <c r="I607">
        <v>4.3707677514822213E-3</v>
      </c>
      <c r="J607">
        <v>5.2914029359590997E-2</v>
      </c>
      <c r="K607">
        <v>0.14445434992018741</v>
      </c>
      <c r="L607">
        <v>-0.37000000000000127</v>
      </c>
      <c r="M607">
        <v>105.0258265049966</v>
      </c>
      <c r="N607">
        <v>-2.5287000000000002</v>
      </c>
      <c r="O607">
        <v>102.4971265049966</v>
      </c>
      <c r="P607">
        <v>0.62911966813105846</v>
      </c>
      <c r="Q607">
        <v>7.6163407627627597</v>
      </c>
      <c r="R607">
        <v>20.196442428970741</v>
      </c>
      <c r="S607">
        <v>-1.5266518407063041</v>
      </c>
      <c r="T607">
        <v>-474.51205092194442</v>
      </c>
    </row>
    <row r="608" spans="1:20" x14ac:dyDescent="0.25">
      <c r="A608" s="1" t="s">
        <v>99</v>
      </c>
      <c r="B608">
        <v>2018</v>
      </c>
      <c r="C608">
        <v>145.0214710266126</v>
      </c>
      <c r="D608">
        <v>140.8712155549816</v>
      </c>
      <c r="E608">
        <v>4.1502554716310396</v>
      </c>
      <c r="F608">
        <v>0.77171554407462184</v>
      </c>
      <c r="G608">
        <v>-1.1592335176985611E-2</v>
      </c>
      <c r="H608">
        <v>0.76012320889763618</v>
      </c>
      <c r="I608">
        <v>2.435798475443232E-3</v>
      </c>
      <c r="J608">
        <v>5.353638311326981E-2</v>
      </c>
      <c r="K608">
        <v>0.1464520950967671</v>
      </c>
      <c r="L608">
        <v>-0.36999999999999988</v>
      </c>
      <c r="M608">
        <v>111.91532341580439</v>
      </c>
      <c r="N608">
        <v>-1.6811375000000011</v>
      </c>
      <c r="O608">
        <v>110.2341859158043</v>
      </c>
      <c r="P608">
        <v>0.3532430780331578</v>
      </c>
      <c r="Q608">
        <v>7.7639250325306897</v>
      </c>
      <c r="R608">
        <v>20.63088465685534</v>
      </c>
      <c r="S608">
        <v>-1.5355945245034841</v>
      </c>
      <c r="T608">
        <v>-503.97102858201941</v>
      </c>
    </row>
    <row r="609" spans="1:20" x14ac:dyDescent="0.25">
      <c r="A609" s="1" t="s">
        <v>99</v>
      </c>
      <c r="B609">
        <v>2019</v>
      </c>
      <c r="C609">
        <v>146.0380044631215</v>
      </c>
      <c r="D609">
        <v>141.8635795758224</v>
      </c>
      <c r="E609">
        <v>4.1744248872990992</v>
      </c>
      <c r="F609">
        <v>0.76419564590233213</v>
      </c>
      <c r="G609">
        <v>-1.029988738568284E-2</v>
      </c>
      <c r="H609">
        <v>0.75389575851664925</v>
      </c>
      <c r="I609">
        <v>1.9874018577652002E-3</v>
      </c>
      <c r="J609">
        <v>5.4145195123336778E-2</v>
      </c>
      <c r="K609">
        <v>0.14820017389017601</v>
      </c>
      <c r="L609">
        <v>-0.36999999999999938</v>
      </c>
      <c r="M609">
        <v>111.6016071469828</v>
      </c>
      <c r="N609">
        <v>-1.504175</v>
      </c>
      <c r="O609">
        <v>110.0974321469828</v>
      </c>
      <c r="P609">
        <v>0.29023620137433032</v>
      </c>
      <c r="Q609">
        <v>7.9072562470784424</v>
      </c>
      <c r="R609">
        <v>21.0242071618197</v>
      </c>
      <c r="S609">
        <v>-1.5445372083006641</v>
      </c>
      <c r="T609">
        <v>-505.17351334621281</v>
      </c>
    </row>
    <row r="610" spans="1:20" x14ac:dyDescent="0.25">
      <c r="A610" s="1" t="s">
        <v>99</v>
      </c>
      <c r="B610">
        <v>2020</v>
      </c>
      <c r="C610">
        <v>147.3854019337619</v>
      </c>
      <c r="D610">
        <v>143.10500391100129</v>
      </c>
      <c r="E610">
        <v>4.2803980227605773</v>
      </c>
      <c r="F610">
        <v>0.76246947817204935</v>
      </c>
      <c r="G610">
        <v>-1.256047902784824E-2</v>
      </c>
      <c r="H610">
        <v>0.74990899914420117</v>
      </c>
      <c r="I610">
        <v>2.6476751357108032E-3</v>
      </c>
      <c r="J610">
        <v>5.4429576664444652E-2</v>
      </c>
      <c r="K610">
        <v>0.14928371953720879</v>
      </c>
      <c r="L610">
        <v>-0.37000000000000022</v>
      </c>
      <c r="M610">
        <v>112.3768705026132</v>
      </c>
      <c r="N610">
        <v>-1.8512312500000001</v>
      </c>
      <c r="O610">
        <v>110.5256392526132</v>
      </c>
      <c r="P610">
        <v>0.39022866406676437</v>
      </c>
      <c r="Q610">
        <v>8.0221250337736834</v>
      </c>
      <c r="R610">
        <v>21.363247268221091</v>
      </c>
      <c r="S610">
        <v>-1.5837472684214151</v>
      </c>
      <c r="T610">
        <v>-508.63080748430849</v>
      </c>
    </row>
    <row r="611" spans="1:20" x14ac:dyDescent="0.25">
      <c r="A611" s="1" t="s">
        <v>99</v>
      </c>
      <c r="B611">
        <v>2021</v>
      </c>
      <c r="C611">
        <v>148.5867254379859</v>
      </c>
      <c r="D611">
        <v>144.18713297224011</v>
      </c>
      <c r="E611">
        <v>4.3995924657458101</v>
      </c>
      <c r="F611">
        <v>0.75306789383846096</v>
      </c>
      <c r="G611">
        <v>-9.8488357266528943E-3</v>
      </c>
      <c r="H611">
        <v>0.74321905811180811</v>
      </c>
      <c r="I611">
        <v>1.7606207501806781E-3</v>
      </c>
      <c r="J611">
        <v>5.5098074248732837E-2</v>
      </c>
      <c r="K611">
        <v>0.15124111454492059</v>
      </c>
      <c r="L611">
        <v>-0.36999999999999977</v>
      </c>
      <c r="M611">
        <v>111.8958923779377</v>
      </c>
      <c r="N611">
        <v>-1.46340625</v>
      </c>
      <c r="O611">
        <v>110.43248612793769</v>
      </c>
      <c r="P611">
        <v>0.26160487200751731</v>
      </c>
      <c r="Q611">
        <v>8.1868424305582295</v>
      </c>
      <c r="R611">
        <v>21.80702269375827</v>
      </c>
      <c r="S611">
        <v>-1.6278492123259489</v>
      </c>
      <c r="T611">
        <v>-509.88705867714441</v>
      </c>
    </row>
    <row r="612" spans="1:20" x14ac:dyDescent="0.25">
      <c r="A612" s="1" t="s">
        <v>99</v>
      </c>
      <c r="B612">
        <v>2022</v>
      </c>
      <c r="C612">
        <v>150.37089922579071</v>
      </c>
      <c r="D612">
        <v>145.66206226242531</v>
      </c>
      <c r="E612">
        <v>4.7088369633653908</v>
      </c>
      <c r="F612">
        <v>0.80494983948444043</v>
      </c>
      <c r="G612">
        <v>-3.046047322708571E-2</v>
      </c>
      <c r="H612">
        <v>0.77448936625735476</v>
      </c>
      <c r="I612">
        <v>8.0825102691752856E-3</v>
      </c>
      <c r="J612">
        <v>5.606385185386812E-2</v>
      </c>
      <c r="K612">
        <v>0.15399737504165101</v>
      </c>
      <c r="L612">
        <v>-0.36999999999999938</v>
      </c>
      <c r="M612">
        <v>121.04103119493119</v>
      </c>
      <c r="N612">
        <v>-4.5803687500000008</v>
      </c>
      <c r="O612">
        <v>116.4606624449312</v>
      </c>
      <c r="P612">
        <v>1.2153743371775749</v>
      </c>
      <c r="Q612">
        <v>8.4303718173276607</v>
      </c>
      <c r="R612">
        <v>22.431575231567031</v>
      </c>
      <c r="S612">
        <v>-1.7422696764451919</v>
      </c>
      <c r="T612">
        <v>-538.25095190009574</v>
      </c>
    </row>
    <row r="613" spans="1:20" x14ac:dyDescent="0.25">
      <c r="A613" s="1" t="s">
        <v>99</v>
      </c>
      <c r="B613">
        <v>2023</v>
      </c>
      <c r="C613">
        <v>153.79499804582139</v>
      </c>
      <c r="D613">
        <v>149.06199166678789</v>
      </c>
      <c r="E613">
        <v>4.7330063790334602</v>
      </c>
      <c r="F613">
        <v>0.79620595127595406</v>
      </c>
      <c r="G613">
        <v>-8.5739947121500522E-3</v>
      </c>
      <c r="H613">
        <v>0.78763195656380403</v>
      </c>
      <c r="I613">
        <v>1.186914250519483E-3</v>
      </c>
      <c r="J613">
        <v>5.7954874112982648E-2</v>
      </c>
      <c r="K613">
        <v>0.15925188178432489</v>
      </c>
      <c r="L613">
        <v>-0.37</v>
      </c>
      <c r="M613">
        <v>122.45249272055671</v>
      </c>
      <c r="N613">
        <v>-1.3186374999999999</v>
      </c>
      <c r="O613">
        <v>121.1338552205567</v>
      </c>
      <c r="P613">
        <v>0.18254147483920141</v>
      </c>
      <c r="Q613">
        <v>8.9131697509519903</v>
      </c>
      <c r="R613">
        <v>23.73840267545533</v>
      </c>
      <c r="S613">
        <v>-1.7512123602423799</v>
      </c>
      <c r="T613">
        <v>-558.12810812577379</v>
      </c>
    </row>
    <row r="614" spans="1:20" x14ac:dyDescent="0.25">
      <c r="A614" s="1" t="s">
        <v>39</v>
      </c>
      <c r="B614">
        <v>1990</v>
      </c>
      <c r="C614">
        <v>7589.803478871404</v>
      </c>
      <c r="D614">
        <v>7589.803478871404</v>
      </c>
      <c r="E614" t="s">
        <v>96</v>
      </c>
      <c r="F614">
        <v>2.5128259699272242</v>
      </c>
      <c r="G614">
        <v>-1.9219358681026959</v>
      </c>
      <c r="H614">
        <v>0.5908901018245285</v>
      </c>
      <c r="I614">
        <v>1.5588115415497339E-2</v>
      </c>
      <c r="J614">
        <v>2.720041746562633E-2</v>
      </c>
      <c r="K614">
        <v>7.7894348815492854E-3</v>
      </c>
      <c r="L614" t="s">
        <v>96</v>
      </c>
      <c r="M614">
        <v>19071.855288352061</v>
      </c>
      <c r="N614">
        <v>-14587.115537893569</v>
      </c>
      <c r="O614">
        <v>4484.7397504584842</v>
      </c>
      <c r="P614">
        <v>118.3107326095907</v>
      </c>
      <c r="Q614">
        <v>206.44582310736519</v>
      </c>
      <c r="R614">
        <v>59.12027996242503</v>
      </c>
      <c r="S614" t="s">
        <v>96</v>
      </c>
      <c r="T614">
        <v>-17851.59414917379</v>
      </c>
    </row>
    <row r="615" spans="1:20" x14ac:dyDescent="0.25">
      <c r="A615" s="1" t="s">
        <v>39</v>
      </c>
      <c r="B615">
        <v>1991</v>
      </c>
      <c r="C615">
        <v>7667.7632808231083</v>
      </c>
      <c r="D615">
        <v>7667.7632808231083</v>
      </c>
      <c r="E615" t="s">
        <v>96</v>
      </c>
      <c r="F615">
        <v>2.517191263892995</v>
      </c>
      <c r="G615">
        <v>-1.5173761563754571</v>
      </c>
      <c r="H615">
        <v>0.99981510751753699</v>
      </c>
      <c r="I615">
        <v>1.542962767201839E-2</v>
      </c>
      <c r="J615">
        <v>2.6923864914735751E-2</v>
      </c>
      <c r="K615">
        <v>8.2362746518676779E-3</v>
      </c>
      <c r="L615" t="s">
        <v>96</v>
      </c>
      <c r="M615">
        <v>19301.226744087409</v>
      </c>
      <c r="N615">
        <v>-11634.881175052231</v>
      </c>
      <c r="O615">
        <v>7666.3455690351784</v>
      </c>
      <c r="P615">
        <v>118.3107325002747</v>
      </c>
      <c r="Q615">
        <v>206.44582277105241</v>
      </c>
      <c r="R615">
        <v>63.153804346365114</v>
      </c>
      <c r="S615" t="s">
        <v>96</v>
      </c>
      <c r="T615">
        <v>-29532.271738396539</v>
      </c>
    </row>
    <row r="616" spans="1:20" x14ac:dyDescent="0.25">
      <c r="A616" s="1" t="s">
        <v>39</v>
      </c>
      <c r="B616">
        <v>1992</v>
      </c>
      <c r="C616">
        <v>7745.7230827748162</v>
      </c>
      <c r="D616">
        <v>7745.7230827748162</v>
      </c>
      <c r="E616" t="s">
        <v>96</v>
      </c>
      <c r="F616">
        <v>2.5203937787202459</v>
      </c>
      <c r="G616">
        <v>-1.5783726407981269</v>
      </c>
      <c r="H616">
        <v>0.94202113792211883</v>
      </c>
      <c r="I616">
        <v>1.527433023228238E-2</v>
      </c>
      <c r="J616">
        <v>2.66528793451586E-2</v>
      </c>
      <c r="K616">
        <v>8.6741196415501317E-3</v>
      </c>
      <c r="L616" t="s">
        <v>96</v>
      </c>
      <c r="M616">
        <v>19522.272269515452</v>
      </c>
      <c r="N616">
        <v>-12225.637397050299</v>
      </c>
      <c r="O616">
        <v>7296.6348724651543</v>
      </c>
      <c r="P616">
        <v>118.3107322541148</v>
      </c>
      <c r="Q616">
        <v>206.4458227662071</v>
      </c>
      <c r="R616">
        <v>67.187328730305268</v>
      </c>
      <c r="S616" t="s">
        <v>96</v>
      </c>
      <c r="T616">
        <v>-28191.455439460431</v>
      </c>
    </row>
    <row r="617" spans="1:20" x14ac:dyDescent="0.25">
      <c r="A617" s="1" t="s">
        <v>39</v>
      </c>
      <c r="B617">
        <v>1993</v>
      </c>
      <c r="C617">
        <v>7823.6828847265206</v>
      </c>
      <c r="D617">
        <v>7823.6828847265206</v>
      </c>
      <c r="E617" t="s">
        <v>96</v>
      </c>
      <c r="F617">
        <v>2.5207201634103762</v>
      </c>
      <c r="G617">
        <v>-1.940876285424278</v>
      </c>
      <c r="H617">
        <v>0.5798438779860986</v>
      </c>
      <c r="I617">
        <v>1.5122127814170581E-2</v>
      </c>
      <c r="J617">
        <v>2.6387294218252609E-2</v>
      </c>
      <c r="K617">
        <v>9.1032387385336835E-3</v>
      </c>
      <c r="L617" t="s">
        <v>96</v>
      </c>
      <c r="M617">
        <v>19721.315199658799</v>
      </c>
      <c r="N617">
        <v>-15184.80057564551</v>
      </c>
      <c r="O617">
        <v>4536.5146240132926</v>
      </c>
      <c r="P617">
        <v>118.3107325603733</v>
      </c>
      <c r="Q617">
        <v>206.44582214958609</v>
      </c>
      <c r="R617">
        <v>71.220853114245429</v>
      </c>
      <c r="S617" t="s">
        <v>96</v>
      </c>
      <c r="T617">
        <v>-18085.804116739131</v>
      </c>
    </row>
    <row r="618" spans="1:20" x14ac:dyDescent="0.25">
      <c r="A618" s="1" t="s">
        <v>39</v>
      </c>
      <c r="B618">
        <v>1994</v>
      </c>
      <c r="C618">
        <v>7901.6426866782267</v>
      </c>
      <c r="D618">
        <v>7901.6426866782267</v>
      </c>
      <c r="E618" t="s">
        <v>96</v>
      </c>
      <c r="F618">
        <v>2.5216552924134938</v>
      </c>
      <c r="G618">
        <v>-1.601142318571225</v>
      </c>
      <c r="H618">
        <v>0.92051297384226927</v>
      </c>
      <c r="I618">
        <v>1.4972928712068061E-2</v>
      </c>
      <c r="J618">
        <v>2.6126949922550331E-2</v>
      </c>
      <c r="K618">
        <v>9.5238902190630075E-3</v>
      </c>
      <c r="L618" t="s">
        <v>96</v>
      </c>
      <c r="M618">
        <v>19925.219099622529</v>
      </c>
      <c r="N618">
        <v>-12651.65449186934</v>
      </c>
      <c r="O618">
        <v>7273.5646077531928</v>
      </c>
      <c r="P618">
        <v>118.310732655867</v>
      </c>
      <c r="Q618">
        <v>206.44582278072809</v>
      </c>
      <c r="R618">
        <v>75.254377498185505</v>
      </c>
      <c r="S618" t="s">
        <v>96</v>
      </c>
      <c r="T618">
        <v>-28136.443649191791</v>
      </c>
    </row>
    <row r="619" spans="1:20" x14ac:dyDescent="0.25">
      <c r="A619" s="1" t="s">
        <v>39</v>
      </c>
      <c r="B619">
        <v>1995</v>
      </c>
      <c r="C619">
        <v>7979.6024886299319</v>
      </c>
      <c r="D619">
        <v>7979.6024886299319</v>
      </c>
      <c r="E619" t="s">
        <v>96</v>
      </c>
      <c r="F619">
        <v>2.5230708767740668</v>
      </c>
      <c r="G619">
        <v>-1.5121277042824111</v>
      </c>
      <c r="H619">
        <v>1.010943172491656</v>
      </c>
      <c r="I619">
        <v>1.4826644888130991E-2</v>
      </c>
      <c r="J619">
        <v>2.5871692643385631E-2</v>
      </c>
      <c r="K619">
        <v>1.2048385594189651E-2</v>
      </c>
      <c r="L619" t="s">
        <v>96</v>
      </c>
      <c r="M619">
        <v>20133.102647296051</v>
      </c>
      <c r="N619">
        <v>-12066.17799221819</v>
      </c>
      <c r="O619">
        <v>8066.9246550778571</v>
      </c>
      <c r="P619">
        <v>118.3107324473623</v>
      </c>
      <c r="Q619">
        <v>206.44582300222871</v>
      </c>
      <c r="R619">
        <v>96.141327671368771</v>
      </c>
      <c r="S619" t="s">
        <v>96</v>
      </c>
      <c r="T619">
        <v>-31122.015973398491</v>
      </c>
    </row>
    <row r="620" spans="1:20" x14ac:dyDescent="0.25">
      <c r="A620" s="1" t="s">
        <v>39</v>
      </c>
      <c r="B620">
        <v>1996</v>
      </c>
      <c r="C620">
        <v>8057.5622905816372</v>
      </c>
      <c r="D620">
        <v>8057.5622905816372</v>
      </c>
      <c r="E620" t="s">
        <v>96</v>
      </c>
      <c r="F620">
        <v>2.5238068898839212</v>
      </c>
      <c r="G620">
        <v>-1.53250506005711</v>
      </c>
      <c r="H620">
        <v>0.9913018298268117</v>
      </c>
      <c r="I620">
        <v>1.468319184355941E-2</v>
      </c>
      <c r="J620">
        <v>2.5621374802187829E-2</v>
      </c>
      <c r="K620">
        <v>1.2782112510008589E-2</v>
      </c>
      <c r="L620" t="s">
        <v>96</v>
      </c>
      <c r="M620">
        <v>20335.73122463881</v>
      </c>
      <c r="N620">
        <v>-12348.25498204171</v>
      </c>
      <c r="O620">
        <v>7987.476242597093</v>
      </c>
      <c r="P620">
        <v>118.31073290404019</v>
      </c>
      <c r="Q620">
        <v>206.44582343896721</v>
      </c>
      <c r="R620">
        <v>102.992667754617</v>
      </c>
      <c r="S620" t="s">
        <v>96</v>
      </c>
      <c r="T620">
        <v>-30855.82671121677</v>
      </c>
    </row>
    <row r="621" spans="1:20" x14ac:dyDescent="0.25">
      <c r="A621" s="1" t="s">
        <v>39</v>
      </c>
      <c r="B621">
        <v>1997</v>
      </c>
      <c r="C621">
        <v>8135.5220925333433</v>
      </c>
      <c r="D621">
        <v>8135.5220925333433</v>
      </c>
      <c r="E621" t="s">
        <v>96</v>
      </c>
      <c r="F621">
        <v>2.5222182262331239</v>
      </c>
      <c r="G621">
        <v>-1.7885857783267769</v>
      </c>
      <c r="H621">
        <v>0.73363244790634718</v>
      </c>
      <c r="I621">
        <v>1.4542487975624E-2</v>
      </c>
      <c r="J621">
        <v>2.5375854147082651E-2</v>
      </c>
      <c r="K621">
        <v>1.350177733997902E-2</v>
      </c>
      <c r="L621" t="s">
        <v>96</v>
      </c>
      <c r="M621">
        <v>20519.562101709838</v>
      </c>
      <c r="N621">
        <v>-14551.079113968441</v>
      </c>
      <c r="O621">
        <v>5968.4829877414049</v>
      </c>
      <c r="P621">
        <v>118.3107322060896</v>
      </c>
      <c r="Q621">
        <v>206.44582203049481</v>
      </c>
      <c r="R621">
        <v>109.84400783786541</v>
      </c>
      <c r="S621" t="s">
        <v>96</v>
      </c>
      <c r="T621">
        <v>-23477.973015993601</v>
      </c>
    </row>
    <row r="622" spans="1:20" x14ac:dyDescent="0.25">
      <c r="A622" s="1" t="s">
        <v>39</v>
      </c>
      <c r="B622">
        <v>1998</v>
      </c>
      <c r="C622">
        <v>8213.4818944850504</v>
      </c>
      <c r="D622">
        <v>8213.4818944850504</v>
      </c>
      <c r="E622" t="s">
        <v>96</v>
      </c>
      <c r="F622">
        <v>2.5181153947213009</v>
      </c>
      <c r="G622">
        <v>-1.841981698332209</v>
      </c>
      <c r="H622">
        <v>0.67613369638909238</v>
      </c>
      <c r="I622">
        <v>1.440445528459606E-2</v>
      </c>
      <c r="J622">
        <v>2.5134994603552681E-2</v>
      </c>
      <c r="K622">
        <v>1.420778050286675E-2</v>
      </c>
      <c r="L622" t="s">
        <v>96</v>
      </c>
      <c r="M622">
        <v>20682.495202767481</v>
      </c>
      <c r="N622">
        <v>-15129.083329224421</v>
      </c>
      <c r="O622">
        <v>5553.411873543062</v>
      </c>
      <c r="P622">
        <v>118.3107326799493</v>
      </c>
      <c r="Q622">
        <v>206.4458230942594</v>
      </c>
      <c r="R622">
        <v>116.69534792111369</v>
      </c>
      <c r="S622" t="s">
        <v>96</v>
      </c>
      <c r="T622">
        <v>-21981.1671832094</v>
      </c>
    </row>
    <row r="623" spans="1:20" x14ac:dyDescent="0.25">
      <c r="A623" s="1" t="s">
        <v>39</v>
      </c>
      <c r="B623">
        <v>1999</v>
      </c>
      <c r="C623">
        <v>8291.4416964367556</v>
      </c>
      <c r="D623">
        <v>8291.4416964367556</v>
      </c>
      <c r="E623" t="s">
        <v>96</v>
      </c>
      <c r="F623">
        <v>2.5175388767049651</v>
      </c>
      <c r="G623">
        <v>-1.6740571515513409</v>
      </c>
      <c r="H623">
        <v>0.84348172515362319</v>
      </c>
      <c r="I623">
        <v>1.4269018200742519E-2</v>
      </c>
      <c r="J623">
        <v>2.489866424938315E-2</v>
      </c>
      <c r="K623">
        <v>1.4900507357780269E-2</v>
      </c>
      <c r="L623" t="s">
        <v>96</v>
      </c>
      <c r="M623">
        <v>20874.026814712099</v>
      </c>
      <c r="N623">
        <v>-13880.34726859094</v>
      </c>
      <c r="O623">
        <v>6993.6795461211586</v>
      </c>
      <c r="P623">
        <v>118.3107324768515</v>
      </c>
      <c r="Q623">
        <v>206.44582294291459</v>
      </c>
      <c r="R623">
        <v>123.546688004362</v>
      </c>
      <c r="S623" t="s">
        <v>96</v>
      </c>
      <c r="T623">
        <v>-27287.270228335201</v>
      </c>
    </row>
    <row r="624" spans="1:20" x14ac:dyDescent="0.25">
      <c r="A624" s="1" t="s">
        <v>39</v>
      </c>
      <c r="B624">
        <v>2000</v>
      </c>
      <c r="C624">
        <v>8369.4014983884608</v>
      </c>
      <c r="D624">
        <v>8369.4014983884608</v>
      </c>
      <c r="E624" t="s">
        <v>96</v>
      </c>
      <c r="F624">
        <v>2.517966447203428</v>
      </c>
      <c r="G624">
        <v>-1.71028589195764</v>
      </c>
      <c r="H624">
        <v>0.80768055524578852</v>
      </c>
      <c r="I624">
        <v>1.413610457623682E-2</v>
      </c>
      <c r="J624">
        <v>2.466673693743324E-2</v>
      </c>
      <c r="K624">
        <v>1.8663192175665269E-2</v>
      </c>
      <c r="L624" t="s">
        <v>96</v>
      </c>
      <c r="M624">
        <v>21073.872156116238</v>
      </c>
      <c r="N624">
        <v>-14314.069306822919</v>
      </c>
      <c r="O624">
        <v>6759.8028492933263</v>
      </c>
      <c r="P624">
        <v>118.3107348217324</v>
      </c>
      <c r="Q624">
        <v>206.44582508450779</v>
      </c>
      <c r="R624">
        <v>156.1997485597247</v>
      </c>
      <c r="S624" t="s">
        <v>96</v>
      </c>
      <c r="T624">
        <v>-26549.45024511982</v>
      </c>
    </row>
    <row r="625" spans="1:20" x14ac:dyDescent="0.25">
      <c r="A625" s="1" t="s">
        <v>39</v>
      </c>
      <c r="B625">
        <v>2001</v>
      </c>
      <c r="C625">
        <v>8447.3613003401697</v>
      </c>
      <c r="D625">
        <v>8447.3613003401697</v>
      </c>
      <c r="E625" t="s">
        <v>96</v>
      </c>
      <c r="F625">
        <v>2.5169329032154542</v>
      </c>
      <c r="G625">
        <v>-1.5335467778956371</v>
      </c>
      <c r="H625">
        <v>0.98338612531981739</v>
      </c>
      <c r="I625">
        <v>1.400564366912648E-2</v>
      </c>
      <c r="J625">
        <v>2.4439089903931559E-2</v>
      </c>
      <c r="K625">
        <v>1.943933944452084E-2</v>
      </c>
      <c r="L625" t="s">
        <v>96</v>
      </c>
      <c r="M625">
        <v>21261.441602175059</v>
      </c>
      <c r="N625">
        <v>-12954.423703856961</v>
      </c>
      <c r="O625">
        <v>8307.017898318094</v>
      </c>
      <c r="P625">
        <v>118.3107323169333</v>
      </c>
      <c r="Q625">
        <v>206.44582227000561</v>
      </c>
      <c r="R625">
        <v>164.2111237278215</v>
      </c>
      <c r="S625" t="s">
        <v>96</v>
      </c>
      <c r="T625">
        <v>-32251.9471143234</v>
      </c>
    </row>
    <row r="626" spans="1:20" x14ac:dyDescent="0.25">
      <c r="A626" s="1" t="s">
        <v>39</v>
      </c>
      <c r="B626">
        <v>2002</v>
      </c>
      <c r="C626">
        <v>8525.3211022918767</v>
      </c>
      <c r="D626">
        <v>8525.3211022918767</v>
      </c>
      <c r="E626" t="s">
        <v>96</v>
      </c>
      <c r="F626">
        <v>2.5152152103072849</v>
      </c>
      <c r="G626">
        <v>-1.4324922658519941</v>
      </c>
      <c r="H626">
        <v>1.082722944455291</v>
      </c>
      <c r="I626">
        <v>1.3877569137337519E-2</v>
      </c>
      <c r="J626">
        <v>2.421560675369195E-2</v>
      </c>
      <c r="K626">
        <v>2.0201291755406039E-2</v>
      </c>
      <c r="L626" t="s">
        <v>96</v>
      </c>
      <c r="M626">
        <v>21443.017309238199</v>
      </c>
      <c r="N626">
        <v>-12212.456542937911</v>
      </c>
      <c r="O626">
        <v>9230.5607663002866</v>
      </c>
      <c r="P626">
        <v>118.3107330150581</v>
      </c>
      <c r="Q626">
        <v>206.44582326205159</v>
      </c>
      <c r="R626">
        <v>172.22249889591799</v>
      </c>
      <c r="S626" t="s">
        <v>96</v>
      </c>
      <c r="T626">
        <v>-35667.646012072059</v>
      </c>
    </row>
    <row r="627" spans="1:20" x14ac:dyDescent="0.25">
      <c r="A627" s="1" t="s">
        <v>39</v>
      </c>
      <c r="B627">
        <v>2003</v>
      </c>
      <c r="C627">
        <v>8603.280904243582</v>
      </c>
      <c r="D627">
        <v>8603.280904243582</v>
      </c>
      <c r="E627" t="s">
        <v>96</v>
      </c>
      <c r="F627">
        <v>2.5131727118664902</v>
      </c>
      <c r="G627">
        <v>-1.630247228217153</v>
      </c>
      <c r="H627">
        <v>0.88292548364933754</v>
      </c>
      <c r="I627">
        <v>1.3751815586375541E-2</v>
      </c>
      <c r="J627">
        <v>2.3996173697630109E-2</v>
      </c>
      <c r="K627">
        <v>2.0949434996957259E-2</v>
      </c>
      <c r="L627" t="s">
        <v>96</v>
      </c>
      <c r="M627">
        <v>21621.530801067031</v>
      </c>
      <c r="N627">
        <v>-14025.474847716659</v>
      </c>
      <c r="O627">
        <v>7596.0559533503747</v>
      </c>
      <c r="P627">
        <v>118.31073243294399</v>
      </c>
      <c r="Q627">
        <v>206.44582294773321</v>
      </c>
      <c r="R627">
        <v>180.2338740640146</v>
      </c>
      <c r="S627" t="s">
        <v>96</v>
      </c>
      <c r="T627">
        <v>-29703.83673691794</v>
      </c>
    </row>
    <row r="628" spans="1:20" x14ac:dyDescent="0.25">
      <c r="A628" s="1" t="s">
        <v>39</v>
      </c>
      <c r="B628">
        <v>2004</v>
      </c>
      <c r="C628">
        <v>8681.2407061952908</v>
      </c>
      <c r="D628">
        <v>8681.2407061952908</v>
      </c>
      <c r="E628" t="s">
        <v>96</v>
      </c>
      <c r="F628">
        <v>2.5109322658118018</v>
      </c>
      <c r="G628">
        <v>-1.503021429105998</v>
      </c>
      <c r="H628">
        <v>1.0079108367058041</v>
      </c>
      <c r="I628">
        <v>1.362832073786902E-2</v>
      </c>
      <c r="J628">
        <v>2.3780681840195179E-2</v>
      </c>
      <c r="K628">
        <v>2.1684141196289121E-2</v>
      </c>
      <c r="L628" t="s">
        <v>96</v>
      </c>
      <c r="M628">
        <v>21798.007396464589</v>
      </c>
      <c r="N628">
        <v>-13048.090812638809</v>
      </c>
      <c r="O628">
        <v>8749.9165838257795</v>
      </c>
      <c r="P628">
        <v>118.31073274667401</v>
      </c>
      <c r="Q628">
        <v>206.44582321218149</v>
      </c>
      <c r="R628">
        <v>188.24524923211129</v>
      </c>
      <c r="S628" t="s">
        <v>96</v>
      </c>
      <c r="T628">
        <v>-33964.034093064489</v>
      </c>
    </row>
    <row r="629" spans="1:20" x14ac:dyDescent="0.25">
      <c r="A629" s="1" t="s">
        <v>39</v>
      </c>
      <c r="B629">
        <v>2005</v>
      </c>
      <c r="C629">
        <v>8759.2005081469979</v>
      </c>
      <c r="D629">
        <v>8759.2005081469979</v>
      </c>
      <c r="E629" t="s">
        <v>96</v>
      </c>
      <c r="F629">
        <v>2.5084434182006321</v>
      </c>
      <c r="G629">
        <v>-1.4814878239656319</v>
      </c>
      <c r="H629">
        <v>1.0269555942349999</v>
      </c>
      <c r="I629">
        <v>1.350702407442911E-2</v>
      </c>
      <c r="J629">
        <v>2.3569025698294381E-2</v>
      </c>
      <c r="K629">
        <v>2.726397958884335E-2</v>
      </c>
      <c r="L629" t="s">
        <v>96</v>
      </c>
      <c r="M629">
        <v>21971.958863360971</v>
      </c>
      <c r="N629">
        <v>-12976.648900493359</v>
      </c>
      <c r="O629">
        <v>8995.3099628676118</v>
      </c>
      <c r="P629">
        <v>118.3107321362932</v>
      </c>
      <c r="Q629">
        <v>206.44582187302979</v>
      </c>
      <c r="R629">
        <v>238.81066386870609</v>
      </c>
      <c r="S629" t="s">
        <v>96</v>
      </c>
      <c r="T629">
        <v>-35049.216329403869</v>
      </c>
    </row>
    <row r="630" spans="1:20" x14ac:dyDescent="0.25">
      <c r="A630" s="1" t="s">
        <v>39</v>
      </c>
      <c r="B630">
        <v>2006</v>
      </c>
      <c r="C630">
        <v>8804.6389573322995</v>
      </c>
      <c r="D630">
        <v>8804.6389573322995</v>
      </c>
      <c r="E630" t="s">
        <v>96</v>
      </c>
      <c r="F630">
        <v>2.5147155218500501</v>
      </c>
      <c r="G630">
        <v>-1.489173456856032</v>
      </c>
      <c r="H630">
        <v>1.025542064994017</v>
      </c>
      <c r="I630">
        <v>7.2937271953858237E-3</v>
      </c>
      <c r="J630">
        <v>1.2489842252579431E-2</v>
      </c>
      <c r="K630">
        <v>2.6614930330992329E-2</v>
      </c>
      <c r="L630" t="s">
        <v>96</v>
      </c>
      <c r="M630">
        <v>22141.16225028917</v>
      </c>
      <c r="N630">
        <v>-13111.634632459831</v>
      </c>
      <c r="O630">
        <v>9029.5276178293389</v>
      </c>
      <c r="P630">
        <v>64.218634608648074</v>
      </c>
      <c r="Q630">
        <v>109.9685516679958</v>
      </c>
      <c r="R630">
        <v>234.33485243894009</v>
      </c>
      <c r="S630" t="s">
        <v>96</v>
      </c>
      <c r="T630">
        <v>-34606.182074001197</v>
      </c>
    </row>
    <row r="631" spans="1:20" x14ac:dyDescent="0.25">
      <c r="A631" s="1" t="s">
        <v>39</v>
      </c>
      <c r="B631">
        <v>2007</v>
      </c>
      <c r="C631">
        <v>8850.0774065175974</v>
      </c>
      <c r="D631">
        <v>8850.0774065175974</v>
      </c>
      <c r="E631" t="s">
        <v>96</v>
      </c>
      <c r="F631">
        <v>2.5107095205384051</v>
      </c>
      <c r="G631">
        <v>-1.96289447100758</v>
      </c>
      <c r="H631">
        <v>0.54781504953082527</v>
      </c>
      <c r="I631">
        <v>7.256279426589002E-3</v>
      </c>
      <c r="J631">
        <v>1.242571636571335E-2</v>
      </c>
      <c r="K631">
        <v>2.597254582653654E-2</v>
      </c>
      <c r="L631" t="s">
        <v>96</v>
      </c>
      <c r="M631">
        <v>22219.973602045571</v>
      </c>
      <c r="N631">
        <v>-17371.768009242489</v>
      </c>
      <c r="O631">
        <v>4848.205592803075</v>
      </c>
      <c r="P631">
        <v>64.218634608633792</v>
      </c>
      <c r="Q631">
        <v>109.9685516679957</v>
      </c>
      <c r="R631">
        <v>229.85904100917389</v>
      </c>
      <c r="S631" t="s">
        <v>96</v>
      </c>
      <c r="T631">
        <v>-19258.25667366097</v>
      </c>
    </row>
    <row r="632" spans="1:20" x14ac:dyDescent="0.25">
      <c r="A632" s="1" t="s">
        <v>39</v>
      </c>
      <c r="B632">
        <v>2008</v>
      </c>
      <c r="C632">
        <v>8895.515855702899</v>
      </c>
      <c r="D632">
        <v>8895.515855702899</v>
      </c>
      <c r="E632" t="s">
        <v>96</v>
      </c>
      <c r="F632">
        <v>2.506341125559989</v>
      </c>
      <c r="G632">
        <v>-1.585865394973881</v>
      </c>
      <c r="H632">
        <v>0.92047573058610754</v>
      </c>
      <c r="I632">
        <v>7.2192142254986066E-3</v>
      </c>
      <c r="J632">
        <v>1.236224559112829E-2</v>
      </c>
      <c r="K632">
        <v>2.533672394444839E-2</v>
      </c>
      <c r="L632" t="s">
        <v>96</v>
      </c>
      <c r="M632">
        <v>22295.197222219129</v>
      </c>
      <c r="N632">
        <v>-14107.0907660007</v>
      </c>
      <c r="O632">
        <v>8188.1064562184292</v>
      </c>
      <c r="P632">
        <v>64.21863460863878</v>
      </c>
      <c r="Q632">
        <v>109.96855166797501</v>
      </c>
      <c r="R632">
        <v>225.3832295794079</v>
      </c>
      <c r="S632" t="s">
        <v>96</v>
      </c>
      <c r="T632">
        <v>-31488.148530942512</v>
      </c>
    </row>
    <row r="633" spans="1:20" x14ac:dyDescent="0.25">
      <c r="A633" s="1" t="s">
        <v>39</v>
      </c>
      <c r="B633">
        <v>2009</v>
      </c>
      <c r="C633">
        <v>8940.9543048881933</v>
      </c>
      <c r="D633">
        <v>8940.9543048881933</v>
      </c>
      <c r="E633" t="s">
        <v>96</v>
      </c>
      <c r="F633">
        <v>2.5027898542252842</v>
      </c>
      <c r="G633">
        <v>-1.5273545078861981</v>
      </c>
      <c r="H633">
        <v>0.97543534633908568</v>
      </c>
      <c r="I633">
        <v>7.1825257594182942E-3</v>
      </c>
      <c r="J633">
        <v>1.2299419940878629E-2</v>
      </c>
      <c r="K633">
        <v>2.4707364629843499E-2</v>
      </c>
      <c r="L633" t="s">
        <v>96</v>
      </c>
      <c r="M633">
        <v>22377.329721366041</v>
      </c>
      <c r="N633">
        <v>-13656.006862375491</v>
      </c>
      <c r="O633">
        <v>8721.3228589905539</v>
      </c>
      <c r="P633">
        <v>64.218634608641338</v>
      </c>
      <c r="Q633">
        <v>109.96855166802651</v>
      </c>
      <c r="R633">
        <v>220.9074181496415</v>
      </c>
      <c r="S633" t="s">
        <v>96</v>
      </c>
      <c r="T633">
        <v>-33426.864032531543</v>
      </c>
    </row>
    <row r="634" spans="1:20" x14ac:dyDescent="0.25">
      <c r="A634" s="1" t="s">
        <v>39</v>
      </c>
      <c r="B634">
        <v>2010</v>
      </c>
      <c r="C634">
        <v>8986.3927540734949</v>
      </c>
      <c r="D634">
        <v>8986.3927540734949</v>
      </c>
      <c r="E634" t="s">
        <v>96</v>
      </c>
      <c r="F634">
        <v>2.5005491178487551</v>
      </c>
      <c r="G634">
        <v>-1.4405163305460409</v>
      </c>
      <c r="H634">
        <v>1.060032787302714</v>
      </c>
      <c r="I634">
        <v>7.1462083136226142E-3</v>
      </c>
      <c r="J634">
        <v>1.2237229628999501E-2</v>
      </c>
      <c r="K634">
        <v>2.8545624224658079E-2</v>
      </c>
      <c r="L634" t="s">
        <v>96</v>
      </c>
      <c r="M634">
        <v>22470.91647384092</v>
      </c>
      <c r="N634">
        <v>-12945.045514943489</v>
      </c>
      <c r="O634">
        <v>9525.870958897438</v>
      </c>
      <c r="P634">
        <v>64.218634608638027</v>
      </c>
      <c r="Q634">
        <v>109.96855166797459</v>
      </c>
      <c r="R634">
        <v>256.52219069297217</v>
      </c>
      <c r="S634" t="s">
        <v>96</v>
      </c>
      <c r="T634">
        <v>-36507.461231515743</v>
      </c>
    </row>
    <row r="635" spans="1:20" x14ac:dyDescent="0.25">
      <c r="A635" s="1" t="s">
        <v>39</v>
      </c>
      <c r="B635">
        <v>2011</v>
      </c>
      <c r="C635">
        <v>9031.8312032587964</v>
      </c>
      <c r="D635">
        <v>9031.8312032587964</v>
      </c>
      <c r="E635" t="s">
        <v>96</v>
      </c>
      <c r="F635">
        <v>2.4985117762709792</v>
      </c>
      <c r="G635">
        <v>-1.5412956389115759</v>
      </c>
      <c r="H635">
        <v>0.95721613735940247</v>
      </c>
      <c r="I635">
        <v>7.1102562883886417E-3</v>
      </c>
      <c r="J635">
        <v>1.217566506649227E-2</v>
      </c>
      <c r="K635">
        <v>2.78146589831221E-2</v>
      </c>
      <c r="L635" t="s">
        <v>96</v>
      </c>
      <c r="M635">
        <v>22566.136622633789</v>
      </c>
      <c r="N635">
        <v>-13920.722044968281</v>
      </c>
      <c r="O635">
        <v>8645.4145776655096</v>
      </c>
      <c r="P635">
        <v>64.218634608635611</v>
      </c>
      <c r="Q635">
        <v>109.9685516679729</v>
      </c>
      <c r="R635">
        <v>251.2173049117647</v>
      </c>
      <c r="S635" t="s">
        <v>96</v>
      </c>
      <c r="T635">
        <v>-33259.669919133928</v>
      </c>
    </row>
    <row r="636" spans="1:20" x14ac:dyDescent="0.25">
      <c r="A636" s="1" t="s">
        <v>39</v>
      </c>
      <c r="B636">
        <v>2012</v>
      </c>
      <c r="C636">
        <v>9077.269652444098</v>
      </c>
      <c r="D636">
        <v>9077.269652444098</v>
      </c>
      <c r="E636" t="s">
        <v>96</v>
      </c>
      <c r="F636">
        <v>2.4954595721031958</v>
      </c>
      <c r="G636">
        <v>-1.6787402236526809</v>
      </c>
      <c r="H636">
        <v>0.8167193484505143</v>
      </c>
      <c r="I636">
        <v>7.0746641961163242E-3</v>
      </c>
      <c r="J636">
        <v>1.211471685633975E-2</v>
      </c>
      <c r="K636">
        <v>2.709101178506293E-2</v>
      </c>
      <c r="L636" t="s">
        <v>96</v>
      </c>
      <c r="M636">
        <v>22651.959442753468</v>
      </c>
      <c r="N636">
        <v>-15238.3776864997</v>
      </c>
      <c r="O636">
        <v>7413.5817562537704</v>
      </c>
      <c r="P636">
        <v>64.218634608639533</v>
      </c>
      <c r="Q636">
        <v>109.9685516680058</v>
      </c>
      <c r="R636">
        <v>245.91241913055711</v>
      </c>
      <c r="S636" t="s">
        <v>96</v>
      </c>
      <c r="T636">
        <v>-28723.498326092838</v>
      </c>
    </row>
    <row r="637" spans="1:20" x14ac:dyDescent="0.25">
      <c r="A637" s="1" t="s">
        <v>39</v>
      </c>
      <c r="B637">
        <v>2013</v>
      </c>
      <c r="C637">
        <v>9122.7081016293978</v>
      </c>
      <c r="D637">
        <v>9122.7081016293978</v>
      </c>
      <c r="E637" t="s">
        <v>96</v>
      </c>
      <c r="F637">
        <v>2.4914102749865492</v>
      </c>
      <c r="G637">
        <v>-1.3803411862695549</v>
      </c>
      <c r="H637">
        <v>1.1110690887169941</v>
      </c>
      <c r="I637">
        <v>7.0394266585345026E-3</v>
      </c>
      <c r="J637">
        <v>1.205437578873675E-2</v>
      </c>
      <c r="K637">
        <v>2.637457328119211E-2</v>
      </c>
      <c r="L637" t="s">
        <v>96</v>
      </c>
      <c r="M637">
        <v>22728.408700102511</v>
      </c>
      <c r="N637">
        <v>-12592.449722994001</v>
      </c>
      <c r="O637">
        <v>10135.95897710851</v>
      </c>
      <c r="P637">
        <v>64.218634608638666</v>
      </c>
      <c r="Q637">
        <v>109.96855166799401</v>
      </c>
      <c r="R637">
        <v>240.60753334934961</v>
      </c>
      <c r="S637" t="s">
        <v>96</v>
      </c>
      <c r="T637">
        <v>-38686.096888030013</v>
      </c>
    </row>
    <row r="638" spans="1:20" x14ac:dyDescent="0.25">
      <c r="A638" s="1" t="s">
        <v>39</v>
      </c>
      <c r="B638">
        <v>2014</v>
      </c>
      <c r="C638">
        <v>9168.1465508146975</v>
      </c>
      <c r="D638">
        <v>9168.1465508146975</v>
      </c>
      <c r="E638" t="s">
        <v>96</v>
      </c>
      <c r="F638">
        <v>2.4866140099564071</v>
      </c>
      <c r="G638">
        <v>-1.353426015866787</v>
      </c>
      <c r="H638">
        <v>1.1331879940896199</v>
      </c>
      <c r="I638">
        <v>7.0045384039967044E-3</v>
      </c>
      <c r="J638">
        <v>1.199463283647173E-2</v>
      </c>
      <c r="K638">
        <v>2.5665236290014621E-2</v>
      </c>
      <c r="L638" t="s">
        <v>96</v>
      </c>
      <c r="M638">
        <v>22797.641658589331</v>
      </c>
      <c r="N638">
        <v>-12408.40805915196</v>
      </c>
      <c r="O638">
        <v>10389.233599437381</v>
      </c>
      <c r="P638">
        <v>64.21863460865147</v>
      </c>
      <c r="Q638">
        <v>109.968551667987</v>
      </c>
      <c r="R638">
        <v>235.30264756814179</v>
      </c>
      <c r="S638" t="s">
        <v>96</v>
      </c>
      <c r="T638">
        <v>-39595.319255371513</v>
      </c>
    </row>
    <row r="639" spans="1:20" x14ac:dyDescent="0.25">
      <c r="A639" s="1" t="s">
        <v>39</v>
      </c>
      <c r="B639">
        <v>2015</v>
      </c>
      <c r="C639">
        <v>9213.5849999999973</v>
      </c>
      <c r="D639">
        <v>9213.5849999999973</v>
      </c>
      <c r="E639" t="s">
        <v>96</v>
      </c>
      <c r="F639">
        <v>2.482057395919032</v>
      </c>
      <c r="G639">
        <v>-1.3347558070447409</v>
      </c>
      <c r="H639">
        <v>1.1473015888742899</v>
      </c>
      <c r="I639">
        <v>6.969994264842537E-3</v>
      </c>
      <c r="J639">
        <v>1.193547915040484E-2</v>
      </c>
      <c r="K639">
        <v>2.679298865377509E-2</v>
      </c>
      <c r="L639" t="s">
        <v>96</v>
      </c>
      <c r="M639">
        <v>22868.646792178639</v>
      </c>
      <c r="N639">
        <v>-12297.886082450321</v>
      </c>
      <c r="O639">
        <v>10570.76070972832</v>
      </c>
      <c r="P639">
        <v>64.218634608639206</v>
      </c>
      <c r="Q639">
        <v>109.96855166798279</v>
      </c>
      <c r="R639">
        <v>246.85947836559231</v>
      </c>
      <c r="S639" t="s">
        <v>96</v>
      </c>
      <c r="T639">
        <v>-40303.293706028962</v>
      </c>
    </row>
    <row r="640" spans="1:20" x14ac:dyDescent="0.25">
      <c r="A640" s="1" t="s">
        <v>39</v>
      </c>
      <c r="B640">
        <v>2016</v>
      </c>
      <c r="C640">
        <v>9398.3980826085863</v>
      </c>
      <c r="D640">
        <v>9398.3980826085863</v>
      </c>
      <c r="E640" t="s">
        <v>96</v>
      </c>
      <c r="F640">
        <v>2.4405344378552352</v>
      </c>
      <c r="G640">
        <v>-1.344752065217647</v>
      </c>
      <c r="H640">
        <v>1.0957823726375879</v>
      </c>
      <c r="I640">
        <v>3.9292019336392293E-2</v>
      </c>
      <c r="J640">
        <v>6.0885635636617343E-2</v>
      </c>
      <c r="K640">
        <v>2.851781403734089E-2</v>
      </c>
      <c r="L640" t="s">
        <v>96</v>
      </c>
      <c r="M640">
        <v>22937.11418127887</v>
      </c>
      <c r="N640">
        <v>-12638.515231325469</v>
      </c>
      <c r="O640">
        <v>10298.598949953401</v>
      </c>
      <c r="P640">
        <v>369.28203919296891</v>
      </c>
      <c r="Q640">
        <v>572.22744122558936</v>
      </c>
      <c r="R640">
        <v>268.02176876873278</v>
      </c>
      <c r="S640" t="s">
        <v>96</v>
      </c>
      <c r="T640">
        <v>-42196.477396853021</v>
      </c>
    </row>
    <row r="641" spans="1:20" x14ac:dyDescent="0.25">
      <c r="A641" s="1" t="s">
        <v>39</v>
      </c>
      <c r="B641">
        <v>2017</v>
      </c>
      <c r="C641">
        <v>9583.2111652171789</v>
      </c>
      <c r="D641">
        <v>9583.2111652171789</v>
      </c>
      <c r="E641" t="s">
        <v>96</v>
      </c>
      <c r="F641">
        <v>2.4627541450037831</v>
      </c>
      <c r="G641">
        <v>-1.747627689807975</v>
      </c>
      <c r="H641">
        <v>0.71512645519580798</v>
      </c>
      <c r="I641">
        <v>3.8534269460698628E-2</v>
      </c>
      <c r="J641">
        <v>5.9711450922763892E-2</v>
      </c>
      <c r="K641">
        <v>3.0176112597986311E-2</v>
      </c>
      <c r="L641" t="s">
        <v>96</v>
      </c>
      <c r="M641">
        <v>23601.09301958514</v>
      </c>
      <c r="N641">
        <v>-16747.88518961049</v>
      </c>
      <c r="O641">
        <v>6853.2078299746499</v>
      </c>
      <c r="P641">
        <v>369.28204133925442</v>
      </c>
      <c r="Q641">
        <v>572.22744317434854</v>
      </c>
      <c r="R641">
        <v>289.18405917187317</v>
      </c>
      <c r="S641" t="s">
        <v>96</v>
      </c>
      <c r="T641">
        <v>-29640.971703423151</v>
      </c>
    </row>
    <row r="642" spans="1:20" x14ac:dyDescent="0.25">
      <c r="A642" s="1" t="s">
        <v>39</v>
      </c>
      <c r="B642">
        <v>2018</v>
      </c>
      <c r="C642">
        <v>9768.0242478257678</v>
      </c>
      <c r="D642">
        <v>9768.0242478257678</v>
      </c>
      <c r="E642" t="s">
        <v>96</v>
      </c>
      <c r="F642">
        <v>2.4774256968268502</v>
      </c>
      <c r="G642">
        <v>-1.2735993827133709</v>
      </c>
      <c r="H642">
        <v>1.2038263141134791</v>
      </c>
      <c r="I642">
        <v>3.7805192812892741E-2</v>
      </c>
      <c r="J642">
        <v>5.8581697533835637E-2</v>
      </c>
      <c r="K642">
        <v>3.1771660440348772E-2</v>
      </c>
      <c r="L642" t="s">
        <v>96</v>
      </c>
      <c r="M642">
        <v>24199.554278791318</v>
      </c>
      <c r="N642">
        <v>-12440.54965236013</v>
      </c>
      <c r="O642">
        <v>11759.00462643118</v>
      </c>
      <c r="P642">
        <v>369.28204009006481</v>
      </c>
      <c r="Q642">
        <v>572.2274419893015</v>
      </c>
      <c r="R642">
        <v>310.34634957501351</v>
      </c>
      <c r="S642" t="s">
        <v>96</v>
      </c>
      <c r="T642">
        <v>-47706.488346318067</v>
      </c>
    </row>
    <row r="643" spans="1:20" x14ac:dyDescent="0.25">
      <c r="A643" s="1" t="s">
        <v>39</v>
      </c>
      <c r="B643">
        <v>2019</v>
      </c>
      <c r="C643">
        <v>9952.837330434355</v>
      </c>
      <c r="D643">
        <v>9952.837330434355</v>
      </c>
      <c r="E643" t="s">
        <v>96</v>
      </c>
      <c r="F643">
        <v>2.4938172175763942</v>
      </c>
      <c r="G643">
        <v>-1.400353401504524</v>
      </c>
      <c r="H643">
        <v>1.0934638160718699</v>
      </c>
      <c r="I643">
        <v>3.7103192594403381E-2</v>
      </c>
      <c r="J643">
        <v>5.7493900840842833E-2</v>
      </c>
      <c r="K643">
        <v>3.2094962833000229E-2</v>
      </c>
      <c r="L643" t="s">
        <v>96</v>
      </c>
      <c r="M643">
        <v>24820.557098374269</v>
      </c>
      <c r="N643">
        <v>-13937.489610294961</v>
      </c>
      <c r="O643">
        <v>10883.06748807931</v>
      </c>
      <c r="P643">
        <v>369.28204033187347</v>
      </c>
      <c r="Q643">
        <v>572.22744256103169</v>
      </c>
      <c r="R643">
        <v>319.43594420318777</v>
      </c>
      <c r="S643" t="s">
        <v>96</v>
      </c>
      <c r="T643">
        <v>-44528.047355647192</v>
      </c>
    </row>
    <row r="644" spans="1:20" x14ac:dyDescent="0.25">
      <c r="A644" s="1" t="s">
        <v>39</v>
      </c>
      <c r="B644">
        <v>2020</v>
      </c>
      <c r="C644">
        <v>10137.650413042949</v>
      </c>
      <c r="D644">
        <v>10137.650413042949</v>
      </c>
      <c r="E644" t="s">
        <v>96</v>
      </c>
      <c r="F644">
        <v>2.509200583544533</v>
      </c>
      <c r="G644">
        <v>-1.529524141528499</v>
      </c>
      <c r="H644">
        <v>0.97967644201603443</v>
      </c>
      <c r="I644">
        <v>3.6760604583061317E-2</v>
      </c>
      <c r="J644">
        <v>5.7634535519574141E-2</v>
      </c>
      <c r="K644">
        <v>3.3699507061462491E-2</v>
      </c>
      <c r="L644" t="s">
        <v>96</v>
      </c>
      <c r="M644">
        <v>25437.39833217784</v>
      </c>
      <c r="N644">
        <v>-15505.781045125539</v>
      </c>
      <c r="O644">
        <v>9931.6172870522951</v>
      </c>
      <c r="P644">
        <v>372.66615823517998</v>
      </c>
      <c r="Q644">
        <v>584.27877281554913</v>
      </c>
      <c r="R644">
        <v>341.63382168097888</v>
      </c>
      <c r="S644" t="s">
        <v>96</v>
      </c>
      <c r="T644">
        <v>-41177.385479211764</v>
      </c>
    </row>
    <row r="645" spans="1:20" x14ac:dyDescent="0.25">
      <c r="A645" s="1" t="s">
        <v>39</v>
      </c>
      <c r="B645">
        <v>2021</v>
      </c>
      <c r="C645">
        <v>10374.433608695301</v>
      </c>
      <c r="D645">
        <v>10374.433608695301</v>
      </c>
      <c r="E645" t="s">
        <v>96</v>
      </c>
      <c r="F645">
        <v>2.5080884511054249</v>
      </c>
      <c r="G645">
        <v>-1.522821830740831</v>
      </c>
      <c r="H645">
        <v>0.98526662036459411</v>
      </c>
      <c r="I645">
        <v>3.0824481924926629E-2</v>
      </c>
      <c r="J645">
        <v>5.3272808750971713E-2</v>
      </c>
      <c r="K645">
        <v>3.4940882422687281E-2</v>
      </c>
      <c r="L645" t="s">
        <v>96</v>
      </c>
      <c r="M645">
        <v>26019.997120728651</v>
      </c>
      <c r="N645">
        <v>-15798.413980892579</v>
      </c>
      <c r="O645">
        <v>10221.583139836081</v>
      </c>
      <c r="P645">
        <v>319.78654125257953</v>
      </c>
      <c r="Q645">
        <v>552.6752175356778</v>
      </c>
      <c r="R645">
        <v>362.49186492339771</v>
      </c>
      <c r="S645" t="s">
        <v>96</v>
      </c>
      <c r="T645">
        <v>-42007.301466345489</v>
      </c>
    </row>
    <row r="646" spans="1:20" x14ac:dyDescent="0.25">
      <c r="A646" s="1" t="s">
        <v>39</v>
      </c>
      <c r="B646">
        <v>2022</v>
      </c>
      <c r="C646">
        <v>10611.21680434765</v>
      </c>
      <c r="D646">
        <v>10611.21680434765</v>
      </c>
      <c r="E646" t="s">
        <v>96</v>
      </c>
      <c r="F646">
        <v>2.5053360077120428</v>
      </c>
      <c r="G646">
        <v>-1.4898874558624779</v>
      </c>
      <c r="H646">
        <v>1.0154485518495651</v>
      </c>
      <c r="I646">
        <v>3.0136650914158701E-2</v>
      </c>
      <c r="J646">
        <v>5.2084056340567592E-2</v>
      </c>
      <c r="K646">
        <v>3.6935798319463538E-2</v>
      </c>
      <c r="L646" t="s">
        <v>96</v>
      </c>
      <c r="M646">
        <v>26584.663545571279</v>
      </c>
      <c r="N646">
        <v>-15809.51880823469</v>
      </c>
      <c r="O646">
        <v>10775.14473733659</v>
      </c>
      <c r="P646">
        <v>319.78653660707982</v>
      </c>
      <c r="Q646">
        <v>552.67521387962063</v>
      </c>
      <c r="R646">
        <v>391.93376380948717</v>
      </c>
      <c r="S646" t="s">
        <v>96</v>
      </c>
      <c r="T646">
        <v>-44144.980922657553</v>
      </c>
    </row>
    <row r="647" spans="1:20" x14ac:dyDescent="0.25">
      <c r="A647" s="1" t="s">
        <v>39</v>
      </c>
      <c r="B647">
        <v>2023</v>
      </c>
      <c r="C647">
        <v>10848</v>
      </c>
      <c r="D647">
        <v>10848</v>
      </c>
      <c r="E647" t="s">
        <v>96</v>
      </c>
      <c r="F647">
        <v>2.4971283899818579</v>
      </c>
      <c r="G647">
        <v>-1.2344041764918521</v>
      </c>
      <c r="H647">
        <v>1.2627242134900061</v>
      </c>
      <c r="I647">
        <v>2.9478847557681639E-2</v>
      </c>
      <c r="J647">
        <v>5.0947198923815593E-2</v>
      </c>
      <c r="K647">
        <v>3.8843626723412308E-2</v>
      </c>
      <c r="L647" t="s">
        <v>96</v>
      </c>
      <c r="M647">
        <v>27088.848774523201</v>
      </c>
      <c r="N647">
        <v>-13390.816506583609</v>
      </c>
      <c r="O647">
        <v>13698.03226793959</v>
      </c>
      <c r="P647">
        <v>319.7865383057304</v>
      </c>
      <c r="Q647">
        <v>552.67521392555147</v>
      </c>
      <c r="R647">
        <v>421.37566269557681</v>
      </c>
      <c r="S647" t="s">
        <v>96</v>
      </c>
      <c r="T647">
        <v>-54970.188837181973</v>
      </c>
    </row>
    <row r="648" spans="1:20" x14ac:dyDescent="0.25">
      <c r="A648" s="1" t="s">
        <v>100</v>
      </c>
      <c r="B648">
        <v>1990</v>
      </c>
      <c r="C648">
        <v>24950.264999999999</v>
      </c>
      <c r="D648">
        <v>24884.074968695091</v>
      </c>
      <c r="E648">
        <v>66.190031304903712</v>
      </c>
      <c r="F648">
        <v>0.96471818999555659</v>
      </c>
      <c r="G648">
        <v>-2.694895584027421E-4</v>
      </c>
      <c r="H648">
        <v>0.96444870043715381</v>
      </c>
      <c r="I648">
        <v>2.889812342585498E-3</v>
      </c>
      <c r="J648">
        <v>2.8831596231065772E-2</v>
      </c>
      <c r="K648">
        <v>7.0400320094722912E-2</v>
      </c>
      <c r="L648" t="s">
        <v>96</v>
      </c>
      <c r="M648">
        <v>24069.97449070949</v>
      </c>
      <c r="N648">
        <v>-6.7238358968813916</v>
      </c>
      <c r="O648">
        <v>24063.2506548126</v>
      </c>
      <c r="P648">
        <v>72.101583747778974</v>
      </c>
      <c r="Q648">
        <v>719.35596633809223</v>
      </c>
      <c r="R648">
        <v>1751.846843057217</v>
      </c>
      <c r="S648" t="s">
        <v>96</v>
      </c>
      <c r="T648">
        <v>-97557.368509179738</v>
      </c>
    </row>
    <row r="649" spans="1:20" x14ac:dyDescent="0.25">
      <c r="A649" s="1" t="s">
        <v>100</v>
      </c>
      <c r="B649">
        <v>1991</v>
      </c>
      <c r="C649">
        <v>24939.588864000001</v>
      </c>
      <c r="D649">
        <v>24873.531803104252</v>
      </c>
      <c r="E649">
        <v>66.057060895750723</v>
      </c>
      <c r="F649">
        <v>1.0182823184076739</v>
      </c>
      <c r="G649">
        <v>-1.203817767632915E-3</v>
      </c>
      <c r="H649">
        <v>1.0170785006400409</v>
      </c>
      <c r="I649">
        <v>4.6637363705405461E-3</v>
      </c>
      <c r="J649">
        <v>2.7437310039699941E-2</v>
      </c>
      <c r="K649">
        <v>7.2344863825835617E-2</v>
      </c>
      <c r="L649" t="s">
        <v>96</v>
      </c>
      <c r="M649">
        <v>25395.542368568131</v>
      </c>
      <c r="N649">
        <v>-30.02272019194319</v>
      </c>
      <c r="O649">
        <v>25365.51964837619</v>
      </c>
      <c r="P649">
        <v>116.3116676513648</v>
      </c>
      <c r="Q649">
        <v>684.27523192421609</v>
      </c>
      <c r="R649">
        <v>1799.472271163168</v>
      </c>
      <c r="S649" t="s">
        <v>96</v>
      </c>
      <c r="T649">
        <v>-102540.45567009741</v>
      </c>
    </row>
    <row r="650" spans="1:20" x14ac:dyDescent="0.25">
      <c r="A650" s="1" t="s">
        <v>100</v>
      </c>
      <c r="B650">
        <v>1992</v>
      </c>
      <c r="C650">
        <v>24928.912727999999</v>
      </c>
      <c r="D650">
        <v>24862.988637513401</v>
      </c>
      <c r="E650">
        <v>65.924090486597748</v>
      </c>
      <c r="F650">
        <v>1.0187184112544061</v>
      </c>
      <c r="G650">
        <v>-1.168842602296551E-3</v>
      </c>
      <c r="H650">
        <v>1.017549568652109</v>
      </c>
      <c r="I650">
        <v>6.4391798112660428E-3</v>
      </c>
      <c r="J650">
        <v>2.6041829605395049E-2</v>
      </c>
      <c r="K650">
        <v>7.4291056726873569E-2</v>
      </c>
      <c r="L650" t="s">
        <v>96</v>
      </c>
      <c r="M650">
        <v>25395.542368567902</v>
      </c>
      <c r="N650">
        <v>-29.13797522541914</v>
      </c>
      <c r="O650">
        <v>25366.40439334248</v>
      </c>
      <c r="P650">
        <v>160.5217515549507</v>
      </c>
      <c r="Q650">
        <v>649.19449751033983</v>
      </c>
      <c r="R650">
        <v>1847.097699269121</v>
      </c>
      <c r="S650" t="s">
        <v>96</v>
      </c>
      <c r="T650">
        <v>-102751.8005861579</v>
      </c>
    </row>
    <row r="651" spans="1:20" x14ac:dyDescent="0.25">
      <c r="A651" s="1" t="s">
        <v>100</v>
      </c>
      <c r="B651">
        <v>1993</v>
      </c>
      <c r="C651">
        <v>24918.236592000001</v>
      </c>
      <c r="D651">
        <v>24852.623902217369</v>
      </c>
      <c r="E651">
        <v>65.612689782635002</v>
      </c>
      <c r="F651">
        <v>1.01915487778623</v>
      </c>
      <c r="G651">
        <v>-1.1282213833767091E-3</v>
      </c>
      <c r="H651">
        <v>1.0180266564028531</v>
      </c>
      <c r="I651">
        <v>8.2161446177240974E-3</v>
      </c>
      <c r="J651">
        <v>2.4645153393142789E-2</v>
      </c>
      <c r="K651">
        <v>7.6238353536828118E-2</v>
      </c>
      <c r="L651" t="s">
        <v>96</v>
      </c>
      <c r="M651">
        <v>25395.542368568131</v>
      </c>
      <c r="N651">
        <v>-28.113287359134379</v>
      </c>
      <c r="O651">
        <v>25367.429081209</v>
      </c>
      <c r="P651">
        <v>204.73183545853649</v>
      </c>
      <c r="Q651">
        <v>614.11376309646369</v>
      </c>
      <c r="R651">
        <v>1894.7231273750731</v>
      </c>
      <c r="S651" t="s">
        <v>96</v>
      </c>
      <c r="T651">
        <v>-102963.6586261859</v>
      </c>
    </row>
    <row r="652" spans="1:20" x14ac:dyDescent="0.25">
      <c r="A652" s="1" t="s">
        <v>100</v>
      </c>
      <c r="B652">
        <v>1994</v>
      </c>
      <c r="C652">
        <v>24907.560455999999</v>
      </c>
      <c r="D652">
        <v>24841.902306331711</v>
      </c>
      <c r="E652">
        <v>65.658149668291784</v>
      </c>
      <c r="F652">
        <v>1.0195917184836329</v>
      </c>
      <c r="G652">
        <v>-1.131310441971181E-3</v>
      </c>
      <c r="H652">
        <v>1.018460408041661</v>
      </c>
      <c r="I652">
        <v>9.9946327462252394E-3</v>
      </c>
      <c r="J652">
        <v>2.3247279865303051E-2</v>
      </c>
      <c r="K652">
        <v>7.8188398437826503E-2</v>
      </c>
      <c r="L652" t="s">
        <v>96</v>
      </c>
      <c r="M652">
        <v>25395.542368568011</v>
      </c>
      <c r="N652">
        <v>-28.178183227901268</v>
      </c>
      <c r="O652">
        <v>25367.36418534011</v>
      </c>
      <c r="P652">
        <v>248.94191936212249</v>
      </c>
      <c r="Q652">
        <v>579.03302868258731</v>
      </c>
      <c r="R652">
        <v>1942.348555481025</v>
      </c>
      <c r="S652" t="s">
        <v>96</v>
      </c>
      <c r="T652">
        <v>-103171.5215258508</v>
      </c>
    </row>
    <row r="653" spans="1:20" x14ac:dyDescent="0.25">
      <c r="A653" s="1" t="s">
        <v>100</v>
      </c>
      <c r="B653">
        <v>1995</v>
      </c>
      <c r="C653">
        <v>24896.884320000001</v>
      </c>
      <c r="D653">
        <v>24831.35914074086</v>
      </c>
      <c r="E653">
        <v>65.52517925913881</v>
      </c>
      <c r="F653">
        <v>1.0200289338279791</v>
      </c>
      <c r="G653">
        <v>-1.128682511252418E-3</v>
      </c>
      <c r="H653">
        <v>1.0189002513167269</v>
      </c>
      <c r="I653">
        <v>1.177464615643554E-2</v>
      </c>
      <c r="J653">
        <v>2.184820748159829E-2</v>
      </c>
      <c r="K653">
        <v>8.0139551456207728E-2</v>
      </c>
      <c r="L653" t="s">
        <v>96</v>
      </c>
      <c r="M653">
        <v>25395.542368568131</v>
      </c>
      <c r="N653">
        <v>-28.100677916658551</v>
      </c>
      <c r="O653">
        <v>25367.441690651471</v>
      </c>
      <c r="P653">
        <v>293.15200326570829</v>
      </c>
      <c r="Q653">
        <v>543.95229426871117</v>
      </c>
      <c r="R653">
        <v>1989.9739835869759</v>
      </c>
      <c r="S653" t="s">
        <v>96</v>
      </c>
      <c r="T653">
        <v>-103379.9065631766</v>
      </c>
    </row>
    <row r="654" spans="1:20" x14ac:dyDescent="0.25">
      <c r="A654" s="1" t="s">
        <v>100</v>
      </c>
      <c r="B654">
        <v>1996</v>
      </c>
      <c r="C654">
        <v>24892.714334571428</v>
      </c>
      <c r="D654">
        <v>24827.214043265449</v>
      </c>
      <c r="E654">
        <v>65.500291305979019</v>
      </c>
      <c r="F654">
        <v>1.027912945764937</v>
      </c>
      <c r="G654">
        <v>-1.294649969006312E-4</v>
      </c>
      <c r="H654">
        <v>1.027783480768037</v>
      </c>
      <c r="I654">
        <v>1.298800455538068E-2</v>
      </c>
      <c r="J654">
        <v>2.0618501928366739E-2</v>
      </c>
      <c r="K654">
        <v>7.9415035687122215E-2</v>
      </c>
      <c r="L654" t="s">
        <v>96</v>
      </c>
      <c r="M654">
        <v>25587.543319734399</v>
      </c>
      <c r="N654">
        <v>-3.222735184173589</v>
      </c>
      <c r="O654">
        <v>25584.32058455022</v>
      </c>
      <c r="P654">
        <v>323.30668717320361</v>
      </c>
      <c r="Q654">
        <v>513.25047850964324</v>
      </c>
      <c r="R654">
        <v>1971.654089257747</v>
      </c>
      <c r="S654" t="s">
        <v>96</v>
      </c>
      <c r="T654">
        <v>-104105.9500781425</v>
      </c>
    </row>
    <row r="655" spans="1:20" x14ac:dyDescent="0.25">
      <c r="A655" s="1" t="s">
        <v>100</v>
      </c>
      <c r="B655">
        <v>1997</v>
      </c>
      <c r="C655">
        <v>24888.54434914286</v>
      </c>
      <c r="D655">
        <v>24823.068945790041</v>
      </c>
      <c r="E655">
        <v>65.475403352819256</v>
      </c>
      <c r="F655">
        <v>1.0280851688546131</v>
      </c>
      <c r="G655">
        <v>-1.202148878642093E-4</v>
      </c>
      <c r="H655">
        <v>1.0279649539667479</v>
      </c>
      <c r="I655">
        <v>1.420176954193274E-2</v>
      </c>
      <c r="J655">
        <v>1.9388384309715311E-2</v>
      </c>
      <c r="K655">
        <v>7.8690277950494963E-2</v>
      </c>
      <c r="L655" t="s">
        <v>96</v>
      </c>
      <c r="M655">
        <v>25587.54331973405</v>
      </c>
      <c r="N655">
        <v>-2.9919735680356081</v>
      </c>
      <c r="O655">
        <v>25584.551346166008</v>
      </c>
      <c r="P655">
        <v>353.46137108069911</v>
      </c>
      <c r="Q655">
        <v>482.54866275057498</v>
      </c>
      <c r="R655">
        <v>1953.3341949285179</v>
      </c>
      <c r="S655" t="s">
        <v>96</v>
      </c>
      <c r="T655">
        <v>-104037.6171080707</v>
      </c>
    </row>
    <row r="656" spans="1:20" x14ac:dyDescent="0.25">
      <c r="A656" s="1" t="s">
        <v>100</v>
      </c>
      <c r="B656">
        <v>1998</v>
      </c>
      <c r="C656">
        <v>24884.374363714291</v>
      </c>
      <c r="D656">
        <v>24818.923848314629</v>
      </c>
      <c r="E656">
        <v>65.45051539965948</v>
      </c>
      <c r="F656">
        <v>1.0282574496646959</v>
      </c>
      <c r="G656">
        <v>-1.361348453298148E-4</v>
      </c>
      <c r="H656">
        <v>1.028121314819366</v>
      </c>
      <c r="I656">
        <v>1.5415941320492789E-2</v>
      </c>
      <c r="J656">
        <v>1.815785441848913E-2</v>
      </c>
      <c r="K656">
        <v>7.7965278125090409E-2</v>
      </c>
      <c r="L656" t="s">
        <v>96</v>
      </c>
      <c r="M656">
        <v>25587.543319734399</v>
      </c>
      <c r="N656">
        <v>-3.387630455133452</v>
      </c>
      <c r="O656">
        <v>25584.155689279261</v>
      </c>
      <c r="P656">
        <v>383.61605498819438</v>
      </c>
      <c r="Q656">
        <v>451.84684699150711</v>
      </c>
      <c r="R656">
        <v>1935.0143005992891</v>
      </c>
      <c r="S656" t="s">
        <v>96</v>
      </c>
      <c r="T656">
        <v>-103966.9872701564</v>
      </c>
    </row>
    <row r="657" spans="1:20" x14ac:dyDescent="0.25">
      <c r="A657" s="1" t="s">
        <v>100</v>
      </c>
      <c r="B657">
        <v>1999</v>
      </c>
      <c r="C657">
        <v>24880.204378285722</v>
      </c>
      <c r="D657">
        <v>24814.778750839221</v>
      </c>
      <c r="E657">
        <v>65.425627446499718</v>
      </c>
      <c r="F657">
        <v>1.028429788224154</v>
      </c>
      <c r="G657">
        <v>-1.1528628724874501E-4</v>
      </c>
      <c r="H657">
        <v>1.0283145019369051</v>
      </c>
      <c r="I657">
        <v>1.6630520095598959E-2</v>
      </c>
      <c r="J657">
        <v>1.6926912047394379E-2</v>
      </c>
      <c r="K657">
        <v>7.7240036089591915E-2</v>
      </c>
      <c r="L657" t="s">
        <v>96</v>
      </c>
      <c r="M657">
        <v>25587.54331973405</v>
      </c>
      <c r="N657">
        <v>-2.8683463887625309</v>
      </c>
      <c r="O657">
        <v>25584.674973345289</v>
      </c>
      <c r="P657">
        <v>413.77073889568987</v>
      </c>
      <c r="Q657">
        <v>421.1450312324389</v>
      </c>
      <c r="R657">
        <v>1916.69440627006</v>
      </c>
      <c r="S657" t="s">
        <v>96</v>
      </c>
      <c r="T657">
        <v>-103899.7122157355</v>
      </c>
    </row>
    <row r="658" spans="1:20" x14ac:dyDescent="0.25">
      <c r="A658" s="1" t="s">
        <v>100</v>
      </c>
      <c r="B658">
        <v>2000</v>
      </c>
      <c r="C658">
        <v>24876.034392857138</v>
      </c>
      <c r="D658">
        <v>24810.633653363799</v>
      </c>
      <c r="E658">
        <v>65.400739493339941</v>
      </c>
      <c r="F658">
        <v>1.0286021845620841</v>
      </c>
      <c r="G658">
        <v>-1.2307312946074829E-4</v>
      </c>
      <c r="H658">
        <v>1.028479111432623</v>
      </c>
      <c r="I658">
        <v>1.7845506071926521E-2</v>
      </c>
      <c r="J658">
        <v>1.5695556988998299E-2</v>
      </c>
      <c r="K658">
        <v>7.6514551722601881E-2</v>
      </c>
      <c r="L658" t="s">
        <v>96</v>
      </c>
      <c r="M658">
        <v>25587.543319734399</v>
      </c>
      <c r="N658">
        <v>-3.061571401302134</v>
      </c>
      <c r="O658">
        <v>25584.481748333092</v>
      </c>
      <c r="P658">
        <v>443.92542280318509</v>
      </c>
      <c r="Q658">
        <v>390.4432154733708</v>
      </c>
      <c r="R658">
        <v>1898.3745119408311</v>
      </c>
      <c r="S658" t="s">
        <v>96</v>
      </c>
      <c r="T658">
        <v>-103829.8246280279</v>
      </c>
    </row>
    <row r="659" spans="1:20" x14ac:dyDescent="0.25">
      <c r="A659" s="1" t="s">
        <v>100</v>
      </c>
      <c r="B659">
        <v>2001</v>
      </c>
      <c r="C659">
        <v>24871.864407428569</v>
      </c>
      <c r="D659">
        <v>24806.488555888391</v>
      </c>
      <c r="E659">
        <v>65.375851540180165</v>
      </c>
      <c r="F659">
        <v>1.0287746387075061</v>
      </c>
      <c r="G659">
        <v>-7.8622317122136826E-5</v>
      </c>
      <c r="H659">
        <v>1.028696016390384</v>
      </c>
      <c r="I659">
        <v>1.906089945428802E-2</v>
      </c>
      <c r="J659">
        <v>1.4463789035728959E-2</v>
      </c>
      <c r="K659">
        <v>7.5788824902641369E-2</v>
      </c>
      <c r="L659" t="s">
        <v>96</v>
      </c>
      <c r="M659">
        <v>25587.543319734399</v>
      </c>
      <c r="N659">
        <v>-1.955483610859637</v>
      </c>
      <c r="O659">
        <v>25585.587836123541</v>
      </c>
      <c r="P659">
        <v>474.08010671068081</v>
      </c>
      <c r="Q659">
        <v>359.74139971430259</v>
      </c>
      <c r="R659">
        <v>1880.054617611602</v>
      </c>
      <c r="S659" t="s">
        <v>96</v>
      </c>
      <c r="T659">
        <v>-103764.7011872632</v>
      </c>
    </row>
    <row r="660" spans="1:20" x14ac:dyDescent="0.25">
      <c r="A660" s="1" t="s">
        <v>100</v>
      </c>
      <c r="B660">
        <v>2002</v>
      </c>
      <c r="C660">
        <v>24867.694422</v>
      </c>
      <c r="D660">
        <v>24802.343458412979</v>
      </c>
      <c r="E660">
        <v>65.350963587020388</v>
      </c>
      <c r="F660">
        <v>1.0289471506894849</v>
      </c>
      <c r="G660">
        <v>-1.225661091309446E-4</v>
      </c>
      <c r="H660">
        <v>1.0288245845803541</v>
      </c>
      <c r="I660">
        <v>2.0276700447633321E-2</v>
      </c>
      <c r="J660">
        <v>1.323160797987525E-2</v>
      </c>
      <c r="K660">
        <v>7.5062855508150436E-2</v>
      </c>
      <c r="L660" t="s">
        <v>96</v>
      </c>
      <c r="M660">
        <v>25587.543319733701</v>
      </c>
      <c r="N660">
        <v>-3.047936548361835</v>
      </c>
      <c r="O660">
        <v>25584.495383185331</v>
      </c>
      <c r="P660">
        <v>504.23479061817602</v>
      </c>
      <c r="Q660">
        <v>329.03958395523449</v>
      </c>
      <c r="R660">
        <v>1861.734723282374</v>
      </c>
      <c r="S660" t="s">
        <v>96</v>
      </c>
      <c r="T660">
        <v>-103691.5164304935</v>
      </c>
    </row>
    <row r="661" spans="1:20" x14ac:dyDescent="0.25">
      <c r="A661" s="1" t="s">
        <v>100</v>
      </c>
      <c r="B661">
        <v>2003</v>
      </c>
      <c r="C661">
        <v>24909.189428000001</v>
      </c>
      <c r="D661">
        <v>24843.622869665091</v>
      </c>
      <c r="E661">
        <v>65.566558334912557</v>
      </c>
      <c r="F661">
        <v>1.1159939497353351</v>
      </c>
      <c r="G661">
        <v>-6.1579367175134227E-4</v>
      </c>
      <c r="H661">
        <v>1.115378156063584</v>
      </c>
      <c r="I661">
        <v>2.3276961743311019E-2</v>
      </c>
      <c r="J661">
        <v>1.2442216084931649E-2</v>
      </c>
      <c r="K661">
        <v>7.3040369542870909E-2</v>
      </c>
      <c r="L661" t="s">
        <v>96</v>
      </c>
      <c r="M661">
        <v>27798.504694459381</v>
      </c>
      <c r="N661">
        <v>-15.338921218217839</v>
      </c>
      <c r="O661">
        <v>27783.165773241159</v>
      </c>
      <c r="P661">
        <v>579.81024937244342</v>
      </c>
      <c r="Q661">
        <v>309.92551736367102</v>
      </c>
      <c r="R661">
        <v>1814.587395184057</v>
      </c>
      <c r="S661" t="s">
        <v>96</v>
      </c>
      <c r="T661">
        <v>-111787.45942893501</v>
      </c>
    </row>
    <row r="662" spans="1:20" x14ac:dyDescent="0.25">
      <c r="A662" s="1" t="s">
        <v>100</v>
      </c>
      <c r="B662">
        <v>2004</v>
      </c>
      <c r="C662">
        <v>24950.68443400001</v>
      </c>
      <c r="D662">
        <v>24884.902280917198</v>
      </c>
      <c r="E662">
        <v>65.782153082804697</v>
      </c>
      <c r="F662">
        <v>1.114137961545403</v>
      </c>
      <c r="G662">
        <v>-6.0694310727846669E-4</v>
      </c>
      <c r="H662">
        <v>1.113531018438124</v>
      </c>
      <c r="I662">
        <v>2.6267243684651172E-2</v>
      </c>
      <c r="J662">
        <v>1.165544983510841E-2</v>
      </c>
      <c r="K662">
        <v>7.1024593431539773E-2</v>
      </c>
      <c r="L662" t="s">
        <v>96</v>
      </c>
      <c r="M662">
        <v>27798.504694459381</v>
      </c>
      <c r="N662">
        <v>-15.143645939096441</v>
      </c>
      <c r="O662">
        <v>27783.361048520281</v>
      </c>
      <c r="P662">
        <v>655.38570812671094</v>
      </c>
      <c r="Q662">
        <v>290.81145077210738</v>
      </c>
      <c r="R662">
        <v>1767.440067085741</v>
      </c>
      <c r="S662" t="s">
        <v>96</v>
      </c>
      <c r="T662">
        <v>-111822.32700652791</v>
      </c>
    </row>
    <row r="663" spans="1:20" x14ac:dyDescent="0.25">
      <c r="A663" s="1" t="s">
        <v>100</v>
      </c>
      <c r="B663">
        <v>2005</v>
      </c>
      <c r="C663">
        <v>24992.176205566</v>
      </c>
      <c r="D663">
        <v>24926.178457735299</v>
      </c>
      <c r="E663">
        <v>65.997747830696824</v>
      </c>
      <c r="F663">
        <v>1.0493027696763599</v>
      </c>
      <c r="G663">
        <v>-8.8493063077786898E-4</v>
      </c>
      <c r="H663">
        <v>1.0484178390455829</v>
      </c>
      <c r="I663">
        <v>2.9247599763568659E-2</v>
      </c>
      <c r="J663">
        <v>1.087129755911509E-2</v>
      </c>
      <c r="K663">
        <v>6.9015502793753361E-2</v>
      </c>
      <c r="L663" t="s">
        <v>96</v>
      </c>
      <c r="M663">
        <v>26224.359712740032</v>
      </c>
      <c r="N663">
        <v>-22.11634225410317</v>
      </c>
      <c r="O663">
        <v>26202.243370485921</v>
      </c>
      <c r="P663">
        <v>730.96116688097823</v>
      </c>
      <c r="Q663">
        <v>271.69738418054391</v>
      </c>
      <c r="R663">
        <v>1720.292738987426</v>
      </c>
      <c r="S663" t="s">
        <v>96</v>
      </c>
      <c r="T663">
        <v>-106059.0470886375</v>
      </c>
    </row>
    <row r="664" spans="1:20" x14ac:dyDescent="0.25">
      <c r="A664" s="1" t="s">
        <v>100</v>
      </c>
      <c r="B664">
        <v>2006</v>
      </c>
      <c r="C664">
        <v>24986.401539999999</v>
      </c>
      <c r="D664">
        <v>24920.45076097058</v>
      </c>
      <c r="E664">
        <v>65.950779029426414</v>
      </c>
      <c r="F664">
        <v>0.98811195430709486</v>
      </c>
      <c r="G664">
        <v>-9.0048828164184219E-4</v>
      </c>
      <c r="H664">
        <v>0.98721146602545296</v>
      </c>
      <c r="I664">
        <v>3.0534994051353199E-2</v>
      </c>
      <c r="J664">
        <v>8.550185780596074E-3</v>
      </c>
      <c r="K664">
        <v>6.6066698376034974E-2</v>
      </c>
      <c r="L664" t="s">
        <v>96</v>
      </c>
      <c r="M664">
        <v>24689.362056791211</v>
      </c>
      <c r="N664">
        <v>-22.499961787167681</v>
      </c>
      <c r="O664">
        <v>24666.862095004039</v>
      </c>
      <c r="P664">
        <v>762.95962238862251</v>
      </c>
      <c r="Q664">
        <v>213.63837515557191</v>
      </c>
      <c r="R664">
        <v>1646.4119038198739</v>
      </c>
      <c r="S664" t="s">
        <v>96</v>
      </c>
      <c r="T664">
        <v>-100062.8639866922</v>
      </c>
    </row>
    <row r="665" spans="1:20" x14ac:dyDescent="0.25">
      <c r="A665" s="1" t="s">
        <v>100</v>
      </c>
      <c r="B665">
        <v>2007</v>
      </c>
      <c r="C665">
        <v>24982.62703</v>
      </c>
      <c r="D665">
        <v>24916.600230000011</v>
      </c>
      <c r="E665">
        <v>66.026799999989663</v>
      </c>
      <c r="F665">
        <v>0.97022544580163816</v>
      </c>
      <c r="G665">
        <v>-3.1543942414371498E-4</v>
      </c>
      <c r="H665">
        <v>0.96991000637749447</v>
      </c>
      <c r="I665">
        <v>3.2340863832123042E-2</v>
      </c>
      <c r="J665">
        <v>6.9968414860678424E-3</v>
      </c>
      <c r="K665">
        <v>6.3453941651446757E-2</v>
      </c>
      <c r="L665" t="s">
        <v>96</v>
      </c>
      <c r="M665">
        <v>24238.78044747781</v>
      </c>
      <c r="N665">
        <v>-7.880505483940409</v>
      </c>
      <c r="O665">
        <v>24230.89994199387</v>
      </c>
      <c r="P665">
        <v>807.95973894594647</v>
      </c>
      <c r="Q665">
        <v>174.7994812344638</v>
      </c>
      <c r="R665">
        <v>1581.056497146845</v>
      </c>
      <c r="S665" t="s">
        <v>96</v>
      </c>
      <c r="T665">
        <v>-98247.290750853033</v>
      </c>
    </row>
    <row r="666" spans="1:20" x14ac:dyDescent="0.25">
      <c r="A666" s="1" t="s">
        <v>100</v>
      </c>
      <c r="B666">
        <v>2008</v>
      </c>
      <c r="C666">
        <v>24969.133109999999</v>
      </c>
      <c r="D666">
        <v>24903.046747043329</v>
      </c>
      <c r="E666">
        <v>66.086362956671437</v>
      </c>
      <c r="F666">
        <v>0.91335607231917981</v>
      </c>
      <c r="G666">
        <v>-7.7165686915178907E-4</v>
      </c>
      <c r="H666">
        <v>0.91258441545002789</v>
      </c>
      <c r="I666">
        <v>3.5575615142052867E-2</v>
      </c>
      <c r="J666">
        <v>6.403646171584421E-3</v>
      </c>
      <c r="K666">
        <v>6.3980356658983689E-2</v>
      </c>
      <c r="L666" t="s">
        <v>96</v>
      </c>
      <c r="M666">
        <v>22805.709346564381</v>
      </c>
      <c r="N666">
        <v>-19.267603081096869</v>
      </c>
      <c r="O666">
        <v>22786.44174348329</v>
      </c>
      <c r="P666">
        <v>888.29226995204954</v>
      </c>
      <c r="Q666">
        <v>159.89349364763331</v>
      </c>
      <c r="R666">
        <v>1593.3058127711761</v>
      </c>
      <c r="S666" t="s">
        <v>96</v>
      </c>
      <c r="T666">
        <v>-93235.75550614034</v>
      </c>
    </row>
    <row r="667" spans="1:20" x14ac:dyDescent="0.25">
      <c r="A667" s="1" t="s">
        <v>100</v>
      </c>
      <c r="B667">
        <v>2009</v>
      </c>
      <c r="C667">
        <v>24947.901519999999</v>
      </c>
      <c r="D667">
        <v>24881.735832534989</v>
      </c>
      <c r="E667">
        <v>66.165687465015139</v>
      </c>
      <c r="F667">
        <v>0.87568530751001095</v>
      </c>
      <c r="G667">
        <v>-6.8402312670318519E-3</v>
      </c>
      <c r="H667">
        <v>0.86884507624297924</v>
      </c>
      <c r="I667">
        <v>3.7316748943258038E-2</v>
      </c>
      <c r="J667">
        <v>5.0027562179649748E-3</v>
      </c>
      <c r="K667">
        <v>6.1128922118078882E-2</v>
      </c>
      <c r="L667" t="s">
        <v>96</v>
      </c>
      <c r="M667">
        <v>21846.51081427067</v>
      </c>
      <c r="N667">
        <v>-170.64941602393549</v>
      </c>
      <c r="O667">
        <v>21675.86139824674</v>
      </c>
      <c r="P667">
        <v>930.97457768296579</v>
      </c>
      <c r="Q667">
        <v>124.8082694543578</v>
      </c>
      <c r="R667">
        <v>1520.993691869644</v>
      </c>
      <c r="S667" t="s">
        <v>96</v>
      </c>
      <c r="T667">
        <v>-88926.339103271675</v>
      </c>
    </row>
    <row r="668" spans="1:20" x14ac:dyDescent="0.25">
      <c r="A668" s="1" t="s">
        <v>100</v>
      </c>
      <c r="B668">
        <v>2010</v>
      </c>
      <c r="C668">
        <v>24966.215189999999</v>
      </c>
      <c r="D668">
        <v>24899.993649540651</v>
      </c>
      <c r="E668">
        <v>66.221540459356063</v>
      </c>
      <c r="F668">
        <v>0.87862137291311571</v>
      </c>
      <c r="G668">
        <v>-1.1651763647228209E-3</v>
      </c>
      <c r="H668">
        <v>0.8774561965483928</v>
      </c>
      <c r="I668">
        <v>3.8667921062633288E-2</v>
      </c>
      <c r="J668">
        <v>3.525712980504843E-3</v>
      </c>
      <c r="K668">
        <v>5.8125775924027831E-2</v>
      </c>
      <c r="L668" t="s">
        <v>96</v>
      </c>
      <c r="M668">
        <v>21935.85026668209</v>
      </c>
      <c r="N668">
        <v>-29.090043855971881</v>
      </c>
      <c r="O668">
        <v>21906.760222826109</v>
      </c>
      <c r="P668">
        <v>965.3916381996363</v>
      </c>
      <c r="Q668">
        <v>88.023708969460202</v>
      </c>
      <c r="R668">
        <v>1447.3314513829159</v>
      </c>
      <c r="S668" t="s">
        <v>96</v>
      </c>
      <c r="T668">
        <v>-89494.192411727927</v>
      </c>
    </row>
    <row r="669" spans="1:20" x14ac:dyDescent="0.25">
      <c r="A669" s="1" t="s">
        <v>100</v>
      </c>
      <c r="B669">
        <v>2011</v>
      </c>
      <c r="C669">
        <v>24968.090769999999</v>
      </c>
      <c r="D669">
        <v>24901.876013807399</v>
      </c>
      <c r="E669">
        <v>66.214756192599594</v>
      </c>
      <c r="F669">
        <v>0.90325936319717737</v>
      </c>
      <c r="G669">
        <v>-2.9914262915794191E-4</v>
      </c>
      <c r="H669">
        <v>0.90296022056801939</v>
      </c>
      <c r="I669">
        <v>3.9494518289128283E-2</v>
      </c>
      <c r="J669">
        <v>2.0274962666061839E-3</v>
      </c>
      <c r="K669">
        <v>5.4692053995435128E-2</v>
      </c>
      <c r="L669" t="s">
        <v>96</v>
      </c>
      <c r="M669">
        <v>22552.66176915952</v>
      </c>
      <c r="N669">
        <v>-7.469020317991939</v>
      </c>
      <c r="O669">
        <v>22545.19274884152</v>
      </c>
      <c r="P669">
        <v>986.10271756037992</v>
      </c>
      <c r="Q669">
        <v>50.622710820459318</v>
      </c>
      <c r="R669">
        <v>1361.9347475347849</v>
      </c>
      <c r="S669" t="s">
        <v>96</v>
      </c>
      <c r="T669">
        <v>-91460.794057451203</v>
      </c>
    </row>
    <row r="670" spans="1:20" x14ac:dyDescent="0.25">
      <c r="A670" s="1" t="s">
        <v>100</v>
      </c>
      <c r="B670">
        <v>2012</v>
      </c>
      <c r="C670">
        <v>24959.475589999998</v>
      </c>
      <c r="D670">
        <v>24893.28197670693</v>
      </c>
      <c r="E670">
        <v>66.193613293072019</v>
      </c>
      <c r="F670">
        <v>0.9057003814659621</v>
      </c>
      <c r="G670">
        <v>-2.9935062242381701E-4</v>
      </c>
      <c r="H670">
        <v>0.90540103084353829</v>
      </c>
      <c r="I670">
        <v>4.0753124521116707E-2</v>
      </c>
      <c r="J670">
        <v>1.084782858548235E-3</v>
      </c>
      <c r="K670">
        <v>5.1696886828488213E-2</v>
      </c>
      <c r="L670" t="s">
        <v>96</v>
      </c>
      <c r="M670">
        <v>22605.806563053371</v>
      </c>
      <c r="N670">
        <v>-7.4716345532385677</v>
      </c>
      <c r="O670">
        <v>22598.334928500131</v>
      </c>
      <c r="P670">
        <v>1017.176616701043</v>
      </c>
      <c r="Q670">
        <v>27.07561127838509</v>
      </c>
      <c r="R670">
        <v>1286.905181139464</v>
      </c>
      <c r="S670" t="s">
        <v>96</v>
      </c>
      <c r="T670">
        <v>-91408.138571278061</v>
      </c>
    </row>
    <row r="671" spans="1:20" x14ac:dyDescent="0.25">
      <c r="A671" s="1" t="s">
        <v>100</v>
      </c>
      <c r="B671">
        <v>2013</v>
      </c>
      <c r="C671">
        <v>25172.940450000009</v>
      </c>
      <c r="D671">
        <v>25106.679119981422</v>
      </c>
      <c r="E671">
        <v>66.261330018586875</v>
      </c>
      <c r="F671">
        <v>0.82081088513262335</v>
      </c>
      <c r="G671">
        <v>-3.515718271615299E-3</v>
      </c>
      <c r="H671">
        <v>0.817295166861008</v>
      </c>
      <c r="I671">
        <v>4.1005522353001082E-2</v>
      </c>
      <c r="J671">
        <v>-2.9205687175210069E-4</v>
      </c>
      <c r="K671">
        <v>4.7856541221831021E-2</v>
      </c>
      <c r="L671" t="s">
        <v>96</v>
      </c>
      <c r="M671">
        <v>20662.22353215532</v>
      </c>
      <c r="N671">
        <v>-88.500966690348861</v>
      </c>
      <c r="O671">
        <v>20573.72256546497</v>
      </c>
      <c r="P671">
        <v>1032.2295723132399</v>
      </c>
      <c r="Q671">
        <v>-7.3519302406289206</v>
      </c>
      <c r="R671">
        <v>1201.5188242486749</v>
      </c>
      <c r="S671" t="s">
        <v>96</v>
      </c>
      <c r="T671">
        <v>-83600.436449890563</v>
      </c>
    </row>
    <row r="672" spans="1:20" x14ac:dyDescent="0.25">
      <c r="A672" s="1" t="s">
        <v>100</v>
      </c>
      <c r="B672">
        <v>2014</v>
      </c>
      <c r="C672">
        <v>25113.871999999999</v>
      </c>
      <c r="D672">
        <v>25047.55191318272</v>
      </c>
      <c r="E672">
        <v>66.320086817283894</v>
      </c>
      <c r="F672">
        <v>0.78923858036951056</v>
      </c>
      <c r="G672">
        <v>-1.051399741632713E-4</v>
      </c>
      <c r="H672">
        <v>0.78913344039534716</v>
      </c>
      <c r="I672">
        <v>4.1952402111239462E-2</v>
      </c>
      <c r="J672">
        <v>-1.4040233548283871E-3</v>
      </c>
      <c r="K672">
        <v>4.4684476417136312E-2</v>
      </c>
      <c r="L672" t="s">
        <v>96</v>
      </c>
      <c r="M672">
        <v>19820.836684861599</v>
      </c>
      <c r="N672">
        <v>-2.6404718532197031</v>
      </c>
      <c r="O672">
        <v>19818.196213008381</v>
      </c>
      <c r="P672">
        <v>1053.587256714198</v>
      </c>
      <c r="Q672">
        <v>-35.260462818170701</v>
      </c>
      <c r="R672">
        <v>1119.236742771611</v>
      </c>
      <c r="S672" t="s">
        <v>96</v>
      </c>
      <c r="T672">
        <v>-80504.452415486056</v>
      </c>
    </row>
    <row r="673" spans="1:20" x14ac:dyDescent="0.25">
      <c r="A673" s="1" t="s">
        <v>100</v>
      </c>
      <c r="B673">
        <v>2015</v>
      </c>
      <c r="C673">
        <v>24906.152259999999</v>
      </c>
      <c r="D673">
        <v>24839.72982165006</v>
      </c>
      <c r="E673">
        <v>66.422438349940464</v>
      </c>
      <c r="F673">
        <v>0.73191175314740275</v>
      </c>
      <c r="G673">
        <v>-6.1553168578982456E-3</v>
      </c>
      <c r="H673">
        <v>0.72575643628950448</v>
      </c>
      <c r="I673">
        <v>4.3162859895083228E-2</v>
      </c>
      <c r="J673">
        <v>-2.5029141178021198E-3</v>
      </c>
      <c r="K673">
        <v>4.1700514604844953E-2</v>
      </c>
      <c r="L673" t="s">
        <v>96</v>
      </c>
      <c r="M673">
        <v>18229.105564772752</v>
      </c>
      <c r="N673">
        <v>-153.30525887135849</v>
      </c>
      <c r="O673">
        <v>18075.80030590139</v>
      </c>
      <c r="P673">
        <v>1075.0207605239909</v>
      </c>
      <c r="Q673">
        <v>-62.337960111683188</v>
      </c>
      <c r="R673">
        <v>1035.829516208121</v>
      </c>
      <c r="S673" t="s">
        <v>96</v>
      </c>
      <c r="T673">
        <v>-73789.146282586706</v>
      </c>
    </row>
    <row r="674" spans="1:20" x14ac:dyDescent="0.25">
      <c r="A674" s="1" t="s">
        <v>100</v>
      </c>
      <c r="B674">
        <v>2016</v>
      </c>
      <c r="C674">
        <v>24808.762539999989</v>
      </c>
      <c r="D674">
        <v>24742.400291739661</v>
      </c>
      <c r="E674">
        <v>66.362248260336401</v>
      </c>
      <c r="F674">
        <v>0.67947656666378065</v>
      </c>
      <c r="G674">
        <v>-3.4273914611654329E-4</v>
      </c>
      <c r="H674">
        <v>0.67913382751766416</v>
      </c>
      <c r="I674">
        <v>4.4365183447463298E-2</v>
      </c>
      <c r="J674">
        <v>-3.3472776215016172E-3</v>
      </c>
      <c r="K674">
        <v>3.8427422951294379E-2</v>
      </c>
      <c r="L674" t="s">
        <v>96</v>
      </c>
      <c r="M674">
        <v>16856.97279385621</v>
      </c>
      <c r="N674">
        <v>-8.5029340891676828</v>
      </c>
      <c r="O674">
        <v>16848.469859767039</v>
      </c>
      <c r="P674">
        <v>1100.6453011916551</v>
      </c>
      <c r="Q674">
        <v>-83.041815667289583</v>
      </c>
      <c r="R674">
        <v>950.78668084090918</v>
      </c>
      <c r="S674" t="s">
        <v>96</v>
      </c>
      <c r="T674">
        <v>-68995.153429158105</v>
      </c>
    </row>
    <row r="675" spans="1:20" x14ac:dyDescent="0.25">
      <c r="A675" s="1" t="s">
        <v>100</v>
      </c>
      <c r="B675">
        <v>2017</v>
      </c>
      <c r="C675">
        <v>24876.498670000001</v>
      </c>
      <c r="D675">
        <v>24809.95319984798</v>
      </c>
      <c r="E675">
        <v>66.545470152021366</v>
      </c>
      <c r="F675">
        <v>0.69943988843497085</v>
      </c>
      <c r="G675">
        <v>-2.985195741195895E-5</v>
      </c>
      <c r="H675">
        <v>0.69941003647755884</v>
      </c>
      <c r="I675">
        <v>4.545095361465562E-2</v>
      </c>
      <c r="J675">
        <v>-3.7662286689041499E-3</v>
      </c>
      <c r="K675">
        <v>3.511074205128123E-2</v>
      </c>
      <c r="L675" t="s">
        <v>96</v>
      </c>
      <c r="M675">
        <v>17399.615454397499</v>
      </c>
      <c r="N675">
        <v>-0.74261217885549335</v>
      </c>
      <c r="O675">
        <v>17398.87284221864</v>
      </c>
      <c r="P675">
        <v>1130.660587145212</v>
      </c>
      <c r="Q675">
        <v>-93.690582472909952</v>
      </c>
      <c r="R675">
        <v>871.09586710422161</v>
      </c>
      <c r="S675" t="s">
        <v>96</v>
      </c>
      <c r="T675">
        <v>-70792.108617988706</v>
      </c>
    </row>
    <row r="676" spans="1:20" x14ac:dyDescent="0.25">
      <c r="A676" s="1" t="s">
        <v>100</v>
      </c>
      <c r="B676">
        <v>2018</v>
      </c>
      <c r="C676">
        <v>24914.923719999999</v>
      </c>
      <c r="D676">
        <v>24848.303610720919</v>
      </c>
      <c r="E676">
        <v>66.620109279079273</v>
      </c>
      <c r="F676">
        <v>0.68091960125296835</v>
      </c>
      <c r="G676">
        <v>-2.977804936236187E-5</v>
      </c>
      <c r="H676">
        <v>0.68088982320360603</v>
      </c>
      <c r="I676">
        <v>4.650818190123647E-2</v>
      </c>
      <c r="J676">
        <v>-4.162040948289431E-3</v>
      </c>
      <c r="K676">
        <v>3.1925449710752708E-2</v>
      </c>
      <c r="L676" t="s">
        <v>96</v>
      </c>
      <c r="M676">
        <v>16965.059924670521</v>
      </c>
      <c r="N676">
        <v>-0.74191782839364062</v>
      </c>
      <c r="O676">
        <v>16964.318006842132</v>
      </c>
      <c r="P676">
        <v>1158.7478044251909</v>
      </c>
      <c r="Q676">
        <v>-103.6969327461477</v>
      </c>
      <c r="R676">
        <v>793.29326732158574</v>
      </c>
      <c r="S676" t="s">
        <v>96</v>
      </c>
      <c r="T676">
        <v>-68979.761201429734</v>
      </c>
    </row>
    <row r="677" spans="1:20" x14ac:dyDescent="0.25">
      <c r="A677" s="1" t="s">
        <v>100</v>
      </c>
      <c r="B677">
        <v>2019</v>
      </c>
      <c r="C677">
        <v>24926.404119999999</v>
      </c>
      <c r="D677">
        <v>24859.701224367469</v>
      </c>
      <c r="E677">
        <v>66.702895632526122</v>
      </c>
      <c r="F677">
        <v>0.63427821977261711</v>
      </c>
      <c r="G677">
        <v>-2.9694978928721441E-5</v>
      </c>
      <c r="H677">
        <v>0.63424852479368843</v>
      </c>
      <c r="I677">
        <v>4.7162940943284118E-2</v>
      </c>
      <c r="J677">
        <v>-4.6925052104178624E-3</v>
      </c>
      <c r="K677">
        <v>2.8657782432256369E-2</v>
      </c>
      <c r="L677" t="s">
        <v>96</v>
      </c>
      <c r="M677">
        <v>15810.275230566431</v>
      </c>
      <c r="N677">
        <v>-0.7401890451121953</v>
      </c>
      <c r="O677">
        <v>15809.53504152132</v>
      </c>
      <c r="P677">
        <v>1175.602525439994</v>
      </c>
      <c r="Q677">
        <v>-116.9672812100813</v>
      </c>
      <c r="R677">
        <v>712.42390901882038</v>
      </c>
      <c r="S677" t="s">
        <v>96</v>
      </c>
      <c r="T677">
        <v>-64462.178714162721</v>
      </c>
    </row>
    <row r="678" spans="1:20" x14ac:dyDescent="0.25">
      <c r="A678" s="1" t="s">
        <v>100</v>
      </c>
      <c r="B678">
        <v>2020</v>
      </c>
      <c r="C678">
        <v>24984.911370000009</v>
      </c>
      <c r="D678">
        <v>24918.172741222741</v>
      </c>
      <c r="E678">
        <v>66.738628777260303</v>
      </c>
      <c r="F678">
        <v>0.65035512899785475</v>
      </c>
      <c r="G678">
        <v>-1.141258596001438E-5</v>
      </c>
      <c r="H678">
        <v>0.65034371641189481</v>
      </c>
      <c r="I678">
        <v>4.8108933898137043E-2</v>
      </c>
      <c r="J678">
        <v>-5.1701448842372899E-3</v>
      </c>
      <c r="K678">
        <v>2.5594036869599188E-2</v>
      </c>
      <c r="L678" t="s">
        <v>96</v>
      </c>
      <c r="M678">
        <v>16249.06525703632</v>
      </c>
      <c r="N678">
        <v>-0.28514244871346561</v>
      </c>
      <c r="O678">
        <v>16248.780114587609</v>
      </c>
      <c r="P678">
        <v>1201.9974495501431</v>
      </c>
      <c r="Q678">
        <v>-129.17561170272759</v>
      </c>
      <c r="R678">
        <v>637.75663186189649</v>
      </c>
      <c r="S678" t="s">
        <v>96</v>
      </c>
      <c r="T678">
        <v>-65850.981475761349</v>
      </c>
    </row>
    <row r="679" spans="1:20" x14ac:dyDescent="0.25">
      <c r="A679" s="1" t="s">
        <v>100</v>
      </c>
      <c r="B679">
        <v>2021</v>
      </c>
      <c r="C679">
        <v>24971.022110000002</v>
      </c>
      <c r="D679">
        <v>24904.241679861931</v>
      </c>
      <c r="E679">
        <v>66.7804301380651</v>
      </c>
      <c r="F679">
        <v>0.62923447269633237</v>
      </c>
      <c r="G679">
        <v>-7.9543013704634434E-7</v>
      </c>
      <c r="H679">
        <v>0.62923367726619539</v>
      </c>
      <c r="I679">
        <v>4.8566757064540438E-2</v>
      </c>
      <c r="J679">
        <v>-5.6598124282190056E-3</v>
      </c>
      <c r="K679">
        <v>2.2476040364081819E-2</v>
      </c>
      <c r="L679" t="s">
        <v>96</v>
      </c>
      <c r="M679">
        <v>15712.62793007431</v>
      </c>
      <c r="N679">
        <v>-1.9862703539144589E-2</v>
      </c>
      <c r="O679">
        <v>15712.608067370769</v>
      </c>
      <c r="P679">
        <v>1212.761564469638</v>
      </c>
      <c r="Q679">
        <v>-141.33130128350959</v>
      </c>
      <c r="R679">
        <v>559.74874123342568</v>
      </c>
      <c r="S679" t="s">
        <v>96</v>
      </c>
      <c r="T679">
        <v>-63593.885929903627</v>
      </c>
    </row>
    <row r="680" spans="1:20" x14ac:dyDescent="0.25">
      <c r="A680" s="1" t="s">
        <v>100</v>
      </c>
      <c r="B680">
        <v>2022</v>
      </c>
      <c r="C680">
        <v>24970.201089999999</v>
      </c>
      <c r="D680">
        <v>24903.39214020794</v>
      </c>
      <c r="E680">
        <v>66.80894979205587</v>
      </c>
      <c r="F680">
        <v>0.59019262435526698</v>
      </c>
      <c r="G680">
        <v>-7.9167862798570554E-5</v>
      </c>
      <c r="H680">
        <v>0.59011345649246838</v>
      </c>
      <c r="I680">
        <v>4.9258780649677841E-2</v>
      </c>
      <c r="J680">
        <v>-6.1588196696359286E-3</v>
      </c>
      <c r="K680">
        <v>1.9575387183576199E-2</v>
      </c>
      <c r="L680" t="s">
        <v>96</v>
      </c>
      <c r="M680">
        <v>14737.22851198585</v>
      </c>
      <c r="N680">
        <v>-1.9768374539458371</v>
      </c>
      <c r="O680">
        <v>14735.251674531901</v>
      </c>
      <c r="P680">
        <v>1230.001658270656</v>
      </c>
      <c r="Q680">
        <v>-153.78696562785649</v>
      </c>
      <c r="R680">
        <v>487.49354332899878</v>
      </c>
      <c r="S680" t="s">
        <v>96</v>
      </c>
      <c r="T680">
        <v>-59762.853005185672</v>
      </c>
    </row>
    <row r="681" spans="1:20" x14ac:dyDescent="0.25">
      <c r="A681" s="1" t="s">
        <v>100</v>
      </c>
      <c r="B681">
        <v>2023</v>
      </c>
      <c r="C681">
        <v>24946.104429999981</v>
      </c>
      <c r="D681">
        <v>24879.269546355859</v>
      </c>
      <c r="E681">
        <v>66.834883644127032</v>
      </c>
      <c r="F681">
        <v>0.57400322996878173</v>
      </c>
      <c r="G681">
        <v>-2.6210720406875309E-3</v>
      </c>
      <c r="H681">
        <v>0.57138215792809421</v>
      </c>
      <c r="I681">
        <v>4.9832158645552863E-2</v>
      </c>
      <c r="J681">
        <v>-6.5099880882547884E-3</v>
      </c>
      <c r="K681">
        <v>1.6895745589889079E-2</v>
      </c>
      <c r="L681" t="s">
        <v>96</v>
      </c>
      <c r="M681">
        <v>14319.14451795853</v>
      </c>
      <c r="N681">
        <v>-65.385536845544308</v>
      </c>
      <c r="O681">
        <v>14253.75898111298</v>
      </c>
      <c r="P681">
        <v>1243.1182335442879</v>
      </c>
      <c r="Q681">
        <v>-162.39884268765991</v>
      </c>
      <c r="R681">
        <v>420.35380871750363</v>
      </c>
      <c r="S681" t="s">
        <v>96</v>
      </c>
      <c r="T681">
        <v>-57767.717995858002</v>
      </c>
    </row>
    <row r="682" spans="1:20" x14ac:dyDescent="0.25">
      <c r="A682" s="1" t="s">
        <v>101</v>
      </c>
      <c r="B682">
        <v>1990</v>
      </c>
      <c r="C682">
        <v>6.032499999999966</v>
      </c>
      <c r="D682">
        <v>6.0264999999999658</v>
      </c>
      <c r="E682">
        <v>6.0000000000000001E-3</v>
      </c>
      <c r="F682">
        <v>2.2380041442188809</v>
      </c>
      <c r="G682">
        <v>-2.2958398478478621</v>
      </c>
      <c r="H682">
        <v>-5.7835703628980821E-2</v>
      </c>
      <c r="I682">
        <v>8.4336836579638502E-2</v>
      </c>
      <c r="J682">
        <v>5.6587714463324008E-2</v>
      </c>
      <c r="K682">
        <v>0.151665145606904</v>
      </c>
      <c r="L682">
        <v>-7.8E-2</v>
      </c>
      <c r="M682">
        <v>13.50076000000033</v>
      </c>
      <c r="N682">
        <v>-13.84965388214215</v>
      </c>
      <c r="O682">
        <v>-0.34889388214182482</v>
      </c>
      <c r="P682">
        <v>0.5087619666666664</v>
      </c>
      <c r="Q682">
        <v>0.34136538750000017</v>
      </c>
      <c r="R682">
        <v>0.91401000000000188</v>
      </c>
      <c r="S682">
        <v>-4.6799999999999999E-4</v>
      </c>
      <c r="T682">
        <v>-5.1875100640915646</v>
      </c>
    </row>
    <row r="683" spans="1:20" x14ac:dyDescent="0.25">
      <c r="A683" s="1" t="s">
        <v>101</v>
      </c>
      <c r="B683">
        <v>1991</v>
      </c>
      <c r="C683">
        <v>6.0454166666666991</v>
      </c>
      <c r="D683">
        <v>6.039083333333366</v>
      </c>
      <c r="E683">
        <v>6.3333333333333002E-3</v>
      </c>
      <c r="F683">
        <v>2.2363600523812681</v>
      </c>
      <c r="G683">
        <v>-1.5534026475291931</v>
      </c>
      <c r="H683">
        <v>0.68295740485207457</v>
      </c>
      <c r="I683">
        <v>8.4186306430490354E-2</v>
      </c>
      <c r="J683">
        <v>5.6513197394719612E-2</v>
      </c>
      <c r="K683">
        <v>0.15134802467261829</v>
      </c>
      <c r="L683">
        <v>-7.8000000000000402E-2</v>
      </c>
      <c r="M683">
        <v>13.51972833333333</v>
      </c>
      <c r="N683">
        <v>-9.3909662554171618</v>
      </c>
      <c r="O683">
        <v>4.1287620779161678</v>
      </c>
      <c r="P683">
        <v>0.50894129999999627</v>
      </c>
      <c r="Q683">
        <v>0.341645825416663</v>
      </c>
      <c r="R683">
        <v>0.91400333333333639</v>
      </c>
      <c r="S683">
        <v>-4.9399999999999997E-4</v>
      </c>
      <c r="T683">
        <v>-21.607147967777902</v>
      </c>
    </row>
    <row r="684" spans="1:20" x14ac:dyDescent="0.25">
      <c r="A684" s="1" t="s">
        <v>101</v>
      </c>
      <c r="B684">
        <v>1992</v>
      </c>
      <c r="C684">
        <v>6.0583333333333327</v>
      </c>
      <c r="D684">
        <v>6.0516666666666659</v>
      </c>
      <c r="E684">
        <v>6.6666666666667001E-3</v>
      </c>
      <c r="F684">
        <v>2.2347229711141132</v>
      </c>
      <c r="G684">
        <v>-2.0503516925845209</v>
      </c>
      <c r="H684">
        <v>0.18437127852959179</v>
      </c>
      <c r="I684">
        <v>8.4036418156809303E-2</v>
      </c>
      <c r="J684">
        <v>5.6438998074278289E-2</v>
      </c>
      <c r="K684">
        <v>0.15103222252822801</v>
      </c>
      <c r="L684">
        <v>-7.7999999999999597E-2</v>
      </c>
      <c r="M684">
        <v>13.538696666666331</v>
      </c>
      <c r="N684">
        <v>-12.42171400424122</v>
      </c>
      <c r="O684">
        <v>1.11698266242511</v>
      </c>
      <c r="P684">
        <v>0.50912063333333635</v>
      </c>
      <c r="Q684">
        <v>0.34192626333333592</v>
      </c>
      <c r="R684">
        <v>0.91399666666665969</v>
      </c>
      <c r="S684">
        <v>-5.1999999999999995E-4</v>
      </c>
      <c r="T684">
        <v>-10.565522827781921</v>
      </c>
    </row>
    <row r="685" spans="1:20" x14ac:dyDescent="0.25">
      <c r="A685" s="1" t="s">
        <v>101</v>
      </c>
      <c r="B685">
        <v>1993</v>
      </c>
      <c r="C685">
        <v>6.0712499999999654</v>
      </c>
      <c r="D685">
        <v>6.0642499999999657</v>
      </c>
      <c r="E685">
        <v>6.9999999999999707E-3</v>
      </c>
      <c r="F685">
        <v>2.2330928556722931</v>
      </c>
      <c r="G685">
        <v>-1.889068822483863</v>
      </c>
      <c r="H685">
        <v>0.34402403318842989</v>
      </c>
      <c r="I685">
        <v>8.3862268890263006E-2</v>
      </c>
      <c r="J685">
        <v>5.6318195799877298E-2</v>
      </c>
      <c r="K685">
        <v>0.15071773096425911</v>
      </c>
      <c r="L685">
        <v>-7.8000000000000749E-2</v>
      </c>
      <c r="M685">
        <v>13.55766500000033</v>
      </c>
      <c r="N685">
        <v>-11.469009088505089</v>
      </c>
      <c r="O685">
        <v>2.088655911495243</v>
      </c>
      <c r="P685">
        <v>0.5091488000000064</v>
      </c>
      <c r="Q685">
        <v>0.3419218462500031</v>
      </c>
      <c r="R685">
        <v>0.91399000000000286</v>
      </c>
      <c r="S685">
        <v>-5.4600000000000297E-4</v>
      </c>
      <c r="T685">
        <v>-14.128292045067219</v>
      </c>
    </row>
    <row r="686" spans="1:20" x14ac:dyDescent="0.25">
      <c r="A686" s="1" t="s">
        <v>101</v>
      </c>
      <c r="B686">
        <v>1994</v>
      </c>
      <c r="C686">
        <v>6.0841666666666994</v>
      </c>
      <c r="D686">
        <v>6.0768333333333659</v>
      </c>
      <c r="E686">
        <v>7.3333333333333601E-3</v>
      </c>
      <c r="F686">
        <v>2.2314696616901668</v>
      </c>
      <c r="G686">
        <v>-2.769178266923578</v>
      </c>
      <c r="H686">
        <v>-0.53770860523341091</v>
      </c>
      <c r="I686">
        <v>8.3688859060402188E-2</v>
      </c>
      <c r="J686">
        <v>5.6197906451171321E-2</v>
      </c>
      <c r="K686">
        <v>0.15040454183922519</v>
      </c>
      <c r="L686">
        <v>-7.7999999999999708E-2</v>
      </c>
      <c r="M686">
        <v>13.57663333333333</v>
      </c>
      <c r="N686">
        <v>-16.848142105674292</v>
      </c>
      <c r="O686">
        <v>-3.2715087723409622</v>
      </c>
      <c r="P686">
        <v>0.50917696666666634</v>
      </c>
      <c r="Q686">
        <v>0.34191742916667001</v>
      </c>
      <c r="R686">
        <v>0.91398333333333637</v>
      </c>
      <c r="S686">
        <v>-5.7199999999999992E-4</v>
      </c>
      <c r="T686">
        <v>5.5256778249728944</v>
      </c>
    </row>
    <row r="687" spans="1:20" x14ac:dyDescent="0.25">
      <c r="A687" s="1" t="s">
        <v>101</v>
      </c>
      <c r="B687">
        <v>1995</v>
      </c>
      <c r="C687">
        <v>6.0970833333333321</v>
      </c>
      <c r="D687">
        <v>6.0894166666666658</v>
      </c>
      <c r="E687">
        <v>7.6666666666666706E-3</v>
      </c>
      <c r="F687">
        <v>2.2298533451786509</v>
      </c>
      <c r="G687">
        <v>-2.1400846510700742</v>
      </c>
      <c r="H687">
        <v>8.9768694108576533E-2</v>
      </c>
      <c r="I687">
        <v>8.3516183967744642E-2</v>
      </c>
      <c r="J687">
        <v>5.6078126768263972E-2</v>
      </c>
      <c r="K687">
        <v>0.15009264707894729</v>
      </c>
      <c r="L687">
        <v>-7.7999999999999695E-2</v>
      </c>
      <c r="M687">
        <v>13.59560166666633</v>
      </c>
      <c r="N687">
        <v>-13.048274457961829</v>
      </c>
      <c r="O687">
        <v>0.54732720870450002</v>
      </c>
      <c r="P687">
        <v>0.50920513333333628</v>
      </c>
      <c r="Q687">
        <v>0.34191301208333602</v>
      </c>
      <c r="R687">
        <v>0.91397666666665967</v>
      </c>
      <c r="S687">
        <v>-5.9799999999999795E-4</v>
      </c>
      <c r="T687">
        <v>-8.4766880762228212</v>
      </c>
    </row>
    <row r="688" spans="1:20" x14ac:dyDescent="0.25">
      <c r="A688" s="1" t="s">
        <v>101</v>
      </c>
      <c r="B688">
        <v>1996</v>
      </c>
      <c r="C688">
        <v>6.1099999999999657</v>
      </c>
      <c r="D688">
        <v>6.1019999999999657</v>
      </c>
      <c r="E688">
        <v>8.0000000000000002E-3</v>
      </c>
      <c r="F688">
        <v>2.2282438625205252</v>
      </c>
      <c r="G688">
        <v>-1.748852726530097</v>
      </c>
      <c r="H688">
        <v>0.4793911359904281</v>
      </c>
      <c r="I688">
        <v>8.3344238952538341E-2</v>
      </c>
      <c r="J688">
        <v>5.5958853518822432E-2</v>
      </c>
      <c r="K688">
        <v>0.1497820386758453</v>
      </c>
      <c r="L688">
        <v>-7.8E-2</v>
      </c>
      <c r="M688">
        <v>13.614570000000329</v>
      </c>
      <c r="N688">
        <v>-10.68549015909883</v>
      </c>
      <c r="O688">
        <v>2.9290798409014989</v>
      </c>
      <c r="P688">
        <v>0.50923330000000644</v>
      </c>
      <c r="Q688">
        <v>0.34190859500000309</v>
      </c>
      <c r="R688">
        <v>0.91397000000000295</v>
      </c>
      <c r="S688">
        <v>-6.2399999999999999E-4</v>
      </c>
      <c r="T688">
        <v>-17.20974836497377</v>
      </c>
    </row>
    <row r="689" spans="1:20" x14ac:dyDescent="0.25">
      <c r="A689" s="1" t="s">
        <v>101</v>
      </c>
      <c r="B689">
        <v>1997</v>
      </c>
      <c r="C689">
        <v>6.1090000000000364</v>
      </c>
      <c r="D689">
        <v>6.1010000000000364</v>
      </c>
      <c r="E689">
        <v>8.0000000000000002E-3</v>
      </c>
      <c r="F689">
        <v>2.2268390898674508</v>
      </c>
      <c r="G689">
        <v>-2.2476887684629849</v>
      </c>
      <c r="H689">
        <v>-2.0849678595534889E-2</v>
      </c>
      <c r="I689">
        <v>8.2975424237462764E-2</v>
      </c>
      <c r="J689">
        <v>5.5591353331150319E-2</v>
      </c>
      <c r="K689">
        <v>0.14890437359995501</v>
      </c>
      <c r="L689">
        <v>-7.8E-2</v>
      </c>
      <c r="M689">
        <v>13.60376000000034</v>
      </c>
      <c r="N689">
        <v>-13.73113068654046</v>
      </c>
      <c r="O689">
        <v>-0.1273706865401234</v>
      </c>
      <c r="P689">
        <v>0.506896866666663</v>
      </c>
      <c r="Q689">
        <v>0.33960757749999931</v>
      </c>
      <c r="R689">
        <v>0.90846558333333061</v>
      </c>
      <c r="S689">
        <v>-6.2399999999999999E-4</v>
      </c>
      <c r="T689">
        <v>-5.9655762501867304</v>
      </c>
    </row>
    <row r="690" spans="1:20" x14ac:dyDescent="0.25">
      <c r="A690" s="1" t="s">
        <v>101</v>
      </c>
      <c r="B690">
        <v>1998</v>
      </c>
      <c r="C690">
        <v>6.107999999999997</v>
      </c>
      <c r="D690">
        <v>6.099999999999997</v>
      </c>
      <c r="E690">
        <v>8.0000000000000002E-3</v>
      </c>
      <c r="F690">
        <v>2.2254338572364669</v>
      </c>
      <c r="G690">
        <v>-1.8675284795899789</v>
      </c>
      <c r="H690">
        <v>0.3579053776464875</v>
      </c>
      <c r="I690">
        <v>8.2606488757912544E-2</v>
      </c>
      <c r="J690">
        <v>5.5223732809429722E-2</v>
      </c>
      <c r="K690">
        <v>0.14802642076502731</v>
      </c>
      <c r="L690">
        <v>-7.8E-2</v>
      </c>
      <c r="M690">
        <v>13.59295000000033</v>
      </c>
      <c r="N690">
        <v>-11.40686395333559</v>
      </c>
      <c r="O690">
        <v>2.186086046664744</v>
      </c>
      <c r="P690">
        <v>0.50456043333332956</v>
      </c>
      <c r="Q690">
        <v>0.33730655999999659</v>
      </c>
      <c r="R690">
        <v>0.90296116666666626</v>
      </c>
      <c r="S690">
        <v>-6.2399999999999999E-4</v>
      </c>
      <c r="T690">
        <v>-14.41106409110535</v>
      </c>
    </row>
    <row r="691" spans="1:20" x14ac:dyDescent="0.25">
      <c r="A691" s="1" t="s">
        <v>101</v>
      </c>
      <c r="B691">
        <v>1999</v>
      </c>
      <c r="C691">
        <v>6.1069999999999656</v>
      </c>
      <c r="D691">
        <v>6.0989999999999656</v>
      </c>
      <c r="E691">
        <v>8.0000000000000002E-3</v>
      </c>
      <c r="F691">
        <v>2.224028164401572</v>
      </c>
      <c r="G691">
        <v>-1.791246318447365</v>
      </c>
      <c r="H691">
        <v>0.43278184595420732</v>
      </c>
      <c r="I691">
        <v>8.2237432454561846E-2</v>
      </c>
      <c r="J691">
        <v>5.4855991894548053E-2</v>
      </c>
      <c r="K691">
        <v>0.14714818002951441</v>
      </c>
      <c r="L691">
        <v>-7.8E-2</v>
      </c>
      <c r="M691">
        <v>13.582140000000329</v>
      </c>
      <c r="N691">
        <v>-10.939141266758</v>
      </c>
      <c r="O691">
        <v>2.642998733242329</v>
      </c>
      <c r="P691">
        <v>0.50222400000000644</v>
      </c>
      <c r="Q691">
        <v>0.33500554250000308</v>
      </c>
      <c r="R691">
        <v>0.89745675000000302</v>
      </c>
      <c r="S691">
        <v>-6.2399999999999999E-4</v>
      </c>
      <c r="T691">
        <v>-16.049223761056709</v>
      </c>
    </row>
    <row r="692" spans="1:20" x14ac:dyDescent="0.25">
      <c r="A692" s="1" t="s">
        <v>101</v>
      </c>
      <c r="B692">
        <v>2000</v>
      </c>
      <c r="C692">
        <v>6.1060000000000363</v>
      </c>
      <c r="D692">
        <v>6.0980000000000363</v>
      </c>
      <c r="E692">
        <v>8.0000000000000002E-3</v>
      </c>
      <c r="F692">
        <v>2.2226220111366288</v>
      </c>
      <c r="G692">
        <v>-2.9415628607645532</v>
      </c>
      <c r="H692">
        <v>-0.71894084962792382</v>
      </c>
      <c r="I692">
        <v>8.1868255268041271E-2</v>
      </c>
      <c r="J692">
        <v>5.4488130527349708E-2</v>
      </c>
      <c r="K692">
        <v>0.14626965125177521</v>
      </c>
      <c r="L692">
        <v>-7.8E-2</v>
      </c>
      <c r="M692">
        <v>13.571330000000341</v>
      </c>
      <c r="N692">
        <v>-17.96118282782847</v>
      </c>
      <c r="O692">
        <v>-4.389852827828129</v>
      </c>
      <c r="P692">
        <v>0.49988756666666301</v>
      </c>
      <c r="Q692">
        <v>0.33270452499999931</v>
      </c>
      <c r="R692">
        <v>0.89195233333333068</v>
      </c>
      <c r="S692">
        <v>-6.2399999999999999E-4</v>
      </c>
      <c r="T692">
        <v>9.7750854770373881</v>
      </c>
    </row>
    <row r="693" spans="1:20" x14ac:dyDescent="0.25">
      <c r="A693" s="1" t="s">
        <v>101</v>
      </c>
      <c r="B693">
        <v>2001</v>
      </c>
      <c r="C693">
        <v>6.104999999999996</v>
      </c>
      <c r="D693">
        <v>6.096999999999996</v>
      </c>
      <c r="E693">
        <v>8.0000000000000002E-3</v>
      </c>
      <c r="F693">
        <v>2.2212153972154529</v>
      </c>
      <c r="G693">
        <v>-1.8619603377178711</v>
      </c>
      <c r="H693">
        <v>0.3592550594975823</v>
      </c>
      <c r="I693">
        <v>8.1498957138956579E-2</v>
      </c>
      <c r="J693">
        <v>5.4120148648648142E-2</v>
      </c>
      <c r="K693">
        <v>0.14539083429008809</v>
      </c>
      <c r="L693">
        <v>-7.8E-2</v>
      </c>
      <c r="M693">
        <v>13.560520000000331</v>
      </c>
      <c r="N693">
        <v>-11.367267861767591</v>
      </c>
      <c r="O693">
        <v>2.1932521382327379</v>
      </c>
      <c r="P693">
        <v>0.49755113333332962</v>
      </c>
      <c r="Q693">
        <v>0.33040350749999658</v>
      </c>
      <c r="R693">
        <v>0.88644791666666634</v>
      </c>
      <c r="S693">
        <v>-6.2399999999999999E-4</v>
      </c>
      <c r="T693">
        <v>-14.32577921768798</v>
      </c>
    </row>
    <row r="694" spans="1:20" x14ac:dyDescent="0.25">
      <c r="A694" s="1" t="s">
        <v>101</v>
      </c>
      <c r="B694">
        <v>2002</v>
      </c>
      <c r="C694">
        <v>6.1039999999999663</v>
      </c>
      <c r="D694">
        <v>6.0959999999999663</v>
      </c>
      <c r="E694">
        <v>8.0000000000000002E-3</v>
      </c>
      <c r="F694">
        <v>2.2198083224116001</v>
      </c>
      <c r="G694">
        <v>-1.8827191103592651</v>
      </c>
      <c r="H694">
        <v>0.33708921205233477</v>
      </c>
      <c r="I694">
        <v>8.1129538007865251E-2</v>
      </c>
      <c r="J694">
        <v>5.3752046199214441E-2</v>
      </c>
      <c r="K694">
        <v>0.14451172900262599</v>
      </c>
      <c r="L694">
        <v>-7.7999999999999875E-2</v>
      </c>
      <c r="M694">
        <v>13.54971000000033</v>
      </c>
      <c r="N694">
        <v>-11.49211744963289</v>
      </c>
      <c r="O694">
        <v>2.0575925503674402</v>
      </c>
      <c r="P694">
        <v>0.49521470000000672</v>
      </c>
      <c r="Q694">
        <v>0.32810249000000308</v>
      </c>
      <c r="R694">
        <v>0.8809435000000031</v>
      </c>
      <c r="S694">
        <v>-6.2399999999999901E-4</v>
      </c>
      <c r="T694">
        <v>-13.79117388134858</v>
      </c>
    </row>
    <row r="695" spans="1:20" x14ac:dyDescent="0.25">
      <c r="A695" s="1" t="s">
        <v>101</v>
      </c>
      <c r="B695">
        <v>2003</v>
      </c>
      <c r="C695">
        <v>6.1071666666666697</v>
      </c>
      <c r="D695">
        <v>6.0988333333333369</v>
      </c>
      <c r="E695">
        <v>8.3333333333333003E-3</v>
      </c>
      <c r="F695">
        <v>2.2185274131484309</v>
      </c>
      <c r="G695">
        <v>-2.05386827471956</v>
      </c>
      <c r="H695">
        <v>0.1646591384288707</v>
      </c>
      <c r="I695">
        <v>8.0696307616734381E-2</v>
      </c>
      <c r="J695">
        <v>5.3315345222826119E-2</v>
      </c>
      <c r="K695">
        <v>0.14323652064602571</v>
      </c>
      <c r="L695">
        <v>-7.8000000000000305E-2</v>
      </c>
      <c r="M695">
        <v>13.548916666666329</v>
      </c>
      <c r="N695">
        <v>-12.543315865091481</v>
      </c>
      <c r="O695">
        <v>1.0056008015748521</v>
      </c>
      <c r="P695">
        <v>0.49282579999999993</v>
      </c>
      <c r="Q695">
        <v>0.32560569916666982</v>
      </c>
      <c r="R695">
        <v>0.87357566666666997</v>
      </c>
      <c r="S695">
        <v>-6.4999999999999997E-4</v>
      </c>
      <c r="T695">
        <v>-9.8888458804976036</v>
      </c>
    </row>
    <row r="696" spans="1:20" x14ac:dyDescent="0.25">
      <c r="A696" s="1" t="s">
        <v>101</v>
      </c>
      <c r="B696">
        <v>2004</v>
      </c>
      <c r="C696">
        <v>6.1103333333333616</v>
      </c>
      <c r="D696">
        <v>6.1016666666666959</v>
      </c>
      <c r="E696">
        <v>8.666666666666701E-3</v>
      </c>
      <c r="F696">
        <v>2.2172478315421862</v>
      </c>
      <c r="G696">
        <v>-2.1408458101047381</v>
      </c>
      <c r="H696">
        <v>7.6402021437448009E-2</v>
      </c>
      <c r="I696">
        <v>8.0263526266977969E-2</v>
      </c>
      <c r="J696">
        <v>5.2879096885058409E-2</v>
      </c>
      <c r="K696">
        <v>0.14196249658563209</v>
      </c>
      <c r="L696">
        <v>-7.7999999999999681E-2</v>
      </c>
      <c r="M696">
        <v>13.54812333333334</v>
      </c>
      <c r="N696">
        <v>-13.081281515010049</v>
      </c>
      <c r="O696">
        <v>0.46684181832328869</v>
      </c>
      <c r="P696">
        <v>0.4904368999999934</v>
      </c>
      <c r="Q696">
        <v>0.32310890833333678</v>
      </c>
      <c r="R696">
        <v>0.86620783333333584</v>
      </c>
      <c r="S696">
        <v>-6.7599999999999995E-4</v>
      </c>
      <c r="T696">
        <v>-7.8683713532972179</v>
      </c>
    </row>
    <row r="697" spans="1:20" x14ac:dyDescent="0.25">
      <c r="A697" s="1" t="s">
        <v>101</v>
      </c>
      <c r="B697">
        <v>2005</v>
      </c>
      <c r="C697">
        <v>6.1134999999999664</v>
      </c>
      <c r="D697">
        <v>6.1044999999999661</v>
      </c>
      <c r="E697">
        <v>8.9999999999999594E-3</v>
      </c>
      <c r="F697">
        <v>2.2159695755296318</v>
      </c>
      <c r="G697">
        <v>-2.130466075269529</v>
      </c>
      <c r="H697">
        <v>8.5503500260102089E-2</v>
      </c>
      <c r="I697">
        <v>7.9831193260817251E-2</v>
      </c>
      <c r="J697">
        <v>5.2443300482539472E-2</v>
      </c>
      <c r="K697">
        <v>0.14068965517241511</v>
      </c>
      <c r="L697">
        <v>-7.8000000000000347E-2</v>
      </c>
      <c r="M697">
        <v>13.547330000000329</v>
      </c>
      <c r="N697">
        <v>-13.0246043511602</v>
      </c>
      <c r="O697">
        <v>0.52272564884013129</v>
      </c>
      <c r="P697">
        <v>0.48804800000000359</v>
      </c>
      <c r="Q697">
        <v>0.32061211750000329</v>
      </c>
      <c r="R697">
        <v>0.85884000000000305</v>
      </c>
      <c r="S697">
        <v>-7.0199999999999993E-4</v>
      </c>
      <c r="T697">
        <v>-8.028253809914581</v>
      </c>
    </row>
    <row r="698" spans="1:20" x14ac:dyDescent="0.25">
      <c r="A698" s="1" t="s">
        <v>101</v>
      </c>
      <c r="B698">
        <v>2006</v>
      </c>
      <c r="C698">
        <v>6.1166666666666689</v>
      </c>
      <c r="D698">
        <v>6.1073333333333357</v>
      </c>
      <c r="E698">
        <v>9.3333333333333289E-3</v>
      </c>
      <c r="F698">
        <v>2.2146926430517162</v>
      </c>
      <c r="G698">
        <v>-2.337286255921728</v>
      </c>
      <c r="H698">
        <v>-0.1225936128700125</v>
      </c>
      <c r="I698">
        <v>7.9399307901907315E-2</v>
      </c>
      <c r="J698">
        <v>5.2007955313352033E-2</v>
      </c>
      <c r="K698">
        <v>0.13941799476039779</v>
      </c>
      <c r="L698">
        <v>-7.8000000000000042E-2</v>
      </c>
      <c r="M698">
        <v>13.546536666666331</v>
      </c>
      <c r="N698">
        <v>-14.29640093205458</v>
      </c>
      <c r="O698">
        <v>-0.74986426538824347</v>
      </c>
      <c r="P698">
        <v>0.4856590999999999</v>
      </c>
      <c r="Q698">
        <v>0.31811532666666997</v>
      </c>
      <c r="R698">
        <v>0.85147216666666992</v>
      </c>
      <c r="S698">
        <v>-7.2800000000000002E-4</v>
      </c>
      <c r="T698">
        <v>-3.317065869132322</v>
      </c>
    </row>
    <row r="699" spans="1:20" x14ac:dyDescent="0.25">
      <c r="A699" s="1" t="s">
        <v>101</v>
      </c>
      <c r="B699">
        <v>2007</v>
      </c>
      <c r="C699">
        <v>6.1198333333333634</v>
      </c>
      <c r="D699">
        <v>6.1101666666666956</v>
      </c>
      <c r="E699">
        <v>9.6666666666667001E-3</v>
      </c>
      <c r="F699">
        <v>2.213417032054239</v>
      </c>
      <c r="G699">
        <v>-2.7392239377435752</v>
      </c>
      <c r="H699">
        <v>-0.52580690568933575</v>
      </c>
      <c r="I699">
        <v>7.9018075110976999E-2</v>
      </c>
      <c r="J699">
        <v>5.1575923908603473E-2</v>
      </c>
      <c r="K699">
        <v>0.13814493603556879</v>
      </c>
      <c r="L699">
        <v>-7.7999999999999736E-2</v>
      </c>
      <c r="M699">
        <v>13.545743333333339</v>
      </c>
      <c r="N699">
        <v>-16.763593961667809</v>
      </c>
      <c r="O699">
        <v>-3.2178506283344692</v>
      </c>
      <c r="P699">
        <v>0.48357744999999641</v>
      </c>
      <c r="Q699">
        <v>0.31563605833333669</v>
      </c>
      <c r="R699">
        <v>0.8440885833333357</v>
      </c>
      <c r="S699">
        <v>-7.54E-4</v>
      </c>
      <c r="T699">
        <v>5.7761093011157936</v>
      </c>
    </row>
    <row r="700" spans="1:20" x14ac:dyDescent="0.25">
      <c r="A700" s="1" t="s">
        <v>101</v>
      </c>
      <c r="B700">
        <v>2008</v>
      </c>
      <c r="C700">
        <v>6.1229999999999656</v>
      </c>
      <c r="D700">
        <v>6.1129999999999667</v>
      </c>
      <c r="E700">
        <v>9.9999999999999707E-3</v>
      </c>
      <c r="F700">
        <v>2.212142740486756</v>
      </c>
      <c r="G700">
        <v>-2.8225930776663182</v>
      </c>
      <c r="H700">
        <v>-0.61045033717956232</v>
      </c>
      <c r="I700">
        <v>7.8670689749034184E-2</v>
      </c>
      <c r="J700">
        <v>5.1146247209974197E-2</v>
      </c>
      <c r="K700">
        <v>0.1368713397677094</v>
      </c>
      <c r="L700">
        <v>-7.8000000000000222E-2</v>
      </c>
      <c r="M700">
        <v>13.54495000000033</v>
      </c>
      <c r="N700">
        <v>-17.28273741455077</v>
      </c>
      <c r="O700">
        <v>-3.7377874145504388</v>
      </c>
      <c r="P700">
        <v>0.48170063333333363</v>
      </c>
      <c r="Q700">
        <v>0.31316847166667028</v>
      </c>
      <c r="R700">
        <v>0.83669450000000323</v>
      </c>
      <c r="S700">
        <v>-7.7999999999999999E-4</v>
      </c>
      <c r="T700">
        <v>7.7256806350189517</v>
      </c>
    </row>
    <row r="701" spans="1:20" x14ac:dyDescent="0.25">
      <c r="A701" s="1" t="s">
        <v>101</v>
      </c>
      <c r="B701">
        <v>2009</v>
      </c>
      <c r="C701">
        <v>6.1361666666666697</v>
      </c>
      <c r="D701">
        <v>6.1261666666666699</v>
      </c>
      <c r="E701">
        <v>1.000000000000003E-2</v>
      </c>
      <c r="F701">
        <v>2.2116470652143829</v>
      </c>
      <c r="G701">
        <v>-2.6814256523846649</v>
      </c>
      <c r="H701">
        <v>-0.46977858717028248</v>
      </c>
      <c r="I701">
        <v>7.9349865551239393E-2</v>
      </c>
      <c r="J701">
        <v>5.1744083982942092E-2</v>
      </c>
      <c r="K701">
        <v>0.13995024077046489</v>
      </c>
      <c r="L701">
        <v>-7.7999999999999778E-2</v>
      </c>
      <c r="M701">
        <v>13.571034999999659</v>
      </c>
      <c r="N701">
        <v>-16.453674707307709</v>
      </c>
      <c r="O701">
        <v>-2.8826397073080501</v>
      </c>
      <c r="P701">
        <v>0.48690399999999701</v>
      </c>
      <c r="Q701">
        <v>0.31751032333333001</v>
      </c>
      <c r="R701">
        <v>0.85735849999999703</v>
      </c>
      <c r="S701">
        <v>-7.8000000000000009E-4</v>
      </c>
      <c r="T701">
        <v>4.4793719079077352</v>
      </c>
    </row>
    <row r="702" spans="1:20" x14ac:dyDescent="0.25">
      <c r="A702" s="1" t="s">
        <v>101</v>
      </c>
      <c r="B702">
        <v>2010</v>
      </c>
      <c r="C702">
        <v>6.1493333333333631</v>
      </c>
      <c r="D702">
        <v>6.1393333333333633</v>
      </c>
      <c r="E702">
        <v>0.01</v>
      </c>
      <c r="F702">
        <v>2.2111535125758781</v>
      </c>
      <c r="G702">
        <v>-2.6102374604529341</v>
      </c>
      <c r="H702">
        <v>-0.39908394787705648</v>
      </c>
      <c r="I702">
        <v>8.0026132914137238E-2</v>
      </c>
      <c r="J702">
        <v>5.2339360635298933E-2</v>
      </c>
      <c r="K702">
        <v>0.14301593549788169</v>
      </c>
      <c r="L702">
        <v>-7.8E-2</v>
      </c>
      <c r="M702">
        <v>13.59712</v>
      </c>
      <c r="N702">
        <v>-16.051220223478651</v>
      </c>
      <c r="O702">
        <v>-2.4541002234786582</v>
      </c>
      <c r="P702">
        <v>0.49210736666667032</v>
      </c>
      <c r="Q702">
        <v>0.3218521749999998</v>
      </c>
      <c r="R702">
        <v>0.87802249999999959</v>
      </c>
      <c r="S702">
        <v>-7.7999999999999999E-4</v>
      </c>
      <c r="T702">
        <v>2.7972933333108791</v>
      </c>
    </row>
    <row r="703" spans="1:20" x14ac:dyDescent="0.25">
      <c r="A703" s="1" t="s">
        <v>101</v>
      </c>
      <c r="B703">
        <v>2011</v>
      </c>
      <c r="C703">
        <v>6.1624999999999659</v>
      </c>
      <c r="D703">
        <v>6.1524999999999661</v>
      </c>
      <c r="E703">
        <v>9.9999999999999707E-3</v>
      </c>
      <c r="F703">
        <v>1.7941116105477319</v>
      </c>
      <c r="G703">
        <v>-1.8070382266765019</v>
      </c>
      <c r="H703">
        <v>-1.2926616128770571E-2</v>
      </c>
      <c r="I703">
        <v>8.0699510480054581E-2</v>
      </c>
      <c r="J703">
        <v>5.2932093576741918E-2</v>
      </c>
      <c r="K703">
        <v>0.14606850873628741</v>
      </c>
      <c r="L703">
        <v>-7.8000000000000222E-2</v>
      </c>
      <c r="M703">
        <v>11.05621280000034</v>
      </c>
      <c r="N703">
        <v>-11.135873071893879</v>
      </c>
      <c r="O703">
        <v>-7.9660271893548185E-2</v>
      </c>
      <c r="P703">
        <v>0.49731073333333359</v>
      </c>
      <c r="Q703">
        <v>0.3261940266666703</v>
      </c>
      <c r="R703">
        <v>0.89868650000000327</v>
      </c>
      <c r="S703">
        <v>-7.7999999999999988E-4</v>
      </c>
      <c r="T703">
        <v>-6.0197536230575643</v>
      </c>
    </row>
    <row r="704" spans="1:20" x14ac:dyDescent="0.25">
      <c r="A704" s="1" t="s">
        <v>101</v>
      </c>
      <c r="B704">
        <v>2012</v>
      </c>
      <c r="C704">
        <v>6.1756666666666709</v>
      </c>
      <c r="D704">
        <v>6.1656666666666711</v>
      </c>
      <c r="E704">
        <v>1.000000000000003E-2</v>
      </c>
      <c r="F704">
        <v>1.793376110541371</v>
      </c>
      <c r="G704">
        <v>-1.8132036296779119</v>
      </c>
      <c r="H704">
        <v>-1.9827519136540239E-2</v>
      </c>
      <c r="I704">
        <v>8.1370016732336528E-2</v>
      </c>
      <c r="J704">
        <v>5.3522299077022141E-2</v>
      </c>
      <c r="K704">
        <v>0.149108044547764</v>
      </c>
      <c r="L704">
        <v>-7.799999999999975E-2</v>
      </c>
      <c r="M704">
        <v>11.075293066666671</v>
      </c>
      <c r="N704">
        <v>-11.1977412156809</v>
      </c>
      <c r="O704">
        <v>-0.1224481490142271</v>
      </c>
      <c r="P704">
        <v>0.50251409999999996</v>
      </c>
      <c r="Q704">
        <v>0.33053587833332998</v>
      </c>
      <c r="R704">
        <v>0.91935049999999729</v>
      </c>
      <c r="S704">
        <v>-7.7999999999999988E-4</v>
      </c>
      <c r="T704">
        <v>-5.9736318741705778</v>
      </c>
    </row>
    <row r="705" spans="1:20" x14ac:dyDescent="0.25">
      <c r="A705" s="1" t="s">
        <v>101</v>
      </c>
      <c r="B705">
        <v>2013</v>
      </c>
      <c r="C705">
        <v>6.1888333333333616</v>
      </c>
      <c r="D705">
        <v>6.1788333333333627</v>
      </c>
      <c r="E705">
        <v>0.01</v>
      </c>
      <c r="F705">
        <v>1.792643740069418</v>
      </c>
      <c r="G705">
        <v>-1.590224003027036</v>
      </c>
      <c r="H705">
        <v>0.2024197370423825</v>
      </c>
      <c r="I705">
        <v>8.2037669997038362E-2</v>
      </c>
      <c r="J705">
        <v>5.4109993267443757E-2</v>
      </c>
      <c r="K705">
        <v>0.15213462627788341</v>
      </c>
      <c r="L705">
        <v>-7.8000000000000014E-2</v>
      </c>
      <c r="M705">
        <v>11.094373333332999</v>
      </c>
      <c r="N705">
        <v>-9.8416313174005321</v>
      </c>
      <c r="O705">
        <v>1.2527420159324709</v>
      </c>
      <c r="P705">
        <v>0.50771746666667328</v>
      </c>
      <c r="Q705">
        <v>0.33487772999999982</v>
      </c>
      <c r="R705">
        <v>0.94001449999999964</v>
      </c>
      <c r="S705">
        <v>-7.8000000000000009E-4</v>
      </c>
      <c r="T705">
        <v>-11.12676294619787</v>
      </c>
    </row>
    <row r="706" spans="1:20" x14ac:dyDescent="0.25">
      <c r="A706" s="1" t="s">
        <v>101</v>
      </c>
      <c r="B706">
        <v>2014</v>
      </c>
      <c r="C706">
        <v>6.2019999999999662</v>
      </c>
      <c r="D706">
        <v>6.1919999999999664</v>
      </c>
      <c r="E706">
        <v>9.9999999999999707E-3</v>
      </c>
      <c r="F706">
        <v>1.7919144792003221</v>
      </c>
      <c r="G706">
        <v>-1.5863247810954031</v>
      </c>
      <c r="H706">
        <v>0.20558969810491881</v>
      </c>
      <c r="I706">
        <v>8.2702488444588745E-2</v>
      </c>
      <c r="J706">
        <v>5.4695192142320569E-2</v>
      </c>
      <c r="K706">
        <v>0.15514833656330879</v>
      </c>
      <c r="L706">
        <v>-7.8000000000000222E-2</v>
      </c>
      <c r="M706">
        <v>11.113453600000341</v>
      </c>
      <c r="N706">
        <v>-9.838386292353638</v>
      </c>
      <c r="O706">
        <v>1.275067307646699</v>
      </c>
      <c r="P706">
        <v>0.5129208333333366</v>
      </c>
      <c r="Q706">
        <v>0.33921958166667032</v>
      </c>
      <c r="R706">
        <v>0.9606785000000031</v>
      </c>
      <c r="S706">
        <v>-7.7999999999999999E-4</v>
      </c>
      <c r="T706">
        <v>-11.319389483038959</v>
      </c>
    </row>
    <row r="707" spans="1:20" x14ac:dyDescent="0.25">
      <c r="A707" s="1" t="s">
        <v>101</v>
      </c>
      <c r="B707">
        <v>2015</v>
      </c>
      <c r="C707">
        <v>6.2185999999999826</v>
      </c>
      <c r="D707">
        <v>6.2085999999999837</v>
      </c>
      <c r="E707">
        <v>1.000000000000003E-2</v>
      </c>
      <c r="F707">
        <v>1.7867656900266451</v>
      </c>
      <c r="G707">
        <v>-1.4271733753417211</v>
      </c>
      <c r="H707">
        <v>0.3595923146849242</v>
      </c>
      <c r="I707">
        <v>8.2985138079986601E-2</v>
      </c>
      <c r="J707">
        <v>5.8122664588530333E-2</v>
      </c>
      <c r="K707">
        <v>0.16591102982618761</v>
      </c>
      <c r="L707">
        <v>-7.7999999999999736E-2</v>
      </c>
      <c r="M707">
        <v>11.11118111999966</v>
      </c>
      <c r="N707">
        <v>-8.8750203518999999</v>
      </c>
      <c r="O707">
        <v>2.2361607680996638</v>
      </c>
      <c r="P707">
        <v>0.51605137966420334</v>
      </c>
      <c r="Q707">
        <v>0.36144160201023368</v>
      </c>
      <c r="R707">
        <v>1.0300752197788661</v>
      </c>
      <c r="S707">
        <v>-7.7999999999999999E-4</v>
      </c>
      <c r="T707">
        <v>-15.19081288836226</v>
      </c>
    </row>
    <row r="708" spans="1:20" x14ac:dyDescent="0.25">
      <c r="A708" s="1" t="s">
        <v>101</v>
      </c>
      <c r="B708">
        <v>2016</v>
      </c>
      <c r="C708">
        <v>6.2352000000000398</v>
      </c>
      <c r="D708">
        <v>6.22520000000004</v>
      </c>
      <c r="E708">
        <v>0.01</v>
      </c>
      <c r="F708">
        <v>1.7816443161406099</v>
      </c>
      <c r="G708">
        <v>-1.371499154512072</v>
      </c>
      <c r="H708">
        <v>0.41014516162853748</v>
      </c>
      <c r="I708">
        <v>8.3272820655527768E-2</v>
      </c>
      <c r="J708">
        <v>6.1540925985165598E-2</v>
      </c>
      <c r="K708">
        <v>0.17663317188549779</v>
      </c>
      <c r="L708">
        <v>-7.8E-2</v>
      </c>
      <c r="M708">
        <v>11.108908639999999</v>
      </c>
      <c r="N708">
        <v>-8.5515715282137279</v>
      </c>
      <c r="O708">
        <v>2.5573371117862731</v>
      </c>
      <c r="P708">
        <v>0.51922269135135002</v>
      </c>
      <c r="Q708">
        <v>0.38371998170270699</v>
      </c>
      <c r="R708">
        <v>1.099576821621608</v>
      </c>
      <c r="S708">
        <v>-7.7999999999999999E-4</v>
      </c>
      <c r="T708">
        <v>-16.716614223695299</v>
      </c>
    </row>
    <row r="709" spans="1:20" x14ac:dyDescent="0.25">
      <c r="A709" s="1" t="s">
        <v>101</v>
      </c>
      <c r="B709">
        <v>2017</v>
      </c>
      <c r="C709">
        <v>6.2517999999999754</v>
      </c>
      <c r="D709">
        <v>6.2417999999999756</v>
      </c>
      <c r="E709">
        <v>0.01</v>
      </c>
      <c r="F709">
        <v>1.7765501391599821</v>
      </c>
      <c r="G709">
        <v>-1.415715431246152</v>
      </c>
      <c r="H709">
        <v>0.36083470791382999</v>
      </c>
      <c r="I709">
        <v>8.3825223319631464E-2</v>
      </c>
      <c r="J709">
        <v>6.5331229330233206E-2</v>
      </c>
      <c r="K709">
        <v>0.1882067150800262</v>
      </c>
      <c r="L709">
        <v>-7.8E-2</v>
      </c>
      <c r="M709">
        <v>11.106636160000329</v>
      </c>
      <c r="N709">
        <v>-8.8507697330646558</v>
      </c>
      <c r="O709">
        <v>2.2558664269356741</v>
      </c>
      <c r="P709">
        <v>0.52405853114966994</v>
      </c>
      <c r="Q709">
        <v>0.40843777952675031</v>
      </c>
      <c r="R709">
        <v>1.174748674186503</v>
      </c>
      <c r="S709">
        <v>-7.7999999999999999E-4</v>
      </c>
      <c r="T709">
        <v>-15.995215176596311</v>
      </c>
    </row>
    <row r="710" spans="1:20" x14ac:dyDescent="0.25">
      <c r="A710" s="1" t="s">
        <v>101</v>
      </c>
      <c r="B710">
        <v>2018</v>
      </c>
      <c r="C710">
        <v>6.2683999999999944</v>
      </c>
      <c r="D710">
        <v>6.2583999999999937</v>
      </c>
      <c r="E710">
        <v>0.01</v>
      </c>
      <c r="F710">
        <v>1.7714829430157111</v>
      </c>
      <c r="G710">
        <v>-1.7332188361280201</v>
      </c>
      <c r="H710">
        <v>3.8264106887691197E-2</v>
      </c>
      <c r="I710">
        <v>8.4381222197332753E-2</v>
      </c>
      <c r="J710">
        <v>6.9110474497751123E-2</v>
      </c>
      <c r="K710">
        <v>0.1997356688008885</v>
      </c>
      <c r="L710">
        <v>-7.8E-2</v>
      </c>
      <c r="M710">
        <v>11.10436367999967</v>
      </c>
      <c r="N710">
        <v>-10.86450895238487</v>
      </c>
      <c r="O710">
        <v>0.23985472761480331</v>
      </c>
      <c r="P710">
        <v>0.52893525322176005</v>
      </c>
      <c r="Q710">
        <v>0.43321209834170271</v>
      </c>
      <c r="R710">
        <v>1.250025709623479</v>
      </c>
      <c r="S710">
        <v>-7.7999999999999999E-4</v>
      </c>
      <c r="T710">
        <v>-8.9879085589405499</v>
      </c>
    </row>
    <row r="711" spans="1:20" x14ac:dyDescent="0.25">
      <c r="A711" s="1" t="s">
        <v>101</v>
      </c>
      <c r="B711">
        <v>2019</v>
      </c>
      <c r="C711">
        <v>6.2849999999999602</v>
      </c>
      <c r="D711">
        <v>6.2749999999999604</v>
      </c>
      <c r="E711">
        <v>0.01</v>
      </c>
      <c r="F711">
        <v>1.7664425139220481</v>
      </c>
      <c r="G711">
        <v>-1.447708241070879</v>
      </c>
      <c r="H711">
        <v>0.3187342728511684</v>
      </c>
      <c r="I711">
        <v>8.4940118608520826E-2</v>
      </c>
      <c r="J711">
        <v>7.2877822557315647E-2</v>
      </c>
      <c r="K711">
        <v>0.21121865990582681</v>
      </c>
      <c r="L711">
        <v>-7.8E-2</v>
      </c>
      <c r="M711">
        <v>11.1020912</v>
      </c>
      <c r="N711">
        <v>-9.0988462951304196</v>
      </c>
      <c r="O711">
        <v>2.0032449048695811</v>
      </c>
      <c r="P711">
        <v>0.53384864545455002</v>
      </c>
      <c r="Q711">
        <v>0.45803711477272602</v>
      </c>
      <c r="R711">
        <v>1.3253970909090551</v>
      </c>
      <c r="S711">
        <v>-7.7999999999999999E-4</v>
      </c>
      <c r="T711">
        <v>-15.83907510535645</v>
      </c>
    </row>
    <row r="712" spans="1:20" x14ac:dyDescent="0.25">
      <c r="A712" s="1" t="s">
        <v>101</v>
      </c>
      <c r="B712">
        <v>2020</v>
      </c>
      <c r="C712">
        <v>6.2985714285714502</v>
      </c>
      <c r="D712">
        <v>6.2885714285714496</v>
      </c>
      <c r="E712">
        <v>0.01</v>
      </c>
      <c r="F712">
        <v>1.764070070310729</v>
      </c>
      <c r="G712">
        <v>-1.235842881294674</v>
      </c>
      <c r="H712">
        <v>0.52822718901605425</v>
      </c>
      <c r="I712">
        <v>8.5345219141308604E-2</v>
      </c>
      <c r="J712">
        <v>7.4253925580534175E-2</v>
      </c>
      <c r="K712">
        <v>0.21611445099581239</v>
      </c>
      <c r="L712">
        <v>-7.8E-2</v>
      </c>
      <c r="M712">
        <v>11.11112134285719</v>
      </c>
      <c r="N712">
        <v>-7.7840446623260551</v>
      </c>
      <c r="O712">
        <v>3.32707668053113</v>
      </c>
      <c r="P712">
        <v>0.53755295884861565</v>
      </c>
      <c r="Q712">
        <v>0.46769365412082331</v>
      </c>
      <c r="R712">
        <v>1.3590511618336709</v>
      </c>
      <c r="S712">
        <v>-7.7999999999999999E-4</v>
      </c>
      <c r="T712">
        <v>-20.865513002894112</v>
      </c>
    </row>
    <row r="713" spans="1:20" x14ac:dyDescent="0.25">
      <c r="A713" s="1" t="s">
        <v>101</v>
      </c>
      <c r="B713">
        <v>2021</v>
      </c>
      <c r="C713">
        <v>6.31214285714284</v>
      </c>
      <c r="D713">
        <v>6.3021428571428402</v>
      </c>
      <c r="E713">
        <v>0.01</v>
      </c>
      <c r="F713">
        <v>1.7617078284485881</v>
      </c>
      <c r="G713">
        <v>-1.112372707708867</v>
      </c>
      <c r="H713">
        <v>0.64933512073972133</v>
      </c>
      <c r="I713">
        <v>8.5749152455278949E-2</v>
      </c>
      <c r="J713">
        <v>7.5624905836556275E-2</v>
      </c>
      <c r="K713">
        <v>0.22099063736920571</v>
      </c>
      <c r="L713">
        <v>-7.8E-2</v>
      </c>
      <c r="M713">
        <v>11.120151485714381</v>
      </c>
      <c r="N713">
        <v>-7.0214554414451653</v>
      </c>
      <c r="O713">
        <v>4.0986960442692153</v>
      </c>
      <c r="P713">
        <v>0.54126090017664141</v>
      </c>
      <c r="Q713">
        <v>0.47735520919831859</v>
      </c>
      <c r="R713">
        <v>1.3927145667917831</v>
      </c>
      <c r="S713">
        <v>-7.7999999999999999E-4</v>
      </c>
      <c r="T713">
        <v>-23.867237974934021</v>
      </c>
    </row>
    <row r="714" spans="1:20" x14ac:dyDescent="0.25">
      <c r="A714" s="1" t="s">
        <v>101</v>
      </c>
      <c r="B714">
        <v>2022</v>
      </c>
      <c r="C714">
        <v>6.3257142857142581</v>
      </c>
      <c r="D714">
        <v>6.3157142857142583</v>
      </c>
      <c r="E714">
        <v>0.01</v>
      </c>
      <c r="F714">
        <v>1.7593557226739229</v>
      </c>
      <c r="G714">
        <v>-1.1753011430978091</v>
      </c>
      <c r="H714">
        <v>0.58405457957611395</v>
      </c>
      <c r="I714">
        <v>8.6151989481273616E-2</v>
      </c>
      <c r="J714">
        <v>7.6990883974792979E-2</v>
      </c>
      <c r="K714">
        <v>0.22584750883022939</v>
      </c>
      <c r="L714">
        <v>-7.8E-2</v>
      </c>
      <c r="M714">
        <v>11.129181628571571</v>
      </c>
      <c r="N714">
        <v>-7.4346192309101067</v>
      </c>
      <c r="O714">
        <v>3.6945623976614592</v>
      </c>
      <c r="P714">
        <v>0.54497287060439703</v>
      </c>
      <c r="Q714">
        <v>0.48702233462911693</v>
      </c>
      <c r="R714">
        <v>1.426388337912057</v>
      </c>
      <c r="S714">
        <v>-7.7999999999999999E-4</v>
      </c>
      <c r="T714">
        <v>-22.557941782961159</v>
      </c>
    </row>
    <row r="715" spans="1:20" x14ac:dyDescent="0.25">
      <c r="A715" s="1" t="s">
        <v>101</v>
      </c>
      <c r="B715">
        <v>2023</v>
      </c>
      <c r="C715">
        <v>6.3392857142856878</v>
      </c>
      <c r="D715">
        <v>6.329285714285688</v>
      </c>
      <c r="E715">
        <v>0.01</v>
      </c>
      <c r="F715">
        <v>1.757013687887256</v>
      </c>
      <c r="G715">
        <v>-1.1870463017323969</v>
      </c>
      <c r="H715">
        <v>0.56996738615485953</v>
      </c>
      <c r="I715">
        <v>8.6550473580880402E-2</v>
      </c>
      <c r="J715">
        <v>7.8374669857448703E-2</v>
      </c>
      <c r="K715">
        <v>0.2309844192973694</v>
      </c>
      <c r="L715">
        <v>-7.8E-2</v>
      </c>
      <c r="M715">
        <v>11.1382117714281</v>
      </c>
      <c r="N715">
        <v>-7.5250256627678418</v>
      </c>
      <c r="O715">
        <v>3.6131861086602548</v>
      </c>
      <c r="P715">
        <v>0.54866818073593593</v>
      </c>
      <c r="Q715">
        <v>0.49683942498918171</v>
      </c>
      <c r="R715">
        <v>1.461966385281416</v>
      </c>
      <c r="S715">
        <v>-7.7999999999999999E-4</v>
      </c>
      <c r="T715">
        <v>-22.43956036544693</v>
      </c>
    </row>
    <row r="716" spans="1:20" x14ac:dyDescent="0.25">
      <c r="A716" s="1" t="s">
        <v>40</v>
      </c>
      <c r="B716">
        <v>1990</v>
      </c>
      <c r="C716">
        <v>2053.7548600300402</v>
      </c>
      <c r="D716">
        <v>1793.0393033862761</v>
      </c>
      <c r="E716">
        <v>260.71555664376382</v>
      </c>
      <c r="F716">
        <v>0.99501449766234218</v>
      </c>
      <c r="G716" t="s">
        <v>96</v>
      </c>
      <c r="H716">
        <v>0.99501449766234218</v>
      </c>
      <c r="I716">
        <v>4.0712891946204692E-2</v>
      </c>
      <c r="J716">
        <v>4.2582147856960106E-3</v>
      </c>
      <c r="K716">
        <v>2.566735275626101E-2</v>
      </c>
      <c r="L716" t="s">
        <v>96</v>
      </c>
      <c r="M716">
        <v>2043.5158603743839</v>
      </c>
      <c r="N716" t="s">
        <v>96</v>
      </c>
      <c r="O716">
        <v>2043.5158603743839</v>
      </c>
      <c r="P716">
        <v>83.614299700395748</v>
      </c>
      <c r="Q716">
        <v>8.7453293111749595</v>
      </c>
      <c r="R716">
        <v>46.022572305856059</v>
      </c>
      <c r="S716" t="s">
        <v>96</v>
      </c>
      <c r="T716">
        <v>-8000.2928928707024</v>
      </c>
    </row>
    <row r="717" spans="1:20" x14ac:dyDescent="0.25">
      <c r="A717" s="1" t="s">
        <v>40</v>
      </c>
      <c r="B717">
        <v>1991</v>
      </c>
      <c r="C717">
        <v>2060.9428023750802</v>
      </c>
      <c r="D717">
        <v>1797.432040280705</v>
      </c>
      <c r="E717">
        <v>263.51076209437502</v>
      </c>
      <c r="F717">
        <v>0.99407086711235493</v>
      </c>
      <c r="G717" t="s">
        <v>96</v>
      </c>
      <c r="H717">
        <v>0.99407086711235493</v>
      </c>
      <c r="I717">
        <v>5.268882372214264E-2</v>
      </c>
      <c r="J717">
        <v>5.8748302017669913E-3</v>
      </c>
      <c r="K717">
        <v>2.5410574885459551E-2</v>
      </c>
      <c r="L717" t="s">
        <v>96</v>
      </c>
      <c r="M717">
        <v>2048.7231986259621</v>
      </c>
      <c r="N717" t="s">
        <v>96</v>
      </c>
      <c r="O717">
        <v>2048.7231986259621</v>
      </c>
      <c r="P717">
        <v>108.58865201575919</v>
      </c>
      <c r="Q717">
        <v>12.10768901950742</v>
      </c>
      <c r="R717">
        <v>45.673781461077212</v>
      </c>
      <c r="S717" t="s">
        <v>96</v>
      </c>
      <c r="T717">
        <v>-8122.0088441158596</v>
      </c>
    </row>
    <row r="718" spans="1:20" x14ac:dyDescent="0.25">
      <c r="A718" s="1" t="s">
        <v>40</v>
      </c>
      <c r="B718">
        <v>1992</v>
      </c>
      <c r="C718">
        <v>2066.5334241989999</v>
      </c>
      <c r="D718">
        <v>1800.626867955704</v>
      </c>
      <c r="E718">
        <v>265.90655624329628</v>
      </c>
      <c r="F718">
        <v>0.93844410172901049</v>
      </c>
      <c r="G718" t="s">
        <v>96</v>
      </c>
      <c r="H718">
        <v>0.93844410172901049</v>
      </c>
      <c r="I718">
        <v>6.5760573743585432E-2</v>
      </c>
      <c r="J718">
        <v>6.284057720301623E-3</v>
      </c>
      <c r="K718">
        <v>2.6915450777225711E-2</v>
      </c>
      <c r="L718" t="s">
        <v>96</v>
      </c>
      <c r="M718">
        <v>1939.326102965407</v>
      </c>
      <c r="N718" t="s">
        <v>96</v>
      </c>
      <c r="O718">
        <v>1939.326102965407</v>
      </c>
      <c r="P718">
        <v>135.89642363562251</v>
      </c>
      <c r="Q718">
        <v>12.98621531859907</v>
      </c>
      <c r="R718">
        <v>48.464683832611833</v>
      </c>
      <c r="S718" t="s">
        <v>96</v>
      </c>
      <c r="T718">
        <v>-7834.4692277589247</v>
      </c>
    </row>
    <row r="719" spans="1:20" x14ac:dyDescent="0.25">
      <c r="A719" s="1" t="s">
        <v>40</v>
      </c>
      <c r="B719">
        <v>1993</v>
      </c>
      <c r="C719">
        <v>2071.7247158926398</v>
      </c>
      <c r="D719">
        <v>1805.818287856039</v>
      </c>
      <c r="E719">
        <v>265.90642803660131</v>
      </c>
      <c r="F719">
        <v>0.93918752432449248</v>
      </c>
      <c r="G719" t="s">
        <v>96</v>
      </c>
      <c r="H719">
        <v>0.93918752432449248</v>
      </c>
      <c r="I719">
        <v>0.1374369293957089</v>
      </c>
      <c r="J719">
        <v>6.0986890438570916E-3</v>
      </c>
      <c r="K719">
        <v>2.6539611699422479E-2</v>
      </c>
      <c r="L719" t="s">
        <v>96</v>
      </c>
      <c r="M719">
        <v>1945.7380070010711</v>
      </c>
      <c r="N719" t="s">
        <v>96</v>
      </c>
      <c r="O719">
        <v>1945.7380070010711</v>
      </c>
      <c r="P719">
        <v>284.73148350548178</v>
      </c>
      <c r="Q719">
        <v>12.634804826702389</v>
      </c>
      <c r="R719">
        <v>47.925716159415188</v>
      </c>
      <c r="S719" t="s">
        <v>96</v>
      </c>
      <c r="T719">
        <v>-8400.4433754738893</v>
      </c>
    </row>
    <row r="720" spans="1:20" x14ac:dyDescent="0.25">
      <c r="A720" s="1" t="s">
        <v>40</v>
      </c>
      <c r="B720">
        <v>1994</v>
      </c>
      <c r="C720">
        <v>2074.5200268046001</v>
      </c>
      <c r="D720">
        <v>1807.815013981894</v>
      </c>
      <c r="E720">
        <v>266.70501282270618</v>
      </c>
      <c r="F720">
        <v>0.85855576510143572</v>
      </c>
      <c r="G720" t="s">
        <v>96</v>
      </c>
      <c r="H720">
        <v>0.85855576510143572</v>
      </c>
      <c r="I720">
        <v>0.15828382576304781</v>
      </c>
      <c r="J720">
        <v>6.3484117065604317E-3</v>
      </c>
      <c r="K720">
        <v>2.720758998248074E-2</v>
      </c>
      <c r="L720" t="s">
        <v>96</v>
      </c>
      <c r="M720">
        <v>1781.091128831474</v>
      </c>
      <c r="N720" t="s">
        <v>96</v>
      </c>
      <c r="O720">
        <v>1781.091128831474</v>
      </c>
      <c r="P720">
        <v>328.36296646469248</v>
      </c>
      <c r="Q720">
        <v>13.169907223660379</v>
      </c>
      <c r="R720">
        <v>49.186289664592053</v>
      </c>
      <c r="S720" t="s">
        <v>96</v>
      </c>
      <c r="T720">
        <v>-7963.3044046769282</v>
      </c>
    </row>
    <row r="721" spans="1:20" x14ac:dyDescent="0.25">
      <c r="A721" s="1" t="s">
        <v>40</v>
      </c>
      <c r="B721">
        <v>1995</v>
      </c>
      <c r="C721">
        <v>2076.9160075862801</v>
      </c>
      <c r="D721">
        <v>1809.4125003000449</v>
      </c>
      <c r="E721">
        <v>267.50350728623482</v>
      </c>
      <c r="F721">
        <v>0.49673975559686068</v>
      </c>
      <c r="G721" t="s">
        <v>96</v>
      </c>
      <c r="H721">
        <v>0.49673975559686068</v>
      </c>
      <c r="I721">
        <v>0.24223423989722631</v>
      </c>
      <c r="J721">
        <v>6.460295877125633E-3</v>
      </c>
      <c r="K721">
        <v>2.6790553639707119E-2</v>
      </c>
      <c r="L721" t="s">
        <v>96</v>
      </c>
      <c r="M721">
        <v>1031.686750003616</v>
      </c>
      <c r="N721" t="s">
        <v>96</v>
      </c>
      <c r="O721">
        <v>1031.686750003616</v>
      </c>
      <c r="P721">
        <v>503.10017042804452</v>
      </c>
      <c r="Q721">
        <v>13.41749192094588</v>
      </c>
      <c r="R721">
        <v>48.475162645644929</v>
      </c>
      <c r="S721" t="s">
        <v>96</v>
      </c>
      <c r="T721">
        <v>-5854.4917749941224</v>
      </c>
    </row>
    <row r="722" spans="1:20" x14ac:dyDescent="0.25">
      <c r="A722" s="1" t="s">
        <v>40</v>
      </c>
      <c r="B722">
        <v>1996</v>
      </c>
      <c r="C722">
        <v>2080.90930888908</v>
      </c>
      <c r="D722">
        <v>1812.6072872436359</v>
      </c>
      <c r="E722">
        <v>268.30202164544392</v>
      </c>
      <c r="F722">
        <v>9.1113718250564885E-2</v>
      </c>
      <c r="G722">
        <v>-0.20446660353900559</v>
      </c>
      <c r="H722">
        <v>-0.1133528852884408</v>
      </c>
      <c r="I722">
        <v>0.11156490193910699</v>
      </c>
      <c r="J722">
        <v>6.2099403020341821E-3</v>
      </c>
      <c r="K722">
        <v>2.6536474881807381E-2</v>
      </c>
      <c r="L722" t="s">
        <v>96</v>
      </c>
      <c r="M722">
        <v>189.59938447509731</v>
      </c>
      <c r="N722">
        <v>-425.47645866124981</v>
      </c>
      <c r="O722">
        <v>-235.87707418615241</v>
      </c>
      <c r="P722">
        <v>232.1564429903851</v>
      </c>
      <c r="Q722">
        <v>12.922322582148389</v>
      </c>
      <c r="R722">
        <v>48.100207748521761</v>
      </c>
      <c r="S722" t="s">
        <v>96</v>
      </c>
      <c r="T722">
        <v>-210.10696349466281</v>
      </c>
    </row>
    <row r="723" spans="1:20" x14ac:dyDescent="0.25">
      <c r="A723" s="1" t="s">
        <v>40</v>
      </c>
      <c r="B723">
        <v>1997</v>
      </c>
      <c r="C723">
        <v>2084.5032800616</v>
      </c>
      <c r="D723">
        <v>1815.003342384593</v>
      </c>
      <c r="E723">
        <v>269.49993767700761</v>
      </c>
      <c r="F723">
        <v>0.1545628231003377</v>
      </c>
      <c r="G723" t="s">
        <v>96</v>
      </c>
      <c r="H723">
        <v>0.1545628231003377</v>
      </c>
      <c r="I723">
        <v>3.9661759446541003E-2</v>
      </c>
      <c r="J723">
        <v>6.2950189576483854E-3</v>
      </c>
      <c r="K723">
        <v>2.6264635314997769E-2</v>
      </c>
      <c r="L723" t="s">
        <v>96</v>
      </c>
      <c r="M723">
        <v>322.18671172823491</v>
      </c>
      <c r="N723" t="s">
        <v>96</v>
      </c>
      <c r="O723">
        <v>322.18671172823491</v>
      </c>
      <c r="P723">
        <v>82.67506765932886</v>
      </c>
      <c r="Q723">
        <v>13.12198766526801</v>
      </c>
      <c r="R723">
        <v>47.670400883233363</v>
      </c>
      <c r="S723" t="s">
        <v>96</v>
      </c>
      <c r="T723">
        <v>-1707.3986157657271</v>
      </c>
    </row>
    <row r="724" spans="1:20" x14ac:dyDescent="0.25">
      <c r="A724" s="1" t="s">
        <v>40</v>
      </c>
      <c r="B724">
        <v>1998</v>
      </c>
      <c r="C724">
        <v>2087.6979211038401</v>
      </c>
      <c r="D724">
        <v>1818.198340582396</v>
      </c>
      <c r="E724">
        <v>269.49958052144348</v>
      </c>
      <c r="F724">
        <v>1.15208878473066</v>
      </c>
      <c r="G724" t="s">
        <v>96</v>
      </c>
      <c r="H724">
        <v>1.15208878473066</v>
      </c>
      <c r="I724">
        <v>1.330385166359991E-2</v>
      </c>
      <c r="J724">
        <v>6.0902829057985861E-3</v>
      </c>
      <c r="K724">
        <v>2.7044623325006921E-2</v>
      </c>
      <c r="L724" t="s">
        <v>96</v>
      </c>
      <c r="M724">
        <v>2405.2133608092481</v>
      </c>
      <c r="N724" t="s">
        <v>96</v>
      </c>
      <c r="O724">
        <v>2405.2133608092481</v>
      </c>
      <c r="P724">
        <v>27.774423460771391</v>
      </c>
      <c r="Q724">
        <v>12.71467096136996</v>
      </c>
      <c r="R724">
        <v>49.172489251203572</v>
      </c>
      <c r="S724" t="s">
        <v>96</v>
      </c>
      <c r="T724">
        <v>-9147.874796437005</v>
      </c>
    </row>
    <row r="725" spans="1:20" x14ac:dyDescent="0.25">
      <c r="A725" s="1" t="s">
        <v>40</v>
      </c>
      <c r="B725">
        <v>1999</v>
      </c>
      <c r="C725">
        <v>2090.4932320158</v>
      </c>
      <c r="D725">
        <v>1819.795965440497</v>
      </c>
      <c r="E725">
        <v>270.69726657530339</v>
      </c>
      <c r="F725">
        <v>1.109922106521178</v>
      </c>
      <c r="G725" t="s">
        <v>96</v>
      </c>
      <c r="H725">
        <v>1.109922106521178</v>
      </c>
      <c r="I725">
        <v>2.669077729476365E-2</v>
      </c>
      <c r="J725">
        <v>6.2655203603910166E-3</v>
      </c>
      <c r="K725">
        <v>2.6647100721257248E-2</v>
      </c>
      <c r="L725" t="s">
        <v>96</v>
      </c>
      <c r="M725">
        <v>2320.2846517472422</v>
      </c>
      <c r="N725" t="s">
        <v>96</v>
      </c>
      <c r="O725">
        <v>2320.2846517472422</v>
      </c>
      <c r="P725">
        <v>55.796889291944403</v>
      </c>
      <c r="Q725">
        <v>13.09802790845462</v>
      </c>
      <c r="R725">
        <v>48.492286383230493</v>
      </c>
      <c r="S725" t="s">
        <v>96</v>
      </c>
      <c r="T725">
        <v>-8938.1301362140057</v>
      </c>
    </row>
    <row r="726" spans="1:20" x14ac:dyDescent="0.25">
      <c r="A726" s="1" t="s">
        <v>40</v>
      </c>
      <c r="B726">
        <v>2000</v>
      </c>
      <c r="C726">
        <v>2095.6845237094399</v>
      </c>
      <c r="D726">
        <v>1823.3901925274679</v>
      </c>
      <c r="E726">
        <v>272.29433118197221</v>
      </c>
      <c r="F726">
        <v>1.26852375801131</v>
      </c>
      <c r="G726" t="s">
        <v>96</v>
      </c>
      <c r="H726">
        <v>1.26852375801131</v>
      </c>
      <c r="I726">
        <v>5.0936029565663052E-2</v>
      </c>
      <c r="J726">
        <v>5.8841461956144142E-3</v>
      </c>
      <c r="K726">
        <v>2.4189312665110201E-2</v>
      </c>
      <c r="L726" t="s">
        <v>96</v>
      </c>
      <c r="M726">
        <v>2658.4256076220399</v>
      </c>
      <c r="N726" t="s">
        <v>96</v>
      </c>
      <c r="O726">
        <v>2658.4256076220399</v>
      </c>
      <c r="P726">
        <v>106.7458488599665</v>
      </c>
      <c r="Q726">
        <v>12.33131411739291</v>
      </c>
      <c r="R726">
        <v>44.1065554775424</v>
      </c>
      <c r="S726" t="s">
        <v>96</v>
      </c>
      <c r="T726">
        <v>-10345.900862283061</v>
      </c>
    </row>
    <row r="727" spans="1:20" x14ac:dyDescent="0.25">
      <c r="A727" s="1" t="s">
        <v>40</v>
      </c>
      <c r="B727">
        <v>2001</v>
      </c>
      <c r="C727">
        <v>2098.0805044911199</v>
      </c>
      <c r="D727">
        <v>1825.7863947835549</v>
      </c>
      <c r="E727">
        <v>272.29410970756499</v>
      </c>
      <c r="F727">
        <v>0.89020170794073061</v>
      </c>
      <c r="G727" t="s">
        <v>96</v>
      </c>
      <c r="H727">
        <v>0.89020170794073061</v>
      </c>
      <c r="I727">
        <v>9.844345406347485E-2</v>
      </c>
      <c r="J727">
        <v>5.8660067197063449E-3</v>
      </c>
      <c r="K727">
        <v>2.278552946175277E-2</v>
      </c>
      <c r="L727" t="s">
        <v>96</v>
      </c>
      <c r="M727">
        <v>1867.7148484951449</v>
      </c>
      <c r="N727" t="s">
        <v>96</v>
      </c>
      <c r="O727">
        <v>1867.7148484951449</v>
      </c>
      <c r="P727">
        <v>206.54229176534369</v>
      </c>
      <c r="Q727">
        <v>12.307354337829789</v>
      </c>
      <c r="R727">
        <v>41.601509689208079</v>
      </c>
      <c r="S727" t="s">
        <v>96</v>
      </c>
      <c r="T727">
        <v>-7803.275349054973</v>
      </c>
    </row>
    <row r="728" spans="1:20" x14ac:dyDescent="0.25">
      <c r="A728" s="1" t="s">
        <v>40</v>
      </c>
      <c r="B728">
        <v>2002</v>
      </c>
      <c r="C728">
        <v>2102.4731359242001</v>
      </c>
      <c r="D728">
        <v>1829.780036475199</v>
      </c>
      <c r="E728">
        <v>272.69309944900112</v>
      </c>
      <c r="F728">
        <v>0.71173989691636541</v>
      </c>
      <c r="G728" t="s">
        <v>96</v>
      </c>
      <c r="H728">
        <v>0.71173989691636541</v>
      </c>
      <c r="I728">
        <v>0.17537494608891649</v>
      </c>
      <c r="J728">
        <v>5.4055079573382776E-3</v>
      </c>
      <c r="K728">
        <v>2.1749495747947298E-2</v>
      </c>
      <c r="L728" t="s">
        <v>96</v>
      </c>
      <c r="M728">
        <v>1496.414013032118</v>
      </c>
      <c r="N728" t="s">
        <v>96</v>
      </c>
      <c r="O728">
        <v>1496.414013032118</v>
      </c>
      <c r="P728">
        <v>368.72111286610169</v>
      </c>
      <c r="Q728">
        <v>11.36493526632823</v>
      </c>
      <c r="R728">
        <v>39.796793122996192</v>
      </c>
      <c r="S728" t="s">
        <v>96</v>
      </c>
      <c r="T728">
        <v>-7026.4217990549669</v>
      </c>
    </row>
    <row r="729" spans="1:20" x14ac:dyDescent="0.25">
      <c r="A729" s="1" t="s">
        <v>40</v>
      </c>
      <c r="B729">
        <v>2003</v>
      </c>
      <c r="C729">
        <v>2107.2650974875601</v>
      </c>
      <c r="D729">
        <v>1833.3742569940889</v>
      </c>
      <c r="E729">
        <v>273.89084049347059</v>
      </c>
      <c r="F729">
        <v>0.54001306988052133</v>
      </c>
      <c r="G729" t="s">
        <v>96</v>
      </c>
      <c r="H729">
        <v>0.54001306988052133</v>
      </c>
      <c r="I729">
        <v>0.1999164735970117</v>
      </c>
      <c r="J729">
        <v>5.4652263593517247E-3</v>
      </c>
      <c r="K729">
        <v>2.2179961362433429E-2</v>
      </c>
      <c r="L729" t="s">
        <v>96</v>
      </c>
      <c r="M729">
        <v>1137.950694346333</v>
      </c>
      <c r="N729" t="s">
        <v>96</v>
      </c>
      <c r="O729">
        <v>1137.950694346333</v>
      </c>
      <c r="P729">
        <v>421.27700722377602</v>
      </c>
      <c r="Q729">
        <v>11.51668075693089</v>
      </c>
      <c r="R729">
        <v>40.664170183008977</v>
      </c>
      <c r="S729" t="s">
        <v>96</v>
      </c>
      <c r="T729">
        <v>-5908.4980258707174</v>
      </c>
    </row>
    <row r="730" spans="1:20" x14ac:dyDescent="0.25">
      <c r="A730" s="1" t="s">
        <v>40</v>
      </c>
      <c r="B730">
        <v>2004</v>
      </c>
      <c r="C730">
        <v>2114.4530398326001</v>
      </c>
      <c r="D730">
        <v>1838.964898956192</v>
      </c>
      <c r="E730">
        <v>275.48814087640727</v>
      </c>
      <c r="F730">
        <v>0.49483342923261031</v>
      </c>
      <c r="G730" t="s">
        <v>96</v>
      </c>
      <c r="H730">
        <v>0.49483342923261031</v>
      </c>
      <c r="I730">
        <v>0.22743867222194961</v>
      </c>
      <c r="J730">
        <v>5.0878186130665949E-3</v>
      </c>
      <c r="K730">
        <v>2.2636800175862028E-2</v>
      </c>
      <c r="L730" t="s">
        <v>96</v>
      </c>
      <c r="M730">
        <v>1046.3020486516821</v>
      </c>
      <c r="N730" t="s">
        <v>96</v>
      </c>
      <c r="O730">
        <v>1046.3020486516821</v>
      </c>
      <c r="P730">
        <v>480.90839185519161</v>
      </c>
      <c r="Q730">
        <v>10.75795353251554</v>
      </c>
      <c r="R730">
        <v>41.628280948095643</v>
      </c>
      <c r="S730" t="s">
        <v>96</v>
      </c>
      <c r="T730">
        <v>-5791.854474954639</v>
      </c>
    </row>
    <row r="731" spans="1:20" x14ac:dyDescent="0.25">
      <c r="A731" s="1" t="s">
        <v>40</v>
      </c>
      <c r="B731">
        <v>2005</v>
      </c>
      <c r="C731">
        <v>2122.04031230792</v>
      </c>
      <c r="D731">
        <v>1844.5557386369021</v>
      </c>
      <c r="E731">
        <v>277.48457367101861</v>
      </c>
      <c r="F731">
        <v>0.42748932234125658</v>
      </c>
      <c r="G731" t="s">
        <v>96</v>
      </c>
      <c r="H731">
        <v>0.42748932234125658</v>
      </c>
      <c r="I731">
        <v>0.23747896414901931</v>
      </c>
      <c r="J731">
        <v>5.4798644386413837E-3</v>
      </c>
      <c r="K731">
        <v>2.522791274910428E-2</v>
      </c>
      <c r="L731" t="s">
        <v>96</v>
      </c>
      <c r="M731">
        <v>907.14957508934151</v>
      </c>
      <c r="N731" t="s">
        <v>96</v>
      </c>
      <c r="O731">
        <v>907.14957508934151</v>
      </c>
      <c r="P731">
        <v>503.93993524934632</v>
      </c>
      <c r="Q731">
        <v>11.62849324477963</v>
      </c>
      <c r="R731">
        <v>46.534291235191361</v>
      </c>
      <c r="S731" t="s">
        <v>96</v>
      </c>
      <c r="T731">
        <v>-5387.2584143355734</v>
      </c>
    </row>
    <row r="732" spans="1:20" x14ac:dyDescent="0.25">
      <c r="A732" s="1" t="s">
        <v>40</v>
      </c>
      <c r="B732">
        <v>2006</v>
      </c>
      <c r="C732">
        <v>2129.6275847832399</v>
      </c>
      <c r="D732">
        <v>1850.1466167297031</v>
      </c>
      <c r="E732">
        <v>279.48096805353742</v>
      </c>
      <c r="F732">
        <v>0.38890354831500451</v>
      </c>
      <c r="G732" t="s">
        <v>96</v>
      </c>
      <c r="H732">
        <v>0.38890354831500451</v>
      </c>
      <c r="I732">
        <v>0.297684291854796</v>
      </c>
      <c r="J732">
        <v>5.4790923914159514E-3</v>
      </c>
      <c r="K732">
        <v>2.615105484307706E-2</v>
      </c>
      <c r="L732" t="s">
        <v>96</v>
      </c>
      <c r="M732">
        <v>828.21972431171514</v>
      </c>
      <c r="N732" t="s">
        <v>96</v>
      </c>
      <c r="O732">
        <v>828.21972431171514</v>
      </c>
      <c r="P732">
        <v>633.95667949063841</v>
      </c>
      <c r="Q732">
        <v>11.66842629633538</v>
      </c>
      <c r="R732">
        <v>48.383285641831939</v>
      </c>
      <c r="S732" t="s">
        <v>96</v>
      </c>
      <c r="T732">
        <v>-5581.5030910490832</v>
      </c>
    </row>
    <row r="733" spans="1:20" x14ac:dyDescent="0.25">
      <c r="A733" s="1" t="s">
        <v>40</v>
      </c>
      <c r="B733">
        <v>2007</v>
      </c>
      <c r="C733">
        <v>2137.2148572585602</v>
      </c>
      <c r="D733">
        <v>1855.7372576318089</v>
      </c>
      <c r="E733">
        <v>281.47759962675082</v>
      </c>
      <c r="F733">
        <v>0.54794344164758946</v>
      </c>
      <c r="G733" t="s">
        <v>96</v>
      </c>
      <c r="H733">
        <v>0.54794344164758946</v>
      </c>
      <c r="I733">
        <v>0.28627802550763082</v>
      </c>
      <c r="J733">
        <v>6.076233149004141E-3</v>
      </c>
      <c r="K733">
        <v>2.8119059375388309E-2</v>
      </c>
      <c r="L733" t="s">
        <v>96</v>
      </c>
      <c r="M733">
        <v>1171.0728644266169</v>
      </c>
      <c r="N733" t="s">
        <v>96</v>
      </c>
      <c r="O733">
        <v>1171.0728644266169</v>
      </c>
      <c r="P733">
        <v>611.83764942155335</v>
      </c>
      <c r="Q733">
        <v>12.98621576221861</v>
      </c>
      <c r="R733">
        <v>52.181586132469121</v>
      </c>
      <c r="S733" t="s">
        <v>96</v>
      </c>
      <c r="T733">
        <v>-6776.2871577244287</v>
      </c>
    </row>
    <row r="734" spans="1:20" x14ac:dyDescent="0.25">
      <c r="A734" s="1" t="s">
        <v>40</v>
      </c>
      <c r="B734">
        <v>2008</v>
      </c>
      <c r="C734">
        <v>2144.0034694733199</v>
      </c>
      <c r="D734">
        <v>1862.1265783877229</v>
      </c>
      <c r="E734">
        <v>281.87689108559692</v>
      </c>
      <c r="F734">
        <v>0.77935391854179181</v>
      </c>
      <c r="G734" t="s">
        <v>96</v>
      </c>
      <c r="H734">
        <v>0.77935391854179181</v>
      </c>
      <c r="I734">
        <v>0.24780072002177381</v>
      </c>
      <c r="J734">
        <v>5.7813372863950302E-3</v>
      </c>
      <c r="K734">
        <v>2.8832128826246091E-2</v>
      </c>
      <c r="L734" t="s">
        <v>96</v>
      </c>
      <c r="M734">
        <v>1670.9375053012291</v>
      </c>
      <c r="N734" t="s">
        <v>96</v>
      </c>
      <c r="O734">
        <v>1670.9375053012291</v>
      </c>
      <c r="P734">
        <v>531.28560346466975</v>
      </c>
      <c r="Q734">
        <v>12.395207200226411</v>
      </c>
      <c r="R734">
        <v>53.689073398851662</v>
      </c>
      <c r="S734" t="s">
        <v>96</v>
      </c>
      <c r="T734">
        <v>-8317.1270943390027</v>
      </c>
    </row>
    <row r="735" spans="1:20" x14ac:dyDescent="0.25">
      <c r="A735" s="1" t="s">
        <v>40</v>
      </c>
      <c r="B735">
        <v>2009</v>
      </c>
      <c r="C735">
        <v>2147.1981105155601</v>
      </c>
      <c r="D735">
        <v>1865.3213650748471</v>
      </c>
      <c r="E735">
        <v>281.87674544071331</v>
      </c>
      <c r="F735">
        <v>0.96237024421439099</v>
      </c>
      <c r="G735" t="s">
        <v>96</v>
      </c>
      <c r="H735">
        <v>0.96237024421439099</v>
      </c>
      <c r="I735">
        <v>0.20792738244236239</v>
      </c>
      <c r="J735">
        <v>5.7838943648874843E-3</v>
      </c>
      <c r="K735">
        <v>2.868824330879122E-2</v>
      </c>
      <c r="L735" t="s">
        <v>96</v>
      </c>
      <c r="M735">
        <v>2066.399569993539</v>
      </c>
      <c r="N735" t="s">
        <v>96</v>
      </c>
      <c r="O735">
        <v>2066.399569993539</v>
      </c>
      <c r="P735">
        <v>446.46128270468682</v>
      </c>
      <c r="Q735">
        <v>12.419167051708</v>
      </c>
      <c r="R735">
        <v>53.512793170353767</v>
      </c>
      <c r="S735" t="s">
        <v>96</v>
      </c>
      <c r="T735">
        <v>-9455.5736473752459</v>
      </c>
    </row>
    <row r="736" spans="1:20" x14ac:dyDescent="0.25">
      <c r="A736" s="1" t="s">
        <v>40</v>
      </c>
      <c r="B736">
        <v>2010</v>
      </c>
      <c r="C736">
        <v>2153.5873926000399</v>
      </c>
      <c r="D736">
        <v>1871.3116842703009</v>
      </c>
      <c r="E736">
        <v>282.27570832973907</v>
      </c>
      <c r="F736">
        <v>1.1491523509544921</v>
      </c>
      <c r="G736" t="s">
        <v>96</v>
      </c>
      <c r="H736">
        <v>1.1491523509544921</v>
      </c>
      <c r="I736">
        <v>0.15091240489915969</v>
      </c>
      <c r="J736">
        <v>5.0250324494715386E-3</v>
      </c>
      <c r="K736">
        <v>2.8343816012898149E-2</v>
      </c>
      <c r="L736" t="s">
        <v>96</v>
      </c>
      <c r="M736">
        <v>2474.8000151922902</v>
      </c>
      <c r="N736" t="s">
        <v>96</v>
      </c>
      <c r="O736">
        <v>2474.8000151922902</v>
      </c>
      <c r="P736">
        <v>325.00305257778268</v>
      </c>
      <c r="Q736">
        <v>10.821846530587999</v>
      </c>
      <c r="R736">
        <v>53.040114081743951</v>
      </c>
      <c r="S736" t="s">
        <v>96</v>
      </c>
      <c r="T736">
        <v>-10500.105104069769</v>
      </c>
    </row>
    <row r="737" spans="1:20" x14ac:dyDescent="0.25">
      <c r="A737" s="1" t="s">
        <v>40</v>
      </c>
      <c r="B737">
        <v>2011</v>
      </c>
      <c r="C737">
        <v>2161.5739952056401</v>
      </c>
      <c r="D737">
        <v>1879.2986521888431</v>
      </c>
      <c r="E737">
        <v>282.27534301679702</v>
      </c>
      <c r="F737">
        <v>1.258668697851</v>
      </c>
      <c r="G737" t="s">
        <v>96</v>
      </c>
      <c r="H737">
        <v>1.258668697851</v>
      </c>
      <c r="I737">
        <v>9.1721861607703625E-2</v>
      </c>
      <c r="J737">
        <v>5.0803620912617782E-3</v>
      </c>
      <c r="K737">
        <v>3.056413344946975E-2</v>
      </c>
      <c r="L737" t="s">
        <v>96</v>
      </c>
      <c r="M737">
        <v>2720.7055258540681</v>
      </c>
      <c r="N737" t="s">
        <v>96</v>
      </c>
      <c r="O737">
        <v>2720.7055258540681</v>
      </c>
      <c r="P737">
        <v>198.2635908430627</v>
      </c>
      <c r="Q737">
        <v>10.981578582699999</v>
      </c>
      <c r="R737">
        <v>57.439134796908426</v>
      </c>
      <c r="S737" t="s">
        <v>96</v>
      </c>
      <c r="T737">
        <v>-10953.76271028237</v>
      </c>
    </row>
    <row r="738" spans="1:20" x14ac:dyDescent="0.25">
      <c r="A738" s="1" t="s">
        <v>40</v>
      </c>
      <c r="B738">
        <v>2012</v>
      </c>
      <c r="C738">
        <v>2173.1545689837599</v>
      </c>
      <c r="D738">
        <v>1887.285580095044</v>
      </c>
      <c r="E738">
        <v>285.86898888871599</v>
      </c>
      <c r="F738">
        <v>1.214847226015654</v>
      </c>
      <c r="G738" t="s">
        <v>96</v>
      </c>
      <c r="H738">
        <v>1.214847226015654</v>
      </c>
      <c r="I738">
        <v>7.2890807809255581E-2</v>
      </c>
      <c r="J738">
        <v>4.8585079015068004E-3</v>
      </c>
      <c r="K738">
        <v>3.2844268665981578E-2</v>
      </c>
      <c r="L738" t="s">
        <v>96</v>
      </c>
      <c r="M738">
        <v>2640.050799833165</v>
      </c>
      <c r="N738" t="s">
        <v>96</v>
      </c>
      <c r="O738">
        <v>2640.050799833165</v>
      </c>
      <c r="P738">
        <v>158.4029920276009</v>
      </c>
      <c r="Q738">
        <v>10.5582886446032</v>
      </c>
      <c r="R738">
        <v>61.986514642074518</v>
      </c>
      <c r="S738" t="s">
        <v>96</v>
      </c>
      <c r="T738">
        <v>-10526.99484887492</v>
      </c>
    </row>
    <row r="739" spans="1:20" x14ac:dyDescent="0.25">
      <c r="A739" s="1" t="s">
        <v>40</v>
      </c>
      <c r="B739">
        <v>2013</v>
      </c>
      <c r="C739">
        <v>2179.1445209379599</v>
      </c>
      <c r="D739">
        <v>1892.876072986887</v>
      </c>
      <c r="E739">
        <v>286.26844795107343</v>
      </c>
      <c r="F739">
        <v>1.193610072652566</v>
      </c>
      <c r="G739" t="s">
        <v>96</v>
      </c>
      <c r="H739">
        <v>1.193610072652566</v>
      </c>
      <c r="I739">
        <v>5.4046348107324158E-2</v>
      </c>
      <c r="J739">
        <v>5.6221367051493476E-3</v>
      </c>
      <c r="K739">
        <v>3.4010420810139663E-2</v>
      </c>
      <c r="L739" t="s">
        <v>96</v>
      </c>
      <c r="M739">
        <v>2601.0488499571989</v>
      </c>
      <c r="N739" t="s">
        <v>96</v>
      </c>
      <c r="O739">
        <v>2601.0488499571989</v>
      </c>
      <c r="P739">
        <v>117.7748033547811</v>
      </c>
      <c r="Q739">
        <v>12.2514483969904</v>
      </c>
      <c r="R739">
        <v>64.37751178372865</v>
      </c>
      <c r="S739" t="s">
        <v>96</v>
      </c>
      <c r="T739">
        <v>-10249.992916140831</v>
      </c>
    </row>
    <row r="740" spans="1:20" x14ac:dyDescent="0.25">
      <c r="A740" s="1" t="s">
        <v>40</v>
      </c>
      <c r="B740">
        <v>2014</v>
      </c>
      <c r="C740">
        <v>2187.1311235435601</v>
      </c>
      <c r="D740">
        <v>1898.4667697031909</v>
      </c>
      <c r="E740">
        <v>288.6643538403689</v>
      </c>
      <c r="F740">
        <v>1.0954752481532311</v>
      </c>
      <c r="G740" t="s">
        <v>96</v>
      </c>
      <c r="H740">
        <v>1.0954752481532311</v>
      </c>
      <c r="I740">
        <v>4.1615926390883441E-2</v>
      </c>
      <c r="J740">
        <v>6.0544093481833148E-3</v>
      </c>
      <c r="K740">
        <v>3.4898913347439733E-2</v>
      </c>
      <c r="L740" t="s">
        <v>96</v>
      </c>
      <c r="M740">
        <v>2395.9480103075371</v>
      </c>
      <c r="N740" t="s">
        <v>96</v>
      </c>
      <c r="O740">
        <v>2395.9480103075371</v>
      </c>
      <c r="P740">
        <v>91.01948784459897</v>
      </c>
      <c r="Q740">
        <v>13.241787120084799</v>
      </c>
      <c r="R740">
        <v>66.254427288865486</v>
      </c>
      <c r="S740" t="s">
        <v>96</v>
      </c>
      <c r="T740">
        <v>-9410.3669460581696</v>
      </c>
    </row>
    <row r="741" spans="1:20" x14ac:dyDescent="0.25">
      <c r="A741" s="1" t="s">
        <v>40</v>
      </c>
      <c r="B741">
        <v>2015</v>
      </c>
      <c r="C741">
        <v>2196.3157165399998</v>
      </c>
      <c r="D741">
        <v>1906.8527968910721</v>
      </c>
      <c r="E741">
        <v>289.46291964892742</v>
      </c>
      <c r="F741">
        <v>0.98659743764608965</v>
      </c>
      <c r="G741" t="s">
        <v>96</v>
      </c>
      <c r="H741">
        <v>0.98659743764608965</v>
      </c>
      <c r="I741">
        <v>3.7803573176952078E-2</v>
      </c>
      <c r="J741">
        <v>5.7236363636363639E-3</v>
      </c>
      <c r="K741">
        <v>3.5264724333180668E-2</v>
      </c>
      <c r="L741" t="s">
        <v>96</v>
      </c>
      <c r="M741">
        <v>2166.8794582001992</v>
      </c>
      <c r="N741" t="s">
        <v>96</v>
      </c>
      <c r="O741">
        <v>2166.8794582001992</v>
      </c>
      <c r="P741">
        <v>83.028581909909832</v>
      </c>
      <c r="Q741">
        <v>12.5709125012144</v>
      </c>
      <c r="R741">
        <v>67.244638226318216</v>
      </c>
      <c r="S741" t="s">
        <v>96</v>
      </c>
      <c r="T741">
        <v>-8542.3198330721298</v>
      </c>
    </row>
    <row r="742" spans="1:20" x14ac:dyDescent="0.25">
      <c r="A742" s="1" t="s">
        <v>40</v>
      </c>
      <c r="B742">
        <v>2016</v>
      </c>
      <c r="C742">
        <v>2201.5070082336401</v>
      </c>
      <c r="D742">
        <v>1910.8461627282741</v>
      </c>
      <c r="E742">
        <v>290.66084550536618</v>
      </c>
      <c r="F742">
        <v>0.87616775650687029</v>
      </c>
      <c r="G742" t="s">
        <v>96</v>
      </c>
      <c r="H742">
        <v>0.87616775650687029</v>
      </c>
      <c r="I742">
        <v>4.04096369065075E-2</v>
      </c>
      <c r="J742">
        <v>6.4864864864864862E-3</v>
      </c>
      <c r="K742">
        <v>3.4882270074252833E-2</v>
      </c>
      <c r="L742" t="s">
        <v>96</v>
      </c>
      <c r="M742">
        <v>1928.88945633822</v>
      </c>
      <c r="N742" t="s">
        <v>96</v>
      </c>
      <c r="O742">
        <v>1928.88945633822</v>
      </c>
      <c r="P742">
        <v>88.962098849853021</v>
      </c>
      <c r="Q742">
        <v>14.280045458812801</v>
      </c>
      <c r="R742">
        <v>66.654651918637327</v>
      </c>
      <c r="S742" t="s">
        <v>96</v>
      </c>
      <c r="T742">
        <v>-7695.5495927409529</v>
      </c>
    </row>
    <row r="743" spans="1:20" x14ac:dyDescent="0.25">
      <c r="A743" s="1" t="s">
        <v>40</v>
      </c>
      <c r="B743">
        <v>2017</v>
      </c>
      <c r="C743">
        <v>2209.4936108392399</v>
      </c>
      <c r="D743">
        <v>1917.2355956331071</v>
      </c>
      <c r="E743">
        <v>292.25801520613248</v>
      </c>
      <c r="F743">
        <v>0.85077769384211266</v>
      </c>
      <c r="G743" t="s">
        <v>96</v>
      </c>
      <c r="H743">
        <v>0.85077769384211266</v>
      </c>
      <c r="I743">
        <v>4.4025347511073717E-2</v>
      </c>
      <c r="J743">
        <v>6.4196638351707944E-3</v>
      </c>
      <c r="K743">
        <v>3.3617890572080963E-2</v>
      </c>
      <c r="L743" t="s">
        <v>96</v>
      </c>
      <c r="M743">
        <v>1879.7878787886909</v>
      </c>
      <c r="N743" t="s">
        <v>96</v>
      </c>
      <c r="O743">
        <v>1879.7878787886909</v>
      </c>
      <c r="P743">
        <v>97.273724040694603</v>
      </c>
      <c r="Q743">
        <v>14.1842062275456</v>
      </c>
      <c r="R743">
        <v>64.453416454892263</v>
      </c>
      <c r="S743" t="s">
        <v>96</v>
      </c>
      <c r="T743">
        <v>-7537.563826877371</v>
      </c>
    </row>
    <row r="744" spans="1:20" x14ac:dyDescent="0.25">
      <c r="A744" s="1" t="s">
        <v>40</v>
      </c>
      <c r="B744">
        <v>2018</v>
      </c>
      <c r="C744">
        <v>2210.2922710998</v>
      </c>
      <c r="D744">
        <v>1917.6349257633869</v>
      </c>
      <c r="E744">
        <v>292.65734533641262</v>
      </c>
      <c r="F744">
        <v>0.80673292101311334</v>
      </c>
      <c r="G744" t="s">
        <v>96</v>
      </c>
      <c r="H744">
        <v>0.80673292101311334</v>
      </c>
      <c r="I744">
        <v>8.246078824202828E-2</v>
      </c>
      <c r="J744">
        <v>6.926829268292683E-3</v>
      </c>
      <c r="K744">
        <v>3.2506180008244942E-2</v>
      </c>
      <c r="L744" t="s">
        <v>96</v>
      </c>
      <c r="M744">
        <v>1783.11554015705</v>
      </c>
      <c r="N744" t="s">
        <v>96</v>
      </c>
      <c r="O744">
        <v>1783.11554015705</v>
      </c>
      <c r="P744">
        <v>182.26244292015241</v>
      </c>
      <c r="Q744">
        <v>15.3103171949352</v>
      </c>
      <c r="R744">
        <v>62.334986086962083</v>
      </c>
      <c r="S744" t="s">
        <v>96</v>
      </c>
      <c r="T744">
        <v>-7491.0853833173796</v>
      </c>
    </row>
    <row r="745" spans="1:20" x14ac:dyDescent="0.25">
      <c r="A745" s="1" t="s">
        <v>40</v>
      </c>
      <c r="B745">
        <v>2019</v>
      </c>
      <c r="C745">
        <v>2213.88624227232</v>
      </c>
      <c r="D745">
        <v>1920.430377113762</v>
      </c>
      <c r="E745">
        <v>293.4558651585582</v>
      </c>
      <c r="F745">
        <v>0.78329573852356571</v>
      </c>
      <c r="G745" t="s">
        <v>96</v>
      </c>
      <c r="H745">
        <v>0.78329573852356571</v>
      </c>
      <c r="I745">
        <v>7.8205336204180478E-2</v>
      </c>
      <c r="J745">
        <v>6.9624819624819617E-3</v>
      </c>
      <c r="K745">
        <v>3.2710384381108737E-2</v>
      </c>
      <c r="L745" t="s">
        <v>96</v>
      </c>
      <c r="M745">
        <v>1734.127659147859</v>
      </c>
      <c r="N745" t="s">
        <v>96</v>
      </c>
      <c r="O745">
        <v>1734.127659147859</v>
      </c>
      <c r="P745">
        <v>173.1377178947165</v>
      </c>
      <c r="Q745">
        <v>15.414143028808001</v>
      </c>
      <c r="R745">
        <v>62.818015812548772</v>
      </c>
      <c r="S745" t="s">
        <v>96</v>
      </c>
      <c r="T745">
        <v>-7280.157631575079</v>
      </c>
    </row>
    <row r="746" spans="1:20" x14ac:dyDescent="0.25">
      <c r="A746" s="1" t="s">
        <v>40</v>
      </c>
      <c r="B746">
        <v>2020</v>
      </c>
      <c r="C746">
        <v>2221.0741846173601</v>
      </c>
      <c r="D746">
        <v>1926.4204590974821</v>
      </c>
      <c r="E746">
        <v>294.65372551987832</v>
      </c>
      <c r="F746">
        <v>0.77438213637661524</v>
      </c>
      <c r="G746" t="s">
        <v>96</v>
      </c>
      <c r="H746">
        <v>0.77438213637661524</v>
      </c>
      <c r="I746">
        <v>9.9945348974236708E-2</v>
      </c>
      <c r="J746">
        <v>6.691837468536496E-3</v>
      </c>
      <c r="K746">
        <v>3.3172837421513848E-2</v>
      </c>
      <c r="L746" t="s">
        <v>96</v>
      </c>
      <c r="M746">
        <v>1719.96017213494</v>
      </c>
      <c r="N746" t="s">
        <v>96</v>
      </c>
      <c r="O746">
        <v>1719.96017213494</v>
      </c>
      <c r="P746">
        <v>221.98603447925029</v>
      </c>
      <c r="Q746">
        <v>14.863067449021599</v>
      </c>
      <c r="R746">
        <v>63.90483269511882</v>
      </c>
      <c r="S746" t="s">
        <v>96</v>
      </c>
      <c r="T746">
        <v>-7409.2850581145531</v>
      </c>
    </row>
    <row r="747" spans="1:20" x14ac:dyDescent="0.25">
      <c r="A747" s="1" t="s">
        <v>40</v>
      </c>
      <c r="B747">
        <v>2021</v>
      </c>
      <c r="C747">
        <v>2230.2587776137998</v>
      </c>
      <c r="D747">
        <v>1935.2056624899431</v>
      </c>
      <c r="E747">
        <v>295.05311512385708</v>
      </c>
      <c r="F747">
        <v>0.71247706124120169</v>
      </c>
      <c r="G747" t="s">
        <v>96</v>
      </c>
      <c r="H747">
        <v>0.71247706124120169</v>
      </c>
      <c r="I747">
        <v>0.1607836811895382</v>
      </c>
      <c r="J747">
        <v>6.5496866606982998E-3</v>
      </c>
      <c r="K747">
        <v>3.4175757828601411E-2</v>
      </c>
      <c r="L747" t="s">
        <v>96</v>
      </c>
      <c r="M747">
        <v>1589.008219681675</v>
      </c>
      <c r="N747" t="s">
        <v>96</v>
      </c>
      <c r="O747">
        <v>1589.008219681675</v>
      </c>
      <c r="P747">
        <v>358.58921627002638</v>
      </c>
      <c r="Q747">
        <v>14.6074961656424</v>
      </c>
      <c r="R747">
        <v>66.137120069794435</v>
      </c>
      <c r="S747" t="s">
        <v>96</v>
      </c>
      <c r="T747">
        <v>-7437.2541913535169</v>
      </c>
    </row>
    <row r="748" spans="1:20" x14ac:dyDescent="0.25">
      <c r="A748" s="1" t="s">
        <v>40</v>
      </c>
      <c r="B748">
        <v>2022</v>
      </c>
      <c r="C748">
        <v>2240.64136100108</v>
      </c>
      <c r="D748">
        <v>1942.7929122510641</v>
      </c>
      <c r="E748">
        <v>297.84844875001568</v>
      </c>
      <c r="F748">
        <v>0.689659117042555</v>
      </c>
      <c r="G748" t="s">
        <v>96</v>
      </c>
      <c r="H748">
        <v>0.689659117042555</v>
      </c>
      <c r="I748">
        <v>0.16869695418406</v>
      </c>
      <c r="J748">
        <v>7.1395473177686712E-3</v>
      </c>
      <c r="K748">
        <v>3.4180810632178767E-2</v>
      </c>
      <c r="L748" t="s">
        <v>96</v>
      </c>
      <c r="M748">
        <v>1545.278742637033</v>
      </c>
      <c r="N748" t="s">
        <v>96</v>
      </c>
      <c r="O748">
        <v>1545.278742637033</v>
      </c>
      <c r="P748">
        <v>377.98937301970892</v>
      </c>
      <c r="Q748">
        <v>15.9971650190168</v>
      </c>
      <c r="R748">
        <v>66.406236631192726</v>
      </c>
      <c r="S748" t="s">
        <v>96</v>
      </c>
      <c r="T748">
        <v>-7354.1288967928249</v>
      </c>
    </row>
    <row r="749" spans="1:20" x14ac:dyDescent="0.25">
      <c r="A749" s="1" t="s">
        <v>40</v>
      </c>
      <c r="B749">
        <v>2023</v>
      </c>
      <c r="C749">
        <v>2247.82930334612</v>
      </c>
      <c r="D749">
        <v>1949.52969602696</v>
      </c>
      <c r="E749">
        <v>298.29960731915992</v>
      </c>
      <c r="F749">
        <v>0.66187136364258314</v>
      </c>
      <c r="G749" t="s">
        <v>96</v>
      </c>
      <c r="H749">
        <v>0.66187136364258314</v>
      </c>
      <c r="I749">
        <v>0.16881359681354641</v>
      </c>
      <c r="J749">
        <v>7.4649138390477862E-3</v>
      </c>
      <c r="K749">
        <v>3.3172912740680058E-2</v>
      </c>
      <c r="L749" t="s">
        <v>96</v>
      </c>
      <c r="M749">
        <v>1487.7738462414541</v>
      </c>
      <c r="N749" t="s">
        <v>96</v>
      </c>
      <c r="O749">
        <v>1487.7738462414541</v>
      </c>
      <c r="P749">
        <v>379.46414972074689</v>
      </c>
      <c r="Q749">
        <v>16.7798520743656</v>
      </c>
      <c r="R749">
        <v>64.671578491666878</v>
      </c>
      <c r="S749" t="s">
        <v>96</v>
      </c>
      <c r="T749">
        <v>-7145.1945639375062</v>
      </c>
    </row>
    <row r="750" spans="1:20" x14ac:dyDescent="0.25">
      <c r="A750" s="1" t="s">
        <v>102</v>
      </c>
      <c r="B750">
        <v>1990</v>
      </c>
      <c r="C750">
        <v>93.034849999999977</v>
      </c>
      <c r="D750">
        <v>93.034849999999977</v>
      </c>
      <c r="E750" t="s">
        <v>96</v>
      </c>
      <c r="F750">
        <v>3.1378836756710489</v>
      </c>
      <c r="G750">
        <v>-3.1468084249308599</v>
      </c>
      <c r="H750">
        <v>-8.9247492598114719E-3</v>
      </c>
      <c r="I750">
        <v>9.3289643281595003E-2</v>
      </c>
      <c r="J750">
        <v>1.7015559223237321E-2</v>
      </c>
      <c r="K750">
        <v>5.4843507567325589E-2</v>
      </c>
      <c r="L750" t="s">
        <v>96</v>
      </c>
      <c r="M750">
        <v>291.9325370835046</v>
      </c>
      <c r="N750">
        <v>-292.76284979217883</v>
      </c>
      <c r="O750">
        <v>-0.83031270867417106</v>
      </c>
      <c r="P750">
        <v>8.6791879692566969</v>
      </c>
      <c r="Q750">
        <v>1.58304</v>
      </c>
      <c r="R750">
        <v>5.1023575000000001</v>
      </c>
      <c r="S750" t="s">
        <v>96</v>
      </c>
      <c r="T750">
        <v>-53.292333455474107</v>
      </c>
    </row>
    <row r="751" spans="1:20" x14ac:dyDescent="0.25">
      <c r="A751" s="1" t="s">
        <v>102</v>
      </c>
      <c r="B751">
        <v>1991</v>
      </c>
      <c r="C751">
        <v>93.050949999999986</v>
      </c>
      <c r="D751">
        <v>93.050949999999986</v>
      </c>
      <c r="E751" t="s">
        <v>96</v>
      </c>
      <c r="F751">
        <v>3.137883697050206</v>
      </c>
      <c r="G751">
        <v>-2.948202027396905</v>
      </c>
      <c r="H751">
        <v>0.18968166965330099</v>
      </c>
      <c r="I751">
        <v>9.3354618426984087E-2</v>
      </c>
      <c r="J751">
        <v>1.7012615131817569E-2</v>
      </c>
      <c r="K751">
        <v>5.4737915088454242E-2</v>
      </c>
      <c r="L751" t="s">
        <v>96</v>
      </c>
      <c r="M751">
        <v>291.98305900003379</v>
      </c>
      <c r="N751">
        <v>-274.33299944120802</v>
      </c>
      <c r="O751">
        <v>17.650059558825831</v>
      </c>
      <c r="P751">
        <v>8.6867359315183741</v>
      </c>
      <c r="Q751">
        <v>1.58304</v>
      </c>
      <c r="R751">
        <v>5.0934150000000002</v>
      </c>
      <c r="S751" t="s">
        <v>96</v>
      </c>
      <c r="T751">
        <v>-121.0485851312731</v>
      </c>
    </row>
    <row r="752" spans="1:20" x14ac:dyDescent="0.25">
      <c r="A752" s="1" t="s">
        <v>102</v>
      </c>
      <c r="B752">
        <v>1992</v>
      </c>
      <c r="C752">
        <v>93.067049999999966</v>
      </c>
      <c r="D752">
        <v>93.067049999999966</v>
      </c>
      <c r="E752" t="s">
        <v>96</v>
      </c>
      <c r="F752">
        <v>3.1378837184219681</v>
      </c>
      <c r="G752">
        <v>-1.7589269217206831</v>
      </c>
      <c r="H752">
        <v>1.3789567967012839</v>
      </c>
      <c r="I752">
        <v>9.3419556806632192E-2</v>
      </c>
      <c r="J752">
        <v>1.7009672059015522E-2</v>
      </c>
      <c r="K752">
        <v>5.478935616848285E-2</v>
      </c>
      <c r="L752" t="s">
        <v>96</v>
      </c>
      <c r="M752">
        <v>292.0335809165631</v>
      </c>
      <c r="N752">
        <v>-163.6981397701249</v>
      </c>
      <c r="O752">
        <v>128.3354411464382</v>
      </c>
      <c r="P752">
        <v>8.6942825643006749</v>
      </c>
      <c r="Q752">
        <v>1.58304</v>
      </c>
      <c r="R752">
        <v>5.0990837500000001</v>
      </c>
      <c r="S752" t="s">
        <v>96</v>
      </c>
      <c r="T752">
        <v>-526.94344068942394</v>
      </c>
    </row>
    <row r="753" spans="1:20" x14ac:dyDescent="0.25">
      <c r="A753" s="1" t="s">
        <v>102</v>
      </c>
      <c r="B753">
        <v>1993</v>
      </c>
      <c r="C753">
        <v>93.083149999999975</v>
      </c>
      <c r="D753">
        <v>93.083149999999975</v>
      </c>
      <c r="E753" t="s">
        <v>96</v>
      </c>
      <c r="F753">
        <v>3.1378837397863362</v>
      </c>
      <c r="G753">
        <v>-1.3957641856171921</v>
      </c>
      <c r="H753">
        <v>1.7421195541691441</v>
      </c>
      <c r="I753">
        <v>9.34844584446472E-2</v>
      </c>
      <c r="J753">
        <v>1.7006730004302612E-2</v>
      </c>
      <c r="K753">
        <v>5.5071124580549767E-2</v>
      </c>
      <c r="L753" t="s">
        <v>96</v>
      </c>
      <c r="M753">
        <v>292.0841028330924</v>
      </c>
      <c r="N753">
        <v>-129.92212705443279</v>
      </c>
      <c r="O753">
        <v>162.16197577865961</v>
      </c>
      <c r="P753">
        <v>8.7018278680718595</v>
      </c>
      <c r="Q753">
        <v>1.58304</v>
      </c>
      <c r="R753">
        <v>5.1261937500000014</v>
      </c>
      <c r="S753" t="s">
        <v>96</v>
      </c>
      <c r="T753">
        <v>-651.10113712140776</v>
      </c>
    </row>
    <row r="754" spans="1:20" x14ac:dyDescent="0.25">
      <c r="A754" s="1" t="s">
        <v>102</v>
      </c>
      <c r="B754">
        <v>1994</v>
      </c>
      <c r="C754">
        <v>93.099249999999969</v>
      </c>
      <c r="D754">
        <v>93.099249999999969</v>
      </c>
      <c r="E754" t="s">
        <v>96</v>
      </c>
      <c r="F754">
        <v>3.1378837611433141</v>
      </c>
      <c r="G754">
        <v>-1.834221456345366</v>
      </c>
      <c r="H754">
        <v>1.303662304797947</v>
      </c>
      <c r="I754">
        <v>9.3549323365117801E-2</v>
      </c>
      <c r="J754">
        <v>1.700378896715065E-2</v>
      </c>
      <c r="K754">
        <v>5.5440296242988019E-2</v>
      </c>
      <c r="L754" t="s">
        <v>96</v>
      </c>
      <c r="M754">
        <v>292.13462474962148</v>
      </c>
      <c r="N754">
        <v>-170.7646419196613</v>
      </c>
      <c r="O754">
        <v>121.36998282996019</v>
      </c>
      <c r="P754">
        <v>8.709371843299941</v>
      </c>
      <c r="Q754">
        <v>1.58304</v>
      </c>
      <c r="R754">
        <v>5.1614500000000003</v>
      </c>
      <c r="S754" t="s">
        <v>96</v>
      </c>
      <c r="T754">
        <v>-501.68743046866632</v>
      </c>
    </row>
    <row r="755" spans="1:20" x14ac:dyDescent="0.25">
      <c r="A755" s="1" t="s">
        <v>102</v>
      </c>
      <c r="B755">
        <v>1995</v>
      </c>
      <c r="C755">
        <v>93.11534999999995</v>
      </c>
      <c r="D755">
        <v>93.11534999999995</v>
      </c>
      <c r="E755" t="s">
        <v>96</v>
      </c>
      <c r="F755">
        <v>3.1378837824929078</v>
      </c>
      <c r="G755">
        <v>-1.632374771947924</v>
      </c>
      <c r="H755">
        <v>1.505509010544984</v>
      </c>
      <c r="I755">
        <v>9.3614151592113337E-2</v>
      </c>
      <c r="J755">
        <v>1.700084894703183E-2</v>
      </c>
      <c r="K755">
        <v>5.5685998602808262E-2</v>
      </c>
      <c r="L755" t="s">
        <v>96</v>
      </c>
      <c r="M755">
        <v>292.18514666615079</v>
      </c>
      <c r="N755">
        <v>-151.99914822110111</v>
      </c>
      <c r="O755">
        <v>140.18599844504979</v>
      </c>
      <c r="P755">
        <v>8.7169144904526856</v>
      </c>
      <c r="Q755">
        <v>1.58304</v>
      </c>
      <c r="R755">
        <v>5.1852212499999997</v>
      </c>
      <c r="S755" t="s">
        <v>96</v>
      </c>
      <c r="T755">
        <v>-570.79430534689448</v>
      </c>
    </row>
    <row r="756" spans="1:20" x14ac:dyDescent="0.25">
      <c r="A756" s="1" t="s">
        <v>102</v>
      </c>
      <c r="B756">
        <v>1996</v>
      </c>
      <c r="C756">
        <v>93.131449999999958</v>
      </c>
      <c r="D756">
        <v>93.131449999999958</v>
      </c>
      <c r="E756" t="s">
        <v>96</v>
      </c>
      <c r="F756">
        <v>3.1378838038351189</v>
      </c>
      <c r="G756">
        <v>-1.5368736151068429</v>
      </c>
      <c r="H756">
        <v>1.6010101887282771</v>
      </c>
      <c r="I756">
        <v>9.3678943149683738E-2</v>
      </c>
      <c r="J756">
        <v>1.6997909943418689E-2</v>
      </c>
      <c r="K756">
        <v>5.5830790780128543E-2</v>
      </c>
      <c r="L756" t="s">
        <v>96</v>
      </c>
      <c r="M756">
        <v>292.23566858268009</v>
      </c>
      <c r="N756">
        <v>-143.13126824164209</v>
      </c>
      <c r="O756">
        <v>149.104400341038</v>
      </c>
      <c r="P756">
        <v>8.7244558099976093</v>
      </c>
      <c r="Q756">
        <v>1.58304</v>
      </c>
      <c r="R756">
        <v>5.1996024999999992</v>
      </c>
      <c r="S756" t="s">
        <v>96</v>
      </c>
      <c r="T756">
        <v>-603.57549505385214</v>
      </c>
    </row>
    <row r="757" spans="1:20" x14ac:dyDescent="0.25">
      <c r="A757" s="1" t="s">
        <v>102</v>
      </c>
      <c r="B757">
        <v>1997</v>
      </c>
      <c r="C757">
        <v>93.147549999999939</v>
      </c>
      <c r="D757">
        <v>93.147549999999939</v>
      </c>
      <c r="E757" t="s">
        <v>96</v>
      </c>
      <c r="F757">
        <v>3.137883825169955</v>
      </c>
      <c r="G757">
        <v>-1.2967581404558219</v>
      </c>
      <c r="H757">
        <v>1.841125684714132</v>
      </c>
      <c r="I757">
        <v>9.3743698061859837E-2</v>
      </c>
      <c r="J757">
        <v>1.699497195578414E-2</v>
      </c>
      <c r="K757">
        <v>5.5810606398128612E-2</v>
      </c>
      <c r="L757" t="s">
        <v>96</v>
      </c>
      <c r="M757">
        <v>292.2861904992094</v>
      </c>
      <c r="N757">
        <v>-120.7898437260156</v>
      </c>
      <c r="O757">
        <v>171.49634677319369</v>
      </c>
      <c r="P757">
        <v>8.7319958024019861</v>
      </c>
      <c r="Q757">
        <v>1.58304</v>
      </c>
      <c r="R757">
        <v>5.1986212500000004</v>
      </c>
      <c r="S757" t="s">
        <v>96</v>
      </c>
      <c r="T757">
        <v>-685.7033473605801</v>
      </c>
    </row>
    <row r="758" spans="1:20" x14ac:dyDescent="0.25">
      <c r="A758" s="1" t="s">
        <v>102</v>
      </c>
      <c r="B758">
        <v>1998</v>
      </c>
      <c r="C758">
        <v>93.163649999999947</v>
      </c>
      <c r="D758">
        <v>93.163649999999947</v>
      </c>
      <c r="E758" t="s">
        <v>96</v>
      </c>
      <c r="F758">
        <v>3.1378838464974139</v>
      </c>
      <c r="G758">
        <v>-1.624539842253679</v>
      </c>
      <c r="H758">
        <v>1.5133440042437349</v>
      </c>
      <c r="I758">
        <v>9.3808416352653023E-2</v>
      </c>
      <c r="J758">
        <v>1.6992034983601439E-2</v>
      </c>
      <c r="K758">
        <v>5.4566330323039119E-2</v>
      </c>
      <c r="L758" t="s">
        <v>96</v>
      </c>
      <c r="M758">
        <v>292.33671241573859</v>
      </c>
      <c r="N758">
        <v>-151.34806127477691</v>
      </c>
      <c r="O758">
        <v>140.98865114096179</v>
      </c>
      <c r="P758">
        <v>8.7395344681328382</v>
      </c>
      <c r="Q758">
        <v>1.58304</v>
      </c>
      <c r="R758">
        <v>5.0835985000000008</v>
      </c>
      <c r="S758" t="s">
        <v>96</v>
      </c>
      <c r="T758">
        <v>-573.44768840006577</v>
      </c>
    </row>
    <row r="759" spans="1:20" x14ac:dyDescent="0.25">
      <c r="A759" s="1" t="s">
        <v>102</v>
      </c>
      <c r="B759">
        <v>1999</v>
      </c>
      <c r="C759">
        <v>93.179749999999942</v>
      </c>
      <c r="D759">
        <v>93.179749999999942</v>
      </c>
      <c r="E759" t="s">
        <v>96</v>
      </c>
      <c r="F759">
        <v>3.1378838678175041</v>
      </c>
      <c r="G759">
        <v>-1.4011499444802089</v>
      </c>
      <c r="H759">
        <v>1.736733923337294</v>
      </c>
      <c r="I759">
        <v>9.3873098046055634E-2</v>
      </c>
      <c r="J759">
        <v>1.698909902634425E-2</v>
      </c>
      <c r="K759">
        <v>5.3215064834365867E-2</v>
      </c>
      <c r="L759" t="s">
        <v>96</v>
      </c>
      <c r="M759">
        <v>292.38723433226778</v>
      </c>
      <c r="N759">
        <v>-130.55880153917971</v>
      </c>
      <c r="O759">
        <v>161.8284327930881</v>
      </c>
      <c r="P759">
        <v>8.7470718076569476</v>
      </c>
      <c r="Q759">
        <v>1.58304</v>
      </c>
      <c r="R759">
        <v>4.9585664375</v>
      </c>
      <c r="S759" t="s">
        <v>96</v>
      </c>
      <c r="T759">
        <v>-649.429407140291</v>
      </c>
    </row>
    <row r="760" spans="1:20" x14ac:dyDescent="0.25">
      <c r="A760" s="1" t="s">
        <v>102</v>
      </c>
      <c r="B760">
        <v>2000</v>
      </c>
      <c r="C760">
        <v>93.200749999999942</v>
      </c>
      <c r="D760">
        <v>93.200749999999942</v>
      </c>
      <c r="E760" t="s">
        <v>96</v>
      </c>
      <c r="F760">
        <v>3.1378848482461912</v>
      </c>
      <c r="G760">
        <v>-1.3775018907591139</v>
      </c>
      <c r="H760">
        <v>1.7603829574870771</v>
      </c>
      <c r="I760">
        <v>9.3917220879359498E-2</v>
      </c>
      <c r="J760">
        <v>1.6921730780063478E-2</v>
      </c>
      <c r="K760">
        <v>5.173644659511864E-2</v>
      </c>
      <c r="L760" t="s">
        <v>96</v>
      </c>
      <c r="M760">
        <v>292.45322127018102</v>
      </c>
      <c r="N760">
        <v>-128.38420934516739</v>
      </c>
      <c r="O760">
        <v>164.0690119250136</v>
      </c>
      <c r="P760">
        <v>8.7531554238719593</v>
      </c>
      <c r="Q760">
        <v>1.577118</v>
      </c>
      <c r="R760">
        <v>4.8218756250000014</v>
      </c>
      <c r="S760" t="s">
        <v>96</v>
      </c>
      <c r="T760">
        <v>-657.14425690430687</v>
      </c>
    </row>
    <row r="761" spans="1:20" x14ac:dyDescent="0.25">
      <c r="A761" s="1" t="s">
        <v>102</v>
      </c>
      <c r="B761">
        <v>2001</v>
      </c>
      <c r="C761">
        <v>93.221749999999929</v>
      </c>
      <c r="D761">
        <v>93.221749999999929</v>
      </c>
      <c r="E761" t="s">
        <v>96</v>
      </c>
      <c r="F761">
        <v>3.1378858282331579</v>
      </c>
      <c r="G761">
        <v>-1.442525493668686</v>
      </c>
      <c r="H761">
        <v>1.695360334564471</v>
      </c>
      <c r="I761">
        <v>0.10872671110830889</v>
      </c>
      <c r="J761">
        <v>1.6854392885780421E-2</v>
      </c>
      <c r="K761">
        <v>5.0282731095479372E-2</v>
      </c>
      <c r="L761" t="s">
        <v>96</v>
      </c>
      <c r="M761">
        <v>292.51920820809408</v>
      </c>
      <c r="N761">
        <v>-134.47475093940881</v>
      </c>
      <c r="O761">
        <v>158.04445726868539</v>
      </c>
      <c r="P761">
        <v>10.13569428126099</v>
      </c>
      <c r="Q761">
        <v>1.571196</v>
      </c>
      <c r="R761">
        <v>4.6874441875000006</v>
      </c>
      <c r="S761" t="s">
        <v>96</v>
      </c>
      <c r="T761">
        <v>-639.60890303736153</v>
      </c>
    </row>
    <row r="762" spans="1:20" x14ac:dyDescent="0.25">
      <c r="A762" s="1" t="s">
        <v>102</v>
      </c>
      <c r="B762">
        <v>2002</v>
      </c>
      <c r="C762">
        <v>93.242749999999944</v>
      </c>
      <c r="D762">
        <v>93.242749999999944</v>
      </c>
      <c r="E762" t="s">
        <v>96</v>
      </c>
      <c r="F762">
        <v>3.1378868077786999</v>
      </c>
      <c r="G762">
        <v>-1.3697628224195291</v>
      </c>
      <c r="H762">
        <v>1.768123985359171</v>
      </c>
      <c r="I762">
        <v>0.1089177832674755</v>
      </c>
      <c r="J762">
        <v>1.6787085322987581E-2</v>
      </c>
      <c r="K762">
        <v>4.8880148188465089E-2</v>
      </c>
      <c r="L762" t="s">
        <v>96</v>
      </c>
      <c r="M762">
        <v>292.58519514600721</v>
      </c>
      <c r="N762">
        <v>-127.7204524101585</v>
      </c>
      <c r="O762">
        <v>164.86474273584869</v>
      </c>
      <c r="P762">
        <v>10.15579363576339</v>
      </c>
      <c r="Q762">
        <v>1.5652740000000001</v>
      </c>
      <c r="R762">
        <v>4.5577194375000003</v>
      </c>
      <c r="S762" t="s">
        <v>96</v>
      </c>
      <c r="T762">
        <v>-664.19294263347138</v>
      </c>
    </row>
    <row r="763" spans="1:20" x14ac:dyDescent="0.25">
      <c r="A763" s="1" t="s">
        <v>102</v>
      </c>
      <c r="B763">
        <v>2003</v>
      </c>
      <c r="C763">
        <v>93.263749999999931</v>
      </c>
      <c r="D763">
        <v>93.263749999999931</v>
      </c>
      <c r="E763" t="s">
        <v>96</v>
      </c>
      <c r="F763">
        <v>3.1378877868831201</v>
      </c>
      <c r="G763">
        <v>-1.415853440521502</v>
      </c>
      <c r="H763">
        <v>1.722034346361619</v>
      </c>
      <c r="I763">
        <v>0.10844792991092179</v>
      </c>
      <c r="J763">
        <v>1.6719808071195951E-2</v>
      </c>
      <c r="K763">
        <v>4.7622466526383543E-2</v>
      </c>
      <c r="L763" t="s">
        <v>96</v>
      </c>
      <c r="M763">
        <v>292.65118208392039</v>
      </c>
      <c r="N763">
        <v>-132.04780131343711</v>
      </c>
      <c r="O763">
        <v>160.60338077048331</v>
      </c>
      <c r="P763">
        <v>10.11426062322972</v>
      </c>
      <c r="Q763">
        <v>1.5593520000000001</v>
      </c>
      <c r="R763">
        <v>4.4414498125000001</v>
      </c>
      <c r="S763" t="s">
        <v>96</v>
      </c>
      <c r="T763">
        <v>-647.96762508950656</v>
      </c>
    </row>
    <row r="764" spans="1:20" x14ac:dyDescent="0.25">
      <c r="A764" s="1" t="s">
        <v>102</v>
      </c>
      <c r="B764">
        <v>2004</v>
      </c>
      <c r="C764">
        <v>93.284749999999946</v>
      </c>
      <c r="D764">
        <v>93.284749999999946</v>
      </c>
      <c r="E764" t="s">
        <v>96</v>
      </c>
      <c r="F764">
        <v>3.137888765546712</v>
      </c>
      <c r="G764">
        <v>-1.3312781746884139</v>
      </c>
      <c r="H764">
        <v>1.8066105908582979</v>
      </c>
      <c r="I764">
        <v>0.10809156093619859</v>
      </c>
      <c r="J764">
        <v>1.6652561109934912E-2</v>
      </c>
      <c r="K764">
        <v>4.6172875925593437E-2</v>
      </c>
      <c r="L764" t="s">
        <v>96</v>
      </c>
      <c r="M764">
        <v>292.71716902183351</v>
      </c>
      <c r="N764">
        <v>-124.187951706265</v>
      </c>
      <c r="O764">
        <v>168.5292173155685</v>
      </c>
      <c r="P764">
        <v>10.083294239043051</v>
      </c>
      <c r="Q764">
        <v>1.5534300000000001</v>
      </c>
      <c r="R764">
        <v>4.3072251875000003</v>
      </c>
      <c r="S764" t="s">
        <v>96</v>
      </c>
      <c r="T764">
        <v>-676.40161138780388</v>
      </c>
    </row>
    <row r="765" spans="1:20" x14ac:dyDescent="0.25">
      <c r="A765" s="1" t="s">
        <v>102</v>
      </c>
      <c r="B765">
        <v>2005</v>
      </c>
      <c r="C765">
        <v>93.305749999999946</v>
      </c>
      <c r="D765">
        <v>93.305749999999946</v>
      </c>
      <c r="E765" t="s">
        <v>96</v>
      </c>
      <c r="F765">
        <v>3.1378897437697759</v>
      </c>
      <c r="G765">
        <v>-1.444509498580673</v>
      </c>
      <c r="H765">
        <v>1.6933802451891029</v>
      </c>
      <c r="I765">
        <v>0.1093811575056421</v>
      </c>
      <c r="J765">
        <v>1.658534441875234E-2</v>
      </c>
      <c r="K765">
        <v>4.4832038084469637E-2</v>
      </c>
      <c r="L765" t="s">
        <v>96</v>
      </c>
      <c r="M765">
        <v>292.78315595974658</v>
      </c>
      <c r="N765">
        <v>-134.7810421471936</v>
      </c>
      <c r="O765">
        <v>158.00211381255309</v>
      </c>
      <c r="P765">
        <v>10.205890936932059</v>
      </c>
      <c r="Q765">
        <v>1.5475080000000001</v>
      </c>
      <c r="R765">
        <v>4.1830869375000006</v>
      </c>
      <c r="S765" t="s">
        <v>96</v>
      </c>
      <c r="T765">
        <v>-637.77486551900347</v>
      </c>
    </row>
    <row r="766" spans="1:20" x14ac:dyDescent="0.25">
      <c r="A766" s="1" t="s">
        <v>102</v>
      </c>
      <c r="B766">
        <v>2006</v>
      </c>
      <c r="C766">
        <v>93.326749999999947</v>
      </c>
      <c r="D766">
        <v>93.326749999999947</v>
      </c>
      <c r="E766" t="s">
        <v>96</v>
      </c>
      <c r="F766">
        <v>3.1378907215526088</v>
      </c>
      <c r="G766">
        <v>-1.6596127133971059</v>
      </c>
      <c r="H766">
        <v>1.478278008155502</v>
      </c>
      <c r="I766">
        <v>0.1070204948253447</v>
      </c>
      <c r="J766">
        <v>1.6518157977214471E-2</v>
      </c>
      <c r="K766">
        <v>4.2341819735499227E-2</v>
      </c>
      <c r="L766" t="s">
        <v>96</v>
      </c>
      <c r="M766">
        <v>292.84914289765982</v>
      </c>
      <c r="N766">
        <v>-154.88626080003331</v>
      </c>
      <c r="O766">
        <v>137.96288209762639</v>
      </c>
      <c r="P766">
        <v>9.9878749654412324</v>
      </c>
      <c r="Q766">
        <v>1.5415859999999999</v>
      </c>
      <c r="R766">
        <v>3.9516244249999999</v>
      </c>
      <c r="S766" t="s">
        <v>96</v>
      </c>
      <c r="T766">
        <v>-562.62788078963263</v>
      </c>
    </row>
    <row r="767" spans="1:20" x14ac:dyDescent="0.25">
      <c r="A767" s="1" t="s">
        <v>102</v>
      </c>
      <c r="B767">
        <v>2007</v>
      </c>
      <c r="C767">
        <v>93.347749999999934</v>
      </c>
      <c r="D767">
        <v>93.347749999999934</v>
      </c>
      <c r="E767" t="s">
        <v>96</v>
      </c>
      <c r="F767">
        <v>3.137891698895507</v>
      </c>
      <c r="G767">
        <v>-1.912724434348813</v>
      </c>
      <c r="H767">
        <v>1.225167264546694</v>
      </c>
      <c r="I767">
        <v>0.1073954494719619</v>
      </c>
      <c r="J767">
        <v>1.6451001764905972E-2</v>
      </c>
      <c r="K767">
        <v>3.9847211769967708E-2</v>
      </c>
      <c r="L767" t="s">
        <v>96</v>
      </c>
      <c r="M767">
        <v>292.91512983557288</v>
      </c>
      <c r="N767">
        <v>-178.54852231648431</v>
      </c>
      <c r="O767">
        <v>114.3666075190886</v>
      </c>
      <c r="P767">
        <v>10.02512356844632</v>
      </c>
      <c r="Q767">
        <v>1.5356639999999999</v>
      </c>
      <c r="R767">
        <v>3.7196475625000009</v>
      </c>
      <c r="S767" t="s">
        <v>96</v>
      </c>
      <c r="T767">
        <v>-475.37248971683789</v>
      </c>
    </row>
    <row r="768" spans="1:20" x14ac:dyDescent="0.25">
      <c r="A768" s="1" t="s">
        <v>102</v>
      </c>
      <c r="B768">
        <v>2008</v>
      </c>
      <c r="C768">
        <v>93.342949999999945</v>
      </c>
      <c r="D768">
        <v>93.342949999999945</v>
      </c>
      <c r="E768" t="s">
        <v>96</v>
      </c>
      <c r="F768">
        <v>3.1379025019018618</v>
      </c>
      <c r="G768">
        <v>-1.931328333370071</v>
      </c>
      <c r="H768">
        <v>1.206574168531791</v>
      </c>
      <c r="I768">
        <v>0.10649232951196019</v>
      </c>
      <c r="J768">
        <v>1.573089344187216E-2</v>
      </c>
      <c r="K768">
        <v>3.7323021516890147E-2</v>
      </c>
      <c r="L768" t="s">
        <v>96</v>
      </c>
      <c r="M768">
        <v>292.90107633990033</v>
      </c>
      <c r="N768">
        <v>-180.27588405534581</v>
      </c>
      <c r="O768">
        <v>112.6251922845545</v>
      </c>
      <c r="P768">
        <v>9.9403081890184151</v>
      </c>
      <c r="Q768">
        <v>1.4683679999999999</v>
      </c>
      <c r="R768">
        <v>3.4838409313000001</v>
      </c>
      <c r="S768" t="s">
        <v>96</v>
      </c>
      <c r="T768">
        <v>-467.56493448457633</v>
      </c>
    </row>
    <row r="769" spans="1:20" x14ac:dyDescent="0.25">
      <c r="A769" s="1" t="s">
        <v>102</v>
      </c>
      <c r="B769">
        <v>2009</v>
      </c>
      <c r="C769">
        <v>93.338149999999928</v>
      </c>
      <c r="D769">
        <v>93.338149999999928</v>
      </c>
      <c r="E769" t="s">
        <v>96</v>
      </c>
      <c r="F769">
        <v>3.1379133060193269</v>
      </c>
      <c r="G769">
        <v>-1.9076420909046881</v>
      </c>
      <c r="H769">
        <v>1.2302712151146391</v>
      </c>
      <c r="I769">
        <v>0.1063725958879298</v>
      </c>
      <c r="J769">
        <v>1.5010711054375949E-2</v>
      </c>
      <c r="K769">
        <v>3.2163262758046977E-2</v>
      </c>
      <c r="L769" t="s">
        <v>96</v>
      </c>
      <c r="M769">
        <v>292.8870228442276</v>
      </c>
      <c r="N769">
        <v>-178.05578362717529</v>
      </c>
      <c r="O769">
        <v>114.8312392170523</v>
      </c>
      <c r="P769">
        <v>9.9286213108769683</v>
      </c>
      <c r="Q769">
        <v>1.4010720000000001</v>
      </c>
      <c r="R769">
        <v>3.0020594437999999</v>
      </c>
      <c r="S769" t="s">
        <v>96</v>
      </c>
      <c r="T769">
        <v>-473.59763722971712</v>
      </c>
    </row>
    <row r="770" spans="1:20" x14ac:dyDescent="0.25">
      <c r="A770" s="1" t="s">
        <v>102</v>
      </c>
      <c r="B770">
        <v>2010</v>
      </c>
      <c r="C770">
        <v>93.333349999999939</v>
      </c>
      <c r="D770">
        <v>93.333349999999939</v>
      </c>
      <c r="E770" t="s">
        <v>96</v>
      </c>
      <c r="F770">
        <v>3.137924111248072</v>
      </c>
      <c r="G770">
        <v>-2.6018230931667921</v>
      </c>
      <c r="H770">
        <v>0.53610101808127997</v>
      </c>
      <c r="I770">
        <v>0.1066694924401336</v>
      </c>
      <c r="J770">
        <v>1.429045459099026E-2</v>
      </c>
      <c r="K770">
        <v>2.975761685185415E-2</v>
      </c>
      <c r="L770" t="s">
        <v>96</v>
      </c>
      <c r="M770">
        <v>292.87296934855499</v>
      </c>
      <c r="N770">
        <v>-242.83686539261859</v>
      </c>
      <c r="O770">
        <v>50.036103955936397</v>
      </c>
      <c r="P770">
        <v>9.9558210722373328</v>
      </c>
      <c r="Q770">
        <v>1.3337760000000001</v>
      </c>
      <c r="R770">
        <v>2.7773780688</v>
      </c>
      <c r="S770" t="s">
        <v>96</v>
      </c>
      <c r="T770">
        <v>-235.04462335559171</v>
      </c>
    </row>
    <row r="771" spans="1:20" x14ac:dyDescent="0.25">
      <c r="A771" s="1" t="s">
        <v>102</v>
      </c>
      <c r="B771">
        <v>2011</v>
      </c>
      <c r="C771">
        <v>93.328549999999936</v>
      </c>
      <c r="D771">
        <v>93.328549999999936</v>
      </c>
      <c r="E771" t="s">
        <v>96</v>
      </c>
      <c r="F771">
        <v>3.137934917588268</v>
      </c>
      <c r="G771">
        <v>-2.3557211030990848</v>
      </c>
      <c r="H771">
        <v>0.78221381448918315</v>
      </c>
      <c r="I771">
        <v>0.1057725702232295</v>
      </c>
      <c r="J771">
        <v>1.3570124040285649E-2</v>
      </c>
      <c r="K771">
        <v>2.7444963987654392E-2</v>
      </c>
      <c r="L771" t="s">
        <v>96</v>
      </c>
      <c r="M771">
        <v>292.85891585288238</v>
      </c>
      <c r="N771">
        <v>-219.856034756638</v>
      </c>
      <c r="O771">
        <v>73.002881096244408</v>
      </c>
      <c r="P771">
        <v>9.8716006087071815</v>
      </c>
      <c r="Q771">
        <v>1.2664800000000001</v>
      </c>
      <c r="R771">
        <v>2.5613986937700002</v>
      </c>
      <c r="S771" t="s">
        <v>96</v>
      </c>
      <c r="T771">
        <v>-317.90865479534142</v>
      </c>
    </row>
    <row r="772" spans="1:20" x14ac:dyDescent="0.25">
      <c r="A772" s="1" t="s">
        <v>102</v>
      </c>
      <c r="B772">
        <v>2012</v>
      </c>
      <c r="C772">
        <v>93.323749999999933</v>
      </c>
      <c r="D772">
        <v>93.323749999999933</v>
      </c>
      <c r="E772" t="s">
        <v>96</v>
      </c>
      <c r="F772">
        <v>3.1379457250400882</v>
      </c>
      <c r="G772">
        <v>-2.142443596517837</v>
      </c>
      <c r="H772">
        <v>0.99550212852225073</v>
      </c>
      <c r="I772">
        <v>0.10675013129834771</v>
      </c>
      <c r="J772">
        <v>1.284971939083032E-2</v>
      </c>
      <c r="K772">
        <v>2.503646901297903E-2</v>
      </c>
      <c r="L772" t="s">
        <v>96</v>
      </c>
      <c r="M772">
        <v>292.84486235720971</v>
      </c>
      <c r="N772">
        <v>-199.9408705905314</v>
      </c>
      <c r="O772">
        <v>92.903991766678331</v>
      </c>
      <c r="P772">
        <v>9.9623225657541639</v>
      </c>
      <c r="Q772">
        <v>1.199184</v>
      </c>
      <c r="R772">
        <v>2.3364971750499999</v>
      </c>
      <c r="S772" t="s">
        <v>96</v>
      </c>
      <c r="T772">
        <v>-390.14065019413789</v>
      </c>
    </row>
    <row r="773" spans="1:20" x14ac:dyDescent="0.25">
      <c r="A773" s="1" t="s">
        <v>102</v>
      </c>
      <c r="B773">
        <v>2013</v>
      </c>
      <c r="C773">
        <v>93.283666666666605</v>
      </c>
      <c r="D773">
        <v>93.283666666666605</v>
      </c>
      <c r="E773" t="s">
        <v>96</v>
      </c>
      <c r="F773">
        <v>3.1379550255148678</v>
      </c>
      <c r="G773">
        <v>-1.60775539425116</v>
      </c>
      <c r="H773">
        <v>1.5301996312637081</v>
      </c>
      <c r="I773">
        <v>0.1072199914328202</v>
      </c>
      <c r="J773">
        <v>1.2233138348621241E-2</v>
      </c>
      <c r="K773">
        <v>2.2472311203104521E-2</v>
      </c>
      <c r="L773" t="s">
        <v>96</v>
      </c>
      <c r="M773">
        <v>292.71995061512018</v>
      </c>
      <c r="N773">
        <v>-149.97731827886039</v>
      </c>
      <c r="O773">
        <v>142.74263233625979</v>
      </c>
      <c r="P773">
        <v>10.001873940822049</v>
      </c>
      <c r="Q773">
        <v>1.1411519999999999</v>
      </c>
      <c r="R773">
        <v>2.0962995874999999</v>
      </c>
      <c r="S773" t="s">
        <v>96</v>
      </c>
      <c r="T773">
        <v>-571.93384550351891</v>
      </c>
    </row>
    <row r="774" spans="1:20" x14ac:dyDescent="0.25">
      <c r="A774" s="1" t="s">
        <v>102</v>
      </c>
      <c r="B774">
        <v>2014</v>
      </c>
      <c r="C774">
        <v>93.243583333333262</v>
      </c>
      <c r="D774">
        <v>93.243583333333262</v>
      </c>
      <c r="E774" t="s">
        <v>96</v>
      </c>
      <c r="F774">
        <v>3.137964333985781</v>
      </c>
      <c r="G774">
        <v>-1.864109917671219</v>
      </c>
      <c r="H774">
        <v>1.273854416314562</v>
      </c>
      <c r="I774">
        <v>0.10722032116319399</v>
      </c>
      <c r="J774">
        <v>1.1616027197581969E-2</v>
      </c>
      <c r="K774">
        <v>1.9555281686049909E-2</v>
      </c>
      <c r="L774" t="s">
        <v>96</v>
      </c>
      <c r="M774">
        <v>292.59503887303077</v>
      </c>
      <c r="N774">
        <v>-173.81628845086931</v>
      </c>
      <c r="O774">
        <v>118.77875042216149</v>
      </c>
      <c r="P774">
        <v>9.9976069514070325</v>
      </c>
      <c r="Q774">
        <v>1.0831200000000001</v>
      </c>
      <c r="R774">
        <v>1.8234045375000001</v>
      </c>
      <c r="S774" t="s">
        <v>96</v>
      </c>
      <c r="T774">
        <v>-482.83723367396192</v>
      </c>
    </row>
    <row r="775" spans="1:20" x14ac:dyDescent="0.25">
      <c r="A775" s="1" t="s">
        <v>102</v>
      </c>
      <c r="B775">
        <v>2015</v>
      </c>
      <c r="C775">
        <v>93.203499999999948</v>
      </c>
      <c r="D775">
        <v>93.203499999999948</v>
      </c>
      <c r="E775" t="s">
        <v>96</v>
      </c>
      <c r="F775">
        <v>3.1379736504631439</v>
      </c>
      <c r="G775">
        <v>-2.0287118568742688</v>
      </c>
      <c r="H775">
        <v>1.1092617935888749</v>
      </c>
      <c r="I775">
        <v>0.10772485641218139</v>
      </c>
      <c r="J775">
        <v>1.0998385253772671E-2</v>
      </c>
      <c r="K775">
        <v>1.6827159529416821E-2</v>
      </c>
      <c r="L775" t="s">
        <v>96</v>
      </c>
      <c r="M775">
        <v>292.47012713094148</v>
      </c>
      <c r="N775">
        <v>-189.08304555218081</v>
      </c>
      <c r="O775">
        <v>103.3870815787606</v>
      </c>
      <c r="P775">
        <v>10.04033365461274</v>
      </c>
      <c r="Q775">
        <v>1.025088</v>
      </c>
      <c r="R775">
        <v>1.5683501632000001</v>
      </c>
      <c r="S775" t="s">
        <v>96</v>
      </c>
      <c r="T775">
        <v>-425.40979578747442</v>
      </c>
    </row>
    <row r="776" spans="1:20" x14ac:dyDescent="0.25">
      <c r="A776" s="1" t="s">
        <v>102</v>
      </c>
      <c r="B776">
        <v>2016</v>
      </c>
      <c r="C776">
        <v>93.185083333333282</v>
      </c>
      <c r="D776">
        <v>93.185083333333282</v>
      </c>
      <c r="E776" t="s">
        <v>96</v>
      </c>
      <c r="F776">
        <v>3.1379858766202982</v>
      </c>
      <c r="G776">
        <v>-1.8084615725270889</v>
      </c>
      <c r="H776">
        <v>1.329524304093209</v>
      </c>
      <c r="I776">
        <v>0.1086158532446892</v>
      </c>
      <c r="J776">
        <v>1.018463434330066E-2</v>
      </c>
      <c r="K776">
        <v>1.4239782672655949E-2</v>
      </c>
      <c r="L776" t="s">
        <v>96</v>
      </c>
      <c r="M776">
        <v>292.41347541168528</v>
      </c>
      <c r="N776">
        <v>-168.52164234106769</v>
      </c>
      <c r="O776">
        <v>123.89183307061769</v>
      </c>
      <c r="P776">
        <v>10.121377335927461</v>
      </c>
      <c r="Q776">
        <v>0.94905600000000023</v>
      </c>
      <c r="R776">
        <v>1.3269353349999999</v>
      </c>
      <c r="S776" t="s">
        <v>96</v>
      </c>
      <c r="T776">
        <v>-499.72707305237759</v>
      </c>
    </row>
    <row r="777" spans="1:20" x14ac:dyDescent="0.25">
      <c r="A777" s="1" t="s">
        <v>102</v>
      </c>
      <c r="B777">
        <v>2017</v>
      </c>
      <c r="C777">
        <v>93.166666666666615</v>
      </c>
      <c r="D777">
        <v>93.166666666666615</v>
      </c>
      <c r="E777" t="s">
        <v>96</v>
      </c>
      <c r="F777">
        <v>3.1379981076110499</v>
      </c>
      <c r="G777">
        <v>-1.994209884629973</v>
      </c>
      <c r="H777">
        <v>1.143788222981077</v>
      </c>
      <c r="I777">
        <v>0.1089131285577797</v>
      </c>
      <c r="J777">
        <v>9.3705617173524252E-3</v>
      </c>
      <c r="K777">
        <v>1.1943409421109131E-2</v>
      </c>
      <c r="L777" t="s">
        <v>96</v>
      </c>
      <c r="M777">
        <v>292.35682369242932</v>
      </c>
      <c r="N777">
        <v>-185.79388758469241</v>
      </c>
      <c r="O777">
        <v>106.5629361077369</v>
      </c>
      <c r="P777">
        <v>10.14707314396647</v>
      </c>
      <c r="Q777">
        <v>0.87302400000000047</v>
      </c>
      <c r="R777">
        <v>1.1127276444</v>
      </c>
      <c r="S777" t="s">
        <v>96</v>
      </c>
      <c r="T777">
        <v>-435.21778995241863</v>
      </c>
    </row>
    <row r="778" spans="1:20" x14ac:dyDescent="0.25">
      <c r="A778" s="1" t="s">
        <v>102</v>
      </c>
      <c r="B778">
        <v>2018</v>
      </c>
      <c r="C778">
        <v>93.148249999999948</v>
      </c>
      <c r="D778">
        <v>93.148249999999948</v>
      </c>
      <c r="E778" t="s">
        <v>96</v>
      </c>
      <c r="F778">
        <v>3.1380103434382649</v>
      </c>
      <c r="G778">
        <v>-2.392341188836216</v>
      </c>
      <c r="H778">
        <v>0.74566915460204863</v>
      </c>
      <c r="I778">
        <v>0.1084867354505523</v>
      </c>
      <c r="J778">
        <v>8.5561671851054691E-3</v>
      </c>
      <c r="K778">
        <v>1.082430922642133E-2</v>
      </c>
      <c r="L778" t="s">
        <v>96</v>
      </c>
      <c r="M778">
        <v>292.30017197317318</v>
      </c>
      <c r="N778">
        <v>-222.84239514301299</v>
      </c>
      <c r="O778">
        <v>69.457776830160242</v>
      </c>
      <c r="P778">
        <v>10.1053495554319</v>
      </c>
      <c r="Q778">
        <v>0.79699200000000003</v>
      </c>
      <c r="R778">
        <v>1.0082654619</v>
      </c>
      <c r="S778" t="s">
        <v>96</v>
      </c>
      <c r="T778">
        <v>-298.35074077416499</v>
      </c>
    </row>
    <row r="779" spans="1:20" x14ac:dyDescent="0.25">
      <c r="A779" s="1" t="s">
        <v>102</v>
      </c>
      <c r="B779">
        <v>2019</v>
      </c>
      <c r="C779">
        <v>93.141999999999939</v>
      </c>
      <c r="D779">
        <v>93.141999999999939</v>
      </c>
      <c r="E779" t="s">
        <v>96</v>
      </c>
      <c r="F779">
        <v>3.1380201740711562</v>
      </c>
      <c r="G779">
        <v>-2.0315372116477168</v>
      </c>
      <c r="H779">
        <v>1.1064829624234389</v>
      </c>
      <c r="I779">
        <v>0.10833940014644471</v>
      </c>
      <c r="J779">
        <v>7.9010543041807182E-3</v>
      </c>
      <c r="K779">
        <v>9.8381796343217955E-3</v>
      </c>
      <c r="L779" t="s">
        <v>96</v>
      </c>
      <c r="M779">
        <v>292.28147505333538</v>
      </c>
      <c r="N779">
        <v>-189.2214389672915</v>
      </c>
      <c r="O779">
        <v>103.06003608604389</v>
      </c>
      <c r="P779">
        <v>10.09094840844014</v>
      </c>
      <c r="Q779">
        <v>0.73591999999999991</v>
      </c>
      <c r="R779">
        <v>0.91634772750000004</v>
      </c>
      <c r="S779" t="s">
        <v>96</v>
      </c>
      <c r="T779">
        <v>-420.94525814731293</v>
      </c>
    </row>
    <row r="780" spans="1:20" x14ac:dyDescent="0.25">
      <c r="A780" s="1" t="s">
        <v>102</v>
      </c>
      <c r="B780">
        <v>2020</v>
      </c>
      <c r="C780">
        <v>93.135749999999959</v>
      </c>
      <c r="D780">
        <v>93.135749999999959</v>
      </c>
      <c r="E780" t="s">
        <v>96</v>
      </c>
      <c r="F780">
        <v>3.1380290527276489</v>
      </c>
      <c r="G780">
        <v>-1.814033394988342</v>
      </c>
      <c r="H780">
        <v>1.3239956577393071</v>
      </c>
      <c r="I780">
        <v>0.10828621925349929</v>
      </c>
      <c r="J780">
        <v>7.3094381051314892E-3</v>
      </c>
      <c r="K780">
        <v>8.7258548949248841E-3</v>
      </c>
      <c r="L780" t="s">
        <v>96</v>
      </c>
      <c r="M780">
        <v>292.262689347579</v>
      </c>
      <c r="N780">
        <v>-168.95136076728539</v>
      </c>
      <c r="O780">
        <v>123.3113285802936</v>
      </c>
      <c r="P780">
        <v>10.085318244839099</v>
      </c>
      <c r="Q780">
        <v>0.68076999999999976</v>
      </c>
      <c r="R780">
        <v>0.81268904002999998</v>
      </c>
      <c r="S780" t="s">
        <v>96</v>
      </c>
      <c r="T780">
        <v>-494.59705483897483</v>
      </c>
    </row>
    <row r="781" spans="1:20" x14ac:dyDescent="0.25">
      <c r="A781" s="1" t="s">
        <v>102</v>
      </c>
      <c r="B781">
        <v>2021</v>
      </c>
      <c r="C781">
        <v>93.129499999999965</v>
      </c>
      <c r="D781">
        <v>93.129499999999965</v>
      </c>
      <c r="E781" t="s">
        <v>96</v>
      </c>
      <c r="F781">
        <v>3.1380379325758518</v>
      </c>
      <c r="G781">
        <v>-1.362856876328252</v>
      </c>
      <c r="H781">
        <v>1.7751810562476</v>
      </c>
      <c r="I781">
        <v>0.10823824760235549</v>
      </c>
      <c r="J781">
        <v>6.7177424983490743E-3</v>
      </c>
      <c r="K781">
        <v>7.6021498561680279E-3</v>
      </c>
      <c r="L781" t="s">
        <v>96</v>
      </c>
      <c r="M781">
        <v>292.24390364182273</v>
      </c>
      <c r="N781">
        <v>-126.9221794640119</v>
      </c>
      <c r="O781">
        <v>165.32172417781081</v>
      </c>
      <c r="P781">
        <v>10.08017388008356</v>
      </c>
      <c r="Q781">
        <v>0.62561999999999984</v>
      </c>
      <c r="R781">
        <v>0.70798441503000009</v>
      </c>
      <c r="S781" t="s">
        <v>96</v>
      </c>
      <c r="T781">
        <v>-648.03017573411489</v>
      </c>
    </row>
    <row r="782" spans="1:20" x14ac:dyDescent="0.25">
      <c r="A782" s="1" t="s">
        <v>102</v>
      </c>
      <c r="B782">
        <v>2022</v>
      </c>
      <c r="C782">
        <v>93.12324999999997</v>
      </c>
      <c r="D782">
        <v>93.12324999999997</v>
      </c>
      <c r="E782" t="s">
        <v>96</v>
      </c>
      <c r="F782">
        <v>3.1380468136160031</v>
      </c>
      <c r="G782">
        <v>-1.2289477144652181</v>
      </c>
      <c r="H782">
        <v>1.909099099150785</v>
      </c>
      <c r="I782">
        <v>0.1088098738940554</v>
      </c>
      <c r="J782">
        <v>6.1259674678450348E-3</v>
      </c>
      <c r="K782">
        <v>6.4546465567943594E-3</v>
      </c>
      <c r="L782" t="s">
        <v>96</v>
      </c>
      <c r="M782">
        <v>292.22511793606628</v>
      </c>
      <c r="N782">
        <v>-114.443605251073</v>
      </c>
      <c r="O782">
        <v>177.78151268499329</v>
      </c>
      <c r="P782">
        <v>10.1327290891046</v>
      </c>
      <c r="Q782">
        <v>0.57046999999999992</v>
      </c>
      <c r="R782">
        <v>0.60107766497000004</v>
      </c>
      <c r="S782" t="s">
        <v>96</v>
      </c>
      <c r="T782">
        <v>-693.31456127664535</v>
      </c>
    </row>
    <row r="783" spans="1:20" x14ac:dyDescent="0.25">
      <c r="A783" s="1" t="s">
        <v>102</v>
      </c>
      <c r="B783">
        <v>2023</v>
      </c>
      <c r="C783">
        <v>93.116999999999976</v>
      </c>
      <c r="D783">
        <v>93.116999999999976</v>
      </c>
      <c r="E783" t="s">
        <v>96</v>
      </c>
      <c r="F783">
        <v>3.1380556958483421</v>
      </c>
      <c r="G783">
        <v>-1.444332228038802</v>
      </c>
      <c r="H783">
        <v>1.6937234678095401</v>
      </c>
      <c r="I783">
        <v>0.1083729842141838</v>
      </c>
      <c r="J783">
        <v>5.5341129976266418E-3</v>
      </c>
      <c r="K783">
        <v>5.1161385942416551E-3</v>
      </c>
      <c r="L783" t="s">
        <v>96</v>
      </c>
      <c r="M783">
        <v>292.20633223031001</v>
      </c>
      <c r="N783">
        <v>-134.4918840782891</v>
      </c>
      <c r="O783">
        <v>157.71444815202091</v>
      </c>
      <c r="P783">
        <v>10.09136717107215</v>
      </c>
      <c r="Q783">
        <v>0.51531999999999989</v>
      </c>
      <c r="R783">
        <v>0.47639947748000011</v>
      </c>
      <c r="S783" t="s">
        <v>96</v>
      </c>
      <c r="T783">
        <v>-618.92429426882404</v>
      </c>
    </row>
    <row r="784" spans="1:20" x14ac:dyDescent="0.25">
      <c r="A784" s="1" t="s">
        <v>41</v>
      </c>
      <c r="B784">
        <v>1990</v>
      </c>
      <c r="C784">
        <v>3177.5271710000002</v>
      </c>
      <c r="D784">
        <v>2772.5500299999999</v>
      </c>
      <c r="E784">
        <v>404.97714100000002</v>
      </c>
      <c r="F784">
        <v>2.721918505665549</v>
      </c>
      <c r="G784">
        <v>-1.1937281020342221</v>
      </c>
      <c r="H784">
        <v>1.5281904036313281</v>
      </c>
      <c r="I784">
        <v>4.6554935185074142E-2</v>
      </c>
      <c r="J784">
        <v>5.5349078240816702E-4</v>
      </c>
      <c r="K784">
        <v>-1.6425836277577209E-5</v>
      </c>
      <c r="L784">
        <v>-0.51999999920983186</v>
      </c>
      <c r="M784">
        <v>8648.9700090000006</v>
      </c>
      <c r="N784">
        <v>-3793.1034789999999</v>
      </c>
      <c r="O784">
        <v>4855.8665300000011</v>
      </c>
      <c r="P784">
        <v>147.92957149471701</v>
      </c>
      <c r="Q784">
        <v>1.758732</v>
      </c>
      <c r="R784">
        <v>-4.55414528641718E-2</v>
      </c>
      <c r="S784">
        <v>-210.58811299999999</v>
      </c>
      <c r="T784">
        <v>-17581.377656488399</v>
      </c>
    </row>
    <row r="785" spans="1:20" x14ac:dyDescent="0.25">
      <c r="A785" s="1" t="s">
        <v>41</v>
      </c>
      <c r="B785">
        <v>1991</v>
      </c>
      <c r="C785">
        <v>3178.924254</v>
      </c>
      <c r="D785">
        <v>2761.9630520000001</v>
      </c>
      <c r="E785">
        <v>416.96120200000001</v>
      </c>
      <c r="F785">
        <v>2.7208305146360998</v>
      </c>
      <c r="G785">
        <v>-1.104726825617532</v>
      </c>
      <c r="H785">
        <v>1.616103689018568</v>
      </c>
      <c r="I785">
        <v>2.540393948650313E-2</v>
      </c>
      <c r="J785">
        <v>5.8880547331216786E-4</v>
      </c>
      <c r="K785">
        <v>-3.2977597460034049E-5</v>
      </c>
      <c r="L785">
        <v>-0.51999999990406787</v>
      </c>
      <c r="M785">
        <v>8649.3141140000007</v>
      </c>
      <c r="N785">
        <v>-3511.8429000000001</v>
      </c>
      <c r="O785">
        <v>5137.4712140000011</v>
      </c>
      <c r="P785">
        <v>80.757199380793097</v>
      </c>
      <c r="Q785">
        <v>1.8717680000000001</v>
      </c>
      <c r="R785">
        <v>-9.10829057283431E-2</v>
      </c>
      <c r="S785">
        <v>-216.81982500000001</v>
      </c>
      <c r="T785">
        <v>-18345.02733607691</v>
      </c>
    </row>
    <row r="786" spans="1:20" x14ac:dyDescent="0.25">
      <c r="A786" s="1" t="s">
        <v>41</v>
      </c>
      <c r="B786">
        <v>1992</v>
      </c>
      <c r="C786">
        <v>3180.3213380000002</v>
      </c>
      <c r="D786">
        <v>2763.1947060000002</v>
      </c>
      <c r="E786">
        <v>417.12663199999997</v>
      </c>
      <c r="F786">
        <v>2.7197729369823822</v>
      </c>
      <c r="G786">
        <v>-1.0492989365969529</v>
      </c>
      <c r="H786">
        <v>1.670474000385429</v>
      </c>
      <c r="I786">
        <v>9.5828520077193835E-3</v>
      </c>
      <c r="J786">
        <v>6.24089766114068E-4</v>
      </c>
      <c r="K786">
        <v>-4.7492759538528872E-5</v>
      </c>
      <c r="L786">
        <v>-0.52000000041439154</v>
      </c>
      <c r="M786">
        <v>8649.7519059999995</v>
      </c>
      <c r="N786">
        <v>-3337.107798</v>
      </c>
      <c r="O786">
        <v>5312.6441080000004</v>
      </c>
      <c r="P786">
        <v>30.4765487190461</v>
      </c>
      <c r="Q786">
        <v>1.9848060000000001</v>
      </c>
      <c r="R786">
        <v>-0.131231741730194</v>
      </c>
      <c r="S786">
        <v>-216.9058488128538</v>
      </c>
      <c r="T786">
        <v>-18802.917401271399</v>
      </c>
    </row>
    <row r="787" spans="1:20" x14ac:dyDescent="0.25">
      <c r="A787" s="1" t="s">
        <v>41</v>
      </c>
      <c r="B787">
        <v>1993</v>
      </c>
      <c r="C787">
        <v>3181.7184240000001</v>
      </c>
      <c r="D787">
        <v>2764.1922009999998</v>
      </c>
      <c r="E787">
        <v>417.52622300000002</v>
      </c>
      <c r="F787">
        <v>2.7187419203252539</v>
      </c>
      <c r="G787">
        <v>-1.156842572942903</v>
      </c>
      <c r="H787">
        <v>1.561899347382351</v>
      </c>
      <c r="I787">
        <v>3.9201641881143723E-2</v>
      </c>
      <c r="J787">
        <v>6.5934275772983975E-4</v>
      </c>
      <c r="K787">
        <v>-5.9238843789569748E-5</v>
      </c>
      <c r="L787">
        <v>-0.51999999961780419</v>
      </c>
      <c r="M787">
        <v>8650.2712580000007</v>
      </c>
      <c r="N787">
        <v>-3680.7473279999999</v>
      </c>
      <c r="O787">
        <v>4969.5239300000012</v>
      </c>
      <c r="P787">
        <v>124.728586224285</v>
      </c>
      <c r="Q787">
        <v>2.0978430000000001</v>
      </c>
      <c r="R787">
        <v>-0.16374754999938601</v>
      </c>
      <c r="S787">
        <v>-217.11363580042331</v>
      </c>
      <c r="T787">
        <v>-17889.93424487246</v>
      </c>
    </row>
    <row r="788" spans="1:20" x14ac:dyDescent="0.25">
      <c r="A788" s="1" t="s">
        <v>41</v>
      </c>
      <c r="B788">
        <v>1994</v>
      </c>
      <c r="C788">
        <v>3183.1155079999999</v>
      </c>
      <c r="D788">
        <v>2765.589285</v>
      </c>
      <c r="E788">
        <v>417.52622300000002</v>
      </c>
      <c r="F788">
        <v>3.030432179654349</v>
      </c>
      <c r="G788">
        <v>-1.3336270372001851</v>
      </c>
      <c r="H788">
        <v>1.696805142454165</v>
      </c>
      <c r="I788">
        <v>0.1109975231776754</v>
      </c>
      <c r="J788">
        <v>6.9456543265347323E-4</v>
      </c>
      <c r="K788">
        <v>-7.5676096952898413E-5</v>
      </c>
      <c r="L788">
        <v>-0.51999999961780419</v>
      </c>
      <c r="M788">
        <v>9646.2156670000004</v>
      </c>
      <c r="N788">
        <v>-4245.0889040000002</v>
      </c>
      <c r="O788">
        <v>5401.1267630000002</v>
      </c>
      <c r="P788">
        <v>353.31793737644801</v>
      </c>
      <c r="Q788">
        <v>2.2108819999999998</v>
      </c>
      <c r="R788">
        <v>-0.20928900286355701</v>
      </c>
      <c r="S788">
        <v>-217.11363580042331</v>
      </c>
      <c r="T788">
        <v>-20310.886411103442</v>
      </c>
    </row>
    <row r="789" spans="1:20" x14ac:dyDescent="0.25">
      <c r="A789" s="1" t="s">
        <v>41</v>
      </c>
      <c r="B789">
        <v>1995</v>
      </c>
      <c r="C789">
        <v>3184.512592</v>
      </c>
      <c r="D789">
        <v>2766.9863690000002</v>
      </c>
      <c r="E789">
        <v>417.52622300000002</v>
      </c>
      <c r="F789">
        <v>3.0293117911464669</v>
      </c>
      <c r="G789">
        <v>-1.500980476261216</v>
      </c>
      <c r="H789">
        <v>1.5283313148852511</v>
      </c>
      <c r="I789">
        <v>0.1518719137969623</v>
      </c>
      <c r="J789">
        <v>7.2975626029491922E-4</v>
      </c>
      <c r="K789">
        <v>-9.2096751390873574E-5</v>
      </c>
      <c r="L789">
        <v>-0.51999999961780419</v>
      </c>
      <c r="M789">
        <v>9646.8815439999998</v>
      </c>
      <c r="N789">
        <v>-4779.8912270000001</v>
      </c>
      <c r="O789">
        <v>4866.9903169999998</v>
      </c>
      <c r="P789">
        <v>483.63802185756498</v>
      </c>
      <c r="Q789">
        <v>2.3239179999999999</v>
      </c>
      <c r="R789">
        <v>-0.254830455727729</v>
      </c>
      <c r="S789">
        <v>-217.11363580042331</v>
      </c>
      <c r="T789">
        <v>-18830.473898873559</v>
      </c>
    </row>
    <row r="790" spans="1:20" x14ac:dyDescent="0.25">
      <c r="A790" s="1" t="s">
        <v>41</v>
      </c>
      <c r="B790">
        <v>1996</v>
      </c>
      <c r="C790">
        <v>3193.1680470000001</v>
      </c>
      <c r="D790">
        <v>2775.011951</v>
      </c>
      <c r="E790">
        <v>418.15609599999999</v>
      </c>
      <c r="F790">
        <v>3.0201300977755898</v>
      </c>
      <c r="G790">
        <v>-1.478560980038518</v>
      </c>
      <c r="H790">
        <v>1.5415691177370729</v>
      </c>
      <c r="I790">
        <v>0.1349236254821283</v>
      </c>
      <c r="J790">
        <v>9.7956228859883733E-4</v>
      </c>
      <c r="K790">
        <v>-1.06921773543585E-4</v>
      </c>
      <c r="L790">
        <v>-0.51999999965458399</v>
      </c>
      <c r="M790">
        <v>9643.7829260000017</v>
      </c>
      <c r="N790">
        <v>-4721.2936769999997</v>
      </c>
      <c r="O790">
        <v>4922.489249000002</v>
      </c>
      <c r="P790">
        <v>430.83380967492701</v>
      </c>
      <c r="Q790">
        <v>3.127907</v>
      </c>
      <c r="R790">
        <v>-0.29670919940556401</v>
      </c>
      <c r="S790">
        <v>-217.4411697755622</v>
      </c>
      <c r="T790">
        <v>-18841.94798456824</v>
      </c>
    </row>
    <row r="791" spans="1:20" x14ac:dyDescent="0.25">
      <c r="A791" s="1" t="s">
        <v>41</v>
      </c>
      <c r="B791">
        <v>1997</v>
      </c>
      <c r="C791">
        <v>3201.8235</v>
      </c>
      <c r="D791">
        <v>2783.625728</v>
      </c>
      <c r="E791">
        <v>418.19777199999999</v>
      </c>
      <c r="F791">
        <v>3.0110603314017781</v>
      </c>
      <c r="G791">
        <v>-1.786498167060115</v>
      </c>
      <c r="H791">
        <v>1.224562164341664</v>
      </c>
      <c r="I791">
        <v>0.21729150457694341</v>
      </c>
      <c r="J791">
        <v>1.228017409454331E-3</v>
      </c>
      <c r="K791">
        <v>-1.2260401734745819E-4</v>
      </c>
      <c r="L791">
        <v>-0.51999999967718358</v>
      </c>
      <c r="M791">
        <v>9640.883729000001</v>
      </c>
      <c r="N791">
        <v>-5720.0518140000004</v>
      </c>
      <c r="O791">
        <v>3920.8319150000011</v>
      </c>
      <c r="P791">
        <v>695.72904570481501</v>
      </c>
      <c r="Q791">
        <v>3.9318949999999999</v>
      </c>
      <c r="R791">
        <v>-0.34128369704454298</v>
      </c>
      <c r="S791">
        <v>-217.4628413049989</v>
      </c>
      <c r="T791">
        <v>-16143.1920125783</v>
      </c>
    </row>
    <row r="792" spans="1:20" x14ac:dyDescent="0.25">
      <c r="A792" s="1" t="s">
        <v>41</v>
      </c>
      <c r="B792">
        <v>1998</v>
      </c>
      <c r="C792">
        <v>3210.4789559999999</v>
      </c>
      <c r="D792">
        <v>2791.4882769999999</v>
      </c>
      <c r="E792">
        <v>418.990679</v>
      </c>
      <c r="F792">
        <v>3.0021102595883198</v>
      </c>
      <c r="G792">
        <v>-1.9409112096357251</v>
      </c>
      <c r="H792">
        <v>1.061199049952595</v>
      </c>
      <c r="I792">
        <v>0.2490976331296102</v>
      </c>
      <c r="J792">
        <v>1.4751325471700121E-3</v>
      </c>
      <c r="K792">
        <v>-1.369933204445856E-4</v>
      </c>
      <c r="L792">
        <v>-0.52000000069468411</v>
      </c>
      <c r="M792">
        <v>9638.2118119999996</v>
      </c>
      <c r="N792">
        <v>-6231.254594</v>
      </c>
      <c r="O792">
        <v>3406.957218</v>
      </c>
      <c r="P792">
        <v>799.72270915202205</v>
      </c>
      <c r="Q792">
        <v>4.7358820000000001</v>
      </c>
      <c r="R792">
        <v>-0.38241524804836502</v>
      </c>
      <c r="S792">
        <v>-217.87515337106609</v>
      </c>
      <c r="T792">
        <v>-14641.580215288661</v>
      </c>
    </row>
    <row r="793" spans="1:20" x14ac:dyDescent="0.25">
      <c r="A793" s="1" t="s">
        <v>41</v>
      </c>
      <c r="B793">
        <v>1999</v>
      </c>
      <c r="C793">
        <v>3219.1344100000001</v>
      </c>
      <c r="D793">
        <v>2800.3130390000001</v>
      </c>
      <c r="E793">
        <v>418.821371</v>
      </c>
      <c r="F793">
        <v>3.059926529442428</v>
      </c>
      <c r="G793">
        <v>-2.4432053301558172</v>
      </c>
      <c r="H793">
        <v>0.61672119928661184</v>
      </c>
      <c r="I793">
        <v>0.39395239805406262</v>
      </c>
      <c r="J793">
        <v>1.720919133662393E-3</v>
      </c>
      <c r="K793">
        <v>-1.5282459316239859E-4</v>
      </c>
      <c r="L793">
        <v>-0.5200000010769894</v>
      </c>
      <c r="M793">
        <v>9850.3147829999998</v>
      </c>
      <c r="N793">
        <v>-7865.0063490000002</v>
      </c>
      <c r="O793">
        <v>1985.308434</v>
      </c>
      <c r="P793">
        <v>1268.1857204778501</v>
      </c>
      <c r="Q793">
        <v>5.5398700000000014</v>
      </c>
      <c r="R793">
        <v>-0.42795670091253502</v>
      </c>
      <c r="S793">
        <v>-217.7871133710662</v>
      </c>
      <c r="T793">
        <v>-11149.66949948921</v>
      </c>
    </row>
    <row r="794" spans="1:20" x14ac:dyDescent="0.25">
      <c r="A794" s="1" t="s">
        <v>41</v>
      </c>
      <c r="B794">
        <v>2000</v>
      </c>
      <c r="C794">
        <v>3227.7898650000002</v>
      </c>
      <c r="D794">
        <v>2808.7382109999999</v>
      </c>
      <c r="E794">
        <v>419.05165399999998</v>
      </c>
      <c r="F794">
        <v>3.0510276235098099</v>
      </c>
      <c r="G794">
        <v>-2.0554303732532482</v>
      </c>
      <c r="H794">
        <v>0.99559725025656232</v>
      </c>
      <c r="I794">
        <v>0.25234466575519687</v>
      </c>
      <c r="J794">
        <v>1.965387545449772E-3</v>
      </c>
      <c r="K794">
        <v>-1.67928359195715E-4</v>
      </c>
      <c r="L794">
        <v>-0.52000000066491958</v>
      </c>
      <c r="M794">
        <v>9848.0760410000003</v>
      </c>
      <c r="N794">
        <v>-6634.497327</v>
      </c>
      <c r="O794">
        <v>3213.5787140000002</v>
      </c>
      <c r="P794">
        <v>814.5155546114371</v>
      </c>
      <c r="Q794">
        <v>6.343858</v>
      </c>
      <c r="R794">
        <v>-0.47166679918353799</v>
      </c>
      <c r="S794">
        <v>-217.90686035863561</v>
      </c>
      <c r="T794">
        <v>-13992.218531331209</v>
      </c>
    </row>
    <row r="795" spans="1:20" x14ac:dyDescent="0.25">
      <c r="A795" s="1" t="s">
        <v>41</v>
      </c>
      <c r="B795">
        <v>2001</v>
      </c>
      <c r="C795">
        <v>3228.0279740000001</v>
      </c>
      <c r="D795">
        <v>2809.634849</v>
      </c>
      <c r="E795">
        <v>418.393125</v>
      </c>
      <c r="F795">
        <v>3.046599635818398</v>
      </c>
      <c r="G795">
        <v>-1.9568289878147129</v>
      </c>
      <c r="H795">
        <v>1.089770648003684</v>
      </c>
      <c r="I795">
        <v>0.23032331499178879</v>
      </c>
      <c r="J795">
        <v>2.0961361098787061E-3</v>
      </c>
      <c r="K795">
        <v>-1.9526973326315441E-4</v>
      </c>
      <c r="L795">
        <v>-0.52000000085717391</v>
      </c>
      <c r="M795">
        <v>9834.5088500000002</v>
      </c>
      <c r="N795">
        <v>-6316.6987129999998</v>
      </c>
      <c r="O795">
        <v>3517.8101369999999</v>
      </c>
      <c r="P795">
        <v>743.49010385790791</v>
      </c>
      <c r="Q795">
        <v>6.7663859999999998</v>
      </c>
      <c r="R795">
        <v>-0.54863664753109298</v>
      </c>
      <c r="S795">
        <v>-217.56442535863559</v>
      </c>
      <c r="T795">
        <v>-14849.829737791069</v>
      </c>
    </row>
    <row r="796" spans="1:20" x14ac:dyDescent="0.25">
      <c r="A796" s="1" t="s">
        <v>41</v>
      </c>
      <c r="B796">
        <v>2002</v>
      </c>
      <c r="C796">
        <v>3228.266083</v>
      </c>
      <c r="D796">
        <v>2810.5314870000002</v>
      </c>
      <c r="E796">
        <v>417.73459600000001</v>
      </c>
      <c r="F796">
        <v>3.042242453841745</v>
      </c>
      <c r="G796">
        <v>-2.0671416867219858</v>
      </c>
      <c r="H796">
        <v>0.97510076711975902</v>
      </c>
      <c r="I796">
        <v>0.24332442907957941</v>
      </c>
      <c r="J796">
        <v>2.226865077156033E-3</v>
      </c>
      <c r="K796">
        <v>-2.2259366200747641E-4</v>
      </c>
      <c r="L796">
        <v>-0.5200000010500343</v>
      </c>
      <c r="M796">
        <v>9821.16813</v>
      </c>
      <c r="N796">
        <v>-6673.2833959999998</v>
      </c>
      <c r="O796">
        <v>3147.8847340000002</v>
      </c>
      <c r="P796">
        <v>785.51600156294501</v>
      </c>
      <c r="Q796">
        <v>7.1889130000000003</v>
      </c>
      <c r="R796">
        <v>-0.62560649587864803</v>
      </c>
      <c r="S796">
        <v>-217.22199035863571</v>
      </c>
      <c r="T796">
        <v>-13650.054189598821</v>
      </c>
    </row>
    <row r="797" spans="1:20" x14ac:dyDescent="0.25">
      <c r="A797" s="1" t="s">
        <v>41</v>
      </c>
      <c r="B797">
        <v>2003</v>
      </c>
      <c r="C797">
        <v>3228.5041919999999</v>
      </c>
      <c r="D797">
        <v>2811.4281249999999</v>
      </c>
      <c r="E797">
        <v>417.07606700000002</v>
      </c>
      <c r="F797">
        <v>3.037955290968382</v>
      </c>
      <c r="G797">
        <v>-2.1228958989686828</v>
      </c>
      <c r="H797">
        <v>0.91505939199969888</v>
      </c>
      <c r="I797">
        <v>0.24008422430798601</v>
      </c>
      <c r="J797">
        <v>2.357575071099675E-3</v>
      </c>
      <c r="K797">
        <v>-2.4990016211999132E-4</v>
      </c>
      <c r="L797">
        <v>-0.52000000124350376</v>
      </c>
      <c r="M797">
        <v>9808.0513919999994</v>
      </c>
      <c r="N797">
        <v>-6853.7783090000003</v>
      </c>
      <c r="O797">
        <v>2954.2730829999991</v>
      </c>
      <c r="P797">
        <v>775.11292461140101</v>
      </c>
      <c r="Q797">
        <v>7.6114410000000001</v>
      </c>
      <c r="R797">
        <v>-0.70257634422620296</v>
      </c>
      <c r="S797">
        <v>-216.8795553586356</v>
      </c>
      <c r="T797">
        <v>-12904.522828665809</v>
      </c>
    </row>
    <row r="798" spans="1:20" x14ac:dyDescent="0.25">
      <c r="A798" s="1" t="s">
        <v>41</v>
      </c>
      <c r="B798">
        <v>2004</v>
      </c>
      <c r="C798">
        <v>3228.742303</v>
      </c>
      <c r="D798">
        <v>2812.1138729999998</v>
      </c>
      <c r="E798">
        <v>416.62842999999998</v>
      </c>
      <c r="F798">
        <v>2.6734035150404512</v>
      </c>
      <c r="G798">
        <v>-2.025032969935352</v>
      </c>
      <c r="H798">
        <v>0.64837054510509806</v>
      </c>
      <c r="I798">
        <v>0.20040044326960429</v>
      </c>
      <c r="J798">
        <v>2.4882654749297278E-3</v>
      </c>
      <c r="K798">
        <v>-2.75480109866775E-4</v>
      </c>
      <c r="L798">
        <v>-0.52000000061152041</v>
      </c>
      <c r="M798">
        <v>8631.7310219999999</v>
      </c>
      <c r="N798">
        <v>-6538.3096150000001</v>
      </c>
      <c r="O798">
        <v>2093.4214069999998</v>
      </c>
      <c r="P798">
        <v>647.04138872452302</v>
      </c>
      <c r="Q798">
        <v>8.0339679999999998</v>
      </c>
      <c r="R798">
        <v>-0.77468143869192196</v>
      </c>
      <c r="S798">
        <v>-216.6467838547768</v>
      </c>
      <c r="T798">
        <v>-9280.6094275813757</v>
      </c>
    </row>
    <row r="799" spans="1:20" x14ac:dyDescent="0.25">
      <c r="A799" s="1" t="s">
        <v>41</v>
      </c>
      <c r="B799">
        <v>2005</v>
      </c>
      <c r="C799">
        <v>3228.9804100000001</v>
      </c>
      <c r="D799">
        <v>2813.0105090000002</v>
      </c>
      <c r="E799">
        <v>415.96990099999999</v>
      </c>
      <c r="F799">
        <v>2.6698583699366569</v>
      </c>
      <c r="G799">
        <v>-2.088250805151215</v>
      </c>
      <c r="H799">
        <v>0.58160756478544229</v>
      </c>
      <c r="I799">
        <v>0.22472987579653789</v>
      </c>
      <c r="J799">
        <v>2.618936607298897E-3</v>
      </c>
      <c r="K799">
        <v>-3.0275439224798038E-4</v>
      </c>
      <c r="L799">
        <v>-0.52000000080481013</v>
      </c>
      <c r="M799">
        <v>8620.9203739999994</v>
      </c>
      <c r="N799">
        <v>-6742.9209410000003</v>
      </c>
      <c r="O799">
        <v>1877.999432999999</v>
      </c>
      <c r="P799">
        <v>725.64836648875405</v>
      </c>
      <c r="Q799">
        <v>8.4564950000000003</v>
      </c>
      <c r="R799">
        <v>-0.85165128703947701</v>
      </c>
      <c r="S799">
        <v>-216.3043488547768</v>
      </c>
      <c r="T799">
        <v>-8781.4770792728996</v>
      </c>
    </row>
    <row r="800" spans="1:20" x14ac:dyDescent="0.25">
      <c r="A800" s="1" t="s">
        <v>41</v>
      </c>
      <c r="B800">
        <v>2006</v>
      </c>
      <c r="C800">
        <v>3229.2185199999999</v>
      </c>
      <c r="D800">
        <v>2813.9071479999998</v>
      </c>
      <c r="E800">
        <v>415.31137200000001</v>
      </c>
      <c r="F800">
        <v>2.6663843192005472</v>
      </c>
      <c r="G800">
        <v>-1.8804177076873689</v>
      </c>
      <c r="H800">
        <v>0.78596661151317804</v>
      </c>
      <c r="I800">
        <v>0.1365036261368503</v>
      </c>
      <c r="J800">
        <v>2.749588776667861E-3</v>
      </c>
      <c r="K800">
        <v>-3.3001129267788899E-4</v>
      </c>
      <c r="L800">
        <v>-0.52000000099871291</v>
      </c>
      <c r="M800">
        <v>8610.3376250000001</v>
      </c>
      <c r="N800">
        <v>-6072.2796870000002</v>
      </c>
      <c r="O800">
        <v>2538.0579379999999</v>
      </c>
      <c r="P800">
        <v>440.80003756827301</v>
      </c>
      <c r="Q800">
        <v>8.8790230000000001</v>
      </c>
      <c r="R800">
        <v>-0.92862113538703195</v>
      </c>
      <c r="S800">
        <v>-215.96191385477681</v>
      </c>
      <c r="T800">
        <v>-10159.770366453989</v>
      </c>
    </row>
    <row r="801" spans="1:20" x14ac:dyDescent="0.25">
      <c r="A801" s="1" t="s">
        <v>41</v>
      </c>
      <c r="B801">
        <v>2007</v>
      </c>
      <c r="C801">
        <v>3229.4566289999998</v>
      </c>
      <c r="D801">
        <v>2814.8037859999999</v>
      </c>
      <c r="E801">
        <v>414.65284300000002</v>
      </c>
      <c r="F801">
        <v>2.6629821056500709</v>
      </c>
      <c r="G801">
        <v>-1.9250330675365139</v>
      </c>
      <c r="H801">
        <v>0.73794903811355717</v>
      </c>
      <c r="I801">
        <v>0.13167066671724759</v>
      </c>
      <c r="J801">
        <v>2.8802216807848019E-3</v>
      </c>
      <c r="K801">
        <v>-3.5725082818777691E-4</v>
      </c>
      <c r="L801">
        <v>-0.51999999878157555</v>
      </c>
      <c r="M801">
        <v>8599.9852140000003</v>
      </c>
      <c r="N801">
        <v>-6216.8108009999996</v>
      </c>
      <c r="O801">
        <v>2383.1744130000011</v>
      </c>
      <c r="P801">
        <v>425.224707474865</v>
      </c>
      <c r="Q801">
        <v>9.3015509999999999</v>
      </c>
      <c r="R801">
        <v>-1.00559098373459</v>
      </c>
      <c r="S801">
        <v>-215.61947785477679</v>
      </c>
      <c r="T801">
        <v>-9537.277209667498</v>
      </c>
    </row>
    <row r="802" spans="1:20" x14ac:dyDescent="0.25">
      <c r="A802" s="1" t="s">
        <v>41</v>
      </c>
      <c r="B802">
        <v>2008</v>
      </c>
      <c r="C802">
        <v>3229.6947380000001</v>
      </c>
      <c r="D802">
        <v>2815.7004229999998</v>
      </c>
      <c r="E802">
        <v>413.99431499999997</v>
      </c>
      <c r="F802">
        <v>2.6596525377253779</v>
      </c>
      <c r="G802">
        <v>-1.763218476346293</v>
      </c>
      <c r="H802">
        <v>0.89643406137908488</v>
      </c>
      <c r="I802">
        <v>6.0089634324266283E-2</v>
      </c>
      <c r="J802">
        <v>3.010835013473029E-3</v>
      </c>
      <c r="K802">
        <v>-3.8447301539583568E-4</v>
      </c>
      <c r="L802">
        <v>-0.51999999771682082</v>
      </c>
      <c r="M802">
        <v>8589.8658059999998</v>
      </c>
      <c r="N802">
        <v>-5694.6574350000001</v>
      </c>
      <c r="O802">
        <v>2895.2083710000002</v>
      </c>
      <c r="P802">
        <v>194.07117578542699</v>
      </c>
      <c r="Q802">
        <v>9.7240780000000004</v>
      </c>
      <c r="R802">
        <v>-1.08256083208214</v>
      </c>
      <c r="S802">
        <v>-215.27704285477679</v>
      </c>
      <c r="T802">
        <v>-10569.694744029041</v>
      </c>
    </row>
    <row r="803" spans="1:20" x14ac:dyDescent="0.25">
      <c r="A803" s="1" t="s">
        <v>41</v>
      </c>
      <c r="B803">
        <v>2009</v>
      </c>
      <c r="C803">
        <v>3234.0635139999999</v>
      </c>
      <c r="D803">
        <v>2824.311322</v>
      </c>
      <c r="E803">
        <v>409.75219199999998</v>
      </c>
      <c r="F803">
        <v>2.6040540720809111</v>
      </c>
      <c r="G803">
        <v>-2.2686347359101369</v>
      </c>
      <c r="H803">
        <v>0.33541933617077357</v>
      </c>
      <c r="I803">
        <v>0.3743790545110241</v>
      </c>
      <c r="J803">
        <v>3.2772470157492401E-3</v>
      </c>
      <c r="K803">
        <v>-4.745708941785101E-4</v>
      </c>
      <c r="L803">
        <v>-0.52000000003606284</v>
      </c>
      <c r="M803">
        <v>8421.6762629999994</v>
      </c>
      <c r="N803">
        <v>-7336.9088259999999</v>
      </c>
      <c r="O803">
        <v>1084.767437</v>
      </c>
      <c r="P803">
        <v>1210.7656405999201</v>
      </c>
      <c r="Q803">
        <v>10.598825</v>
      </c>
      <c r="R803">
        <v>-1.34033594952003</v>
      </c>
      <c r="S803">
        <v>-213.07113985477679</v>
      </c>
      <c r="T803">
        <v>-7669.6415649179808</v>
      </c>
    </row>
    <row r="804" spans="1:20" x14ac:dyDescent="0.25">
      <c r="A804" s="1" t="s">
        <v>41</v>
      </c>
      <c r="B804">
        <v>2010</v>
      </c>
      <c r="C804">
        <v>3238.4322900000002</v>
      </c>
      <c r="D804">
        <v>2829.4629479999999</v>
      </c>
      <c r="E804">
        <v>408.96934199999998</v>
      </c>
      <c r="F804">
        <v>2.6145902469988029</v>
      </c>
      <c r="G804">
        <v>-2.5731100386847992</v>
      </c>
      <c r="H804">
        <v>4.1480208314004598E-2</v>
      </c>
      <c r="I804">
        <v>0.45532060503776672</v>
      </c>
      <c r="J804">
        <v>2.9998592312702019E-3</v>
      </c>
      <c r="K804">
        <v>-5.481496106969308E-4</v>
      </c>
      <c r="L804">
        <v>-0.52000000006549574</v>
      </c>
      <c r="M804">
        <v>8467.1734809999998</v>
      </c>
      <c r="N804">
        <v>-8332.8426350000009</v>
      </c>
      <c r="O804">
        <v>134.3308459999989</v>
      </c>
      <c r="P804">
        <v>1474.52494965664</v>
      </c>
      <c r="Q804">
        <v>9.7148409999999998</v>
      </c>
      <c r="R804">
        <v>-1.55096901342759</v>
      </c>
      <c r="S804">
        <v>-212.6640578667857</v>
      </c>
      <c r="T804">
        <v>-5149.3039025140288</v>
      </c>
    </row>
    <row r="805" spans="1:20" x14ac:dyDescent="0.25">
      <c r="A805" s="1" t="s">
        <v>41</v>
      </c>
      <c r="B805">
        <v>2011</v>
      </c>
      <c r="C805">
        <v>3242.8010669999999</v>
      </c>
      <c r="D805">
        <v>2834.6759219999999</v>
      </c>
      <c r="E805">
        <v>408.12514499999997</v>
      </c>
      <c r="F805">
        <v>2.6082509679894592</v>
      </c>
      <c r="G805">
        <v>-2.4549256668910551</v>
      </c>
      <c r="H805">
        <v>0.1533253010984035</v>
      </c>
      <c r="I805">
        <v>0.37805572278977861</v>
      </c>
      <c r="J805">
        <v>3.23071035920564E-3</v>
      </c>
      <c r="K805">
        <v>-6.2201208410352451E-4</v>
      </c>
      <c r="L805">
        <v>-0.519999998693503</v>
      </c>
      <c r="M805">
        <v>8458.039021999999</v>
      </c>
      <c r="N805">
        <v>-7960.835572</v>
      </c>
      <c r="O805">
        <v>497.20344999999912</v>
      </c>
      <c r="P805">
        <v>1225.95950124815</v>
      </c>
      <c r="Q805">
        <v>10.476551000000001</v>
      </c>
      <c r="R805">
        <v>-1.7632026780012999</v>
      </c>
      <c r="S805">
        <v>-212.22507486678569</v>
      </c>
      <c r="T805">
        <v>-5572.0544905795005</v>
      </c>
    </row>
    <row r="806" spans="1:20" x14ac:dyDescent="0.25">
      <c r="A806" s="1" t="s">
        <v>41</v>
      </c>
      <c r="B806">
        <v>2012</v>
      </c>
      <c r="C806">
        <v>3247.169844</v>
      </c>
      <c r="D806">
        <v>2839.8888969999998</v>
      </c>
      <c r="E806">
        <v>407.28094700000003</v>
      </c>
      <c r="F806">
        <v>2.6020390795425241</v>
      </c>
      <c r="G806">
        <v>-2.3217148708529329</v>
      </c>
      <c r="H806">
        <v>0.28032420868959018</v>
      </c>
      <c r="I806">
        <v>0.29806219790431632</v>
      </c>
      <c r="J806">
        <v>3.4609396920723561E-3</v>
      </c>
      <c r="K806">
        <v>-6.9750227254659404E-4</v>
      </c>
      <c r="L806">
        <v>-0.51999999905208427</v>
      </c>
      <c r="M806">
        <v>8449.2628320000003</v>
      </c>
      <c r="N806">
        <v>-7539.0025150000001</v>
      </c>
      <c r="O806">
        <v>910.26031700000021</v>
      </c>
      <c r="P806">
        <v>967.85858067125594</v>
      </c>
      <c r="Q806">
        <v>11.238258999999999</v>
      </c>
      <c r="R806">
        <v>-1.9808289594373401</v>
      </c>
      <c r="S806">
        <v>-211.78609205393201</v>
      </c>
      <c r="T806">
        <v>-6143.8308640794767</v>
      </c>
    </row>
    <row r="807" spans="1:20" x14ac:dyDescent="0.25">
      <c r="A807" s="1" t="s">
        <v>41</v>
      </c>
      <c r="B807">
        <v>2013</v>
      </c>
      <c r="C807">
        <v>3251.5386210000001</v>
      </c>
      <c r="D807">
        <v>2845.1018709999998</v>
      </c>
      <c r="E807">
        <v>406.43675000000002</v>
      </c>
      <c r="F807">
        <v>2.59595858541703</v>
      </c>
      <c r="G807">
        <v>-2.3520317094212979</v>
      </c>
      <c r="H807">
        <v>0.24392687599573179</v>
      </c>
      <c r="I807">
        <v>0.27127498152180191</v>
      </c>
      <c r="J807">
        <v>3.6905506588476109E-3</v>
      </c>
      <c r="K807">
        <v>-7.7539869172791047E-4</v>
      </c>
      <c r="L807">
        <v>-0.52000000016327874</v>
      </c>
      <c r="M807">
        <v>8440.8595989999994</v>
      </c>
      <c r="N807">
        <v>-7647.7219409999998</v>
      </c>
      <c r="O807">
        <v>793.13765799999965</v>
      </c>
      <c r="P807">
        <v>882.06107932919997</v>
      </c>
      <c r="Q807">
        <v>11.999968000000001</v>
      </c>
      <c r="R807">
        <v>-2.2060882686060301</v>
      </c>
      <c r="S807">
        <v>-211.34711006636249</v>
      </c>
      <c r="T807">
        <v>-5403.3668589793388</v>
      </c>
    </row>
    <row r="808" spans="1:20" x14ac:dyDescent="0.25">
      <c r="A808" s="1" t="s">
        <v>41</v>
      </c>
      <c r="B808">
        <v>2014</v>
      </c>
      <c r="C808">
        <v>3250.2154580000001</v>
      </c>
      <c r="D808">
        <v>2858.7766670000001</v>
      </c>
      <c r="E808">
        <v>391.43879099999998</v>
      </c>
      <c r="F808">
        <v>2.392400443441618</v>
      </c>
      <c r="G808">
        <v>-2.5349407885315638</v>
      </c>
      <c r="H808">
        <v>-0.1425403450899467</v>
      </c>
      <c r="I808">
        <v>0.30260738907470702</v>
      </c>
      <c r="J808">
        <v>3.7046857833263058E-3</v>
      </c>
      <c r="K808">
        <v>-7.8116310725501311E-4</v>
      </c>
      <c r="L808">
        <v>-0.51999999935203789</v>
      </c>
      <c r="M808">
        <v>7775.8169029999999</v>
      </c>
      <c r="N808">
        <v>-8239.1037359999991</v>
      </c>
      <c r="O808">
        <v>-463.28683299999921</v>
      </c>
      <c r="P808">
        <v>983.53921367563305</v>
      </c>
      <c r="Q808">
        <v>12.041027</v>
      </c>
      <c r="R808">
        <v>-2.23317086414185</v>
      </c>
      <c r="S808">
        <v>-203.5481710663625</v>
      </c>
      <c r="T808">
        <v>-1197.2109077322509</v>
      </c>
    </row>
    <row r="809" spans="1:20" x14ac:dyDescent="0.25">
      <c r="A809" s="1" t="s">
        <v>41</v>
      </c>
      <c r="B809">
        <v>2015</v>
      </c>
      <c r="C809">
        <v>3248.892296</v>
      </c>
      <c r="D809">
        <v>2857.8611369999999</v>
      </c>
      <c r="E809">
        <v>391.031159</v>
      </c>
      <c r="F809">
        <v>2.5828757122332129</v>
      </c>
      <c r="G809">
        <v>-2.455522878927717</v>
      </c>
      <c r="H809">
        <v>0.12735283330549649</v>
      </c>
      <c r="I809">
        <v>0.16973965830052001</v>
      </c>
      <c r="J809">
        <v>3.7188318045739241E-3</v>
      </c>
      <c r="K809">
        <v>-7.9088988279197485E-4</v>
      </c>
      <c r="L809">
        <v>-0.52000000098806065</v>
      </c>
      <c r="M809">
        <v>8391.4850029999998</v>
      </c>
      <c r="N809">
        <v>-7977.7293639999998</v>
      </c>
      <c r="O809">
        <v>413.75563899999997</v>
      </c>
      <c r="P809">
        <v>551.46586817823197</v>
      </c>
      <c r="Q809">
        <v>12.082084</v>
      </c>
      <c r="R809">
        <v>-2.2602534596776702</v>
      </c>
      <c r="S809">
        <v>-203.33620306636249</v>
      </c>
      <c r="T809">
        <v>-2829.592827058294</v>
      </c>
    </row>
    <row r="810" spans="1:20" x14ac:dyDescent="0.25">
      <c r="A810" s="1" t="s">
        <v>41</v>
      </c>
      <c r="B810">
        <v>2016</v>
      </c>
      <c r="C810">
        <v>3247.5691360000001</v>
      </c>
      <c r="D810">
        <v>2856.9108160000001</v>
      </c>
      <c r="E810">
        <v>390.65832</v>
      </c>
      <c r="F810">
        <v>2.7437813671844178</v>
      </c>
      <c r="G810">
        <v>-2.543075769026522</v>
      </c>
      <c r="H810">
        <v>0.2007055981578956</v>
      </c>
      <c r="I810">
        <v>0.20009296993646111</v>
      </c>
      <c r="J810">
        <v>3.5202305235850721E-3</v>
      </c>
      <c r="K810">
        <v>-8.0143866950316788E-4</v>
      </c>
      <c r="L810">
        <v>-0.51999999913880834</v>
      </c>
      <c r="M810">
        <v>8910.6196839999993</v>
      </c>
      <c r="N810">
        <v>-8258.8143779999991</v>
      </c>
      <c r="O810">
        <v>651.8053060000002</v>
      </c>
      <c r="P810">
        <v>649.81575349622699</v>
      </c>
      <c r="Q810">
        <v>11.432192000000001</v>
      </c>
      <c r="R810">
        <v>-2.2896388032642498</v>
      </c>
      <c r="S810">
        <v>-203.14232606356831</v>
      </c>
      <c r="T810">
        <v>-4061.2780509748159</v>
      </c>
    </row>
    <row r="811" spans="1:20" x14ac:dyDescent="0.25">
      <c r="A811" s="1" t="s">
        <v>41</v>
      </c>
      <c r="B811">
        <v>2017</v>
      </c>
      <c r="C811">
        <v>3246.245973</v>
      </c>
      <c r="D811">
        <v>2855.960493</v>
      </c>
      <c r="E811">
        <v>390.28548000000001</v>
      </c>
      <c r="F811">
        <v>2.9148215537886468</v>
      </c>
      <c r="G811">
        <v>-2.560601780375316</v>
      </c>
      <c r="H811">
        <v>0.35421977341333127</v>
      </c>
      <c r="I811">
        <v>0.1942484226131006</v>
      </c>
      <c r="J811">
        <v>3.3214670390597661E-3</v>
      </c>
      <c r="K811">
        <v>-8.1105057250162728E-4</v>
      </c>
      <c r="L811">
        <v>-0.51999999976037137</v>
      </c>
      <c r="M811">
        <v>9462.227730999999</v>
      </c>
      <c r="N811">
        <v>-8312.343218</v>
      </c>
      <c r="O811">
        <v>1149.8845129999991</v>
      </c>
      <c r="P811">
        <v>630.57815966938006</v>
      </c>
      <c r="Q811">
        <v>10.782299</v>
      </c>
      <c r="R811">
        <v>-2.3163283928896798</v>
      </c>
      <c r="S811">
        <v>-202.94844950647641</v>
      </c>
      <c r="T811">
        <v>-5815.2607104905755</v>
      </c>
    </row>
    <row r="812" spans="1:20" x14ac:dyDescent="0.25">
      <c r="A812" s="1" t="s">
        <v>41</v>
      </c>
      <c r="B812">
        <v>2018</v>
      </c>
      <c r="C812">
        <v>3244.9228119999998</v>
      </c>
      <c r="D812">
        <v>2855.0101709999999</v>
      </c>
      <c r="E812">
        <v>389.91264100000001</v>
      </c>
      <c r="F812">
        <v>2.9059711319259569</v>
      </c>
      <c r="G812">
        <v>-2.5898561370771991</v>
      </c>
      <c r="H812">
        <v>0.31611499484875832</v>
      </c>
      <c r="I812">
        <v>0.17987819831503099</v>
      </c>
      <c r="J812">
        <v>3.1225414553867049E-3</v>
      </c>
      <c r="K812">
        <v>-8.2187480555573475E-4</v>
      </c>
      <c r="L812">
        <v>-0.52000000023788373</v>
      </c>
      <c r="M812">
        <v>9429.6520169999985</v>
      </c>
      <c r="N812">
        <v>-8403.8832590000002</v>
      </c>
      <c r="O812">
        <v>1025.7687579999979</v>
      </c>
      <c r="P812">
        <v>583.69086909390398</v>
      </c>
      <c r="Q812">
        <v>10.132406</v>
      </c>
      <c r="R812">
        <v>-2.34646092915027</v>
      </c>
      <c r="S812">
        <v>-202.7545734127539</v>
      </c>
      <c r="T812">
        <v>-5186.4669954244646</v>
      </c>
    </row>
    <row r="813" spans="1:20" x14ac:dyDescent="0.25">
      <c r="A813" s="1" t="s">
        <v>41</v>
      </c>
      <c r="B813">
        <v>2019</v>
      </c>
      <c r="C813">
        <v>3253.5087010000002</v>
      </c>
      <c r="D813">
        <v>2869.0706839999998</v>
      </c>
      <c r="E813">
        <v>384.438017</v>
      </c>
      <c r="F813">
        <v>2.9239821064796958</v>
      </c>
      <c r="G813">
        <v>-2.4960635926696422</v>
      </c>
      <c r="H813">
        <v>0.42791851381005402</v>
      </c>
      <c r="I813">
        <v>0.13997004337502769</v>
      </c>
      <c r="J813">
        <v>3.2724489093044532E-3</v>
      </c>
      <c r="K813">
        <v>-9.7760493091674904E-4</v>
      </c>
      <c r="L813">
        <v>-0.51999999917314121</v>
      </c>
      <c r="M813">
        <v>9513.2012249999989</v>
      </c>
      <c r="N813">
        <v>-8120.9646169999996</v>
      </c>
      <c r="O813">
        <v>1392.236607999999</v>
      </c>
      <c r="P813">
        <v>455.393754</v>
      </c>
      <c r="Q813">
        <v>10.646941</v>
      </c>
      <c r="R813">
        <v>-2.8048176478270901</v>
      </c>
      <c r="S813">
        <v>-199.907768522124</v>
      </c>
      <c r="T813">
        <v>-6070.4039617107273</v>
      </c>
    </row>
    <row r="814" spans="1:20" x14ac:dyDescent="0.25">
      <c r="A814" s="1" t="s">
        <v>41</v>
      </c>
      <c r="B814">
        <v>2020</v>
      </c>
      <c r="C814">
        <v>3262.0945879999999</v>
      </c>
      <c r="D814">
        <v>2880.7078689999998</v>
      </c>
      <c r="E814">
        <v>381.38671900000003</v>
      </c>
      <c r="F814">
        <v>2.834722432640878</v>
      </c>
      <c r="G814">
        <v>-2.5910639575237231</v>
      </c>
      <c r="H814">
        <v>0.24365847511715399</v>
      </c>
      <c r="I814">
        <v>0.1109199811027908</v>
      </c>
      <c r="J814">
        <v>3.4215669407805659E-3</v>
      </c>
      <c r="K814">
        <v>-1.133403965126976E-3</v>
      </c>
      <c r="L814">
        <v>-0.51999999938100816</v>
      </c>
      <c r="M814">
        <v>9247.1327060000003</v>
      </c>
      <c r="N814">
        <v>-8452.2957129999995</v>
      </c>
      <c r="O814">
        <v>794.8369930000008</v>
      </c>
      <c r="P814">
        <v>361.83147005647601</v>
      </c>
      <c r="Q814">
        <v>11.161474999999999</v>
      </c>
      <c r="R814">
        <v>-3.2650057210970802</v>
      </c>
      <c r="S814">
        <v>-198.32109364392471</v>
      </c>
      <c r="T814">
        <v>-3542.8940752023241</v>
      </c>
    </row>
    <row r="815" spans="1:20" x14ac:dyDescent="0.25">
      <c r="A815" s="1" t="s">
        <v>41</v>
      </c>
      <c r="B815">
        <v>2021</v>
      </c>
      <c r="C815">
        <v>3270.6804750000001</v>
      </c>
      <c r="D815">
        <v>2891.409619</v>
      </c>
      <c r="E815">
        <v>379.27085599999998</v>
      </c>
      <c r="F815">
        <v>2.7414840060155981</v>
      </c>
      <c r="G815">
        <v>-2.59428684240395</v>
      </c>
      <c r="H815">
        <v>0.14719716361164881</v>
      </c>
      <c r="I815">
        <v>5.8568125276246677E-2</v>
      </c>
      <c r="J815">
        <v>3.6865322345497531E-3</v>
      </c>
      <c r="K815">
        <v>-1.27686302903266E-3</v>
      </c>
      <c r="L815">
        <v>-0.51999999903313132</v>
      </c>
      <c r="M815">
        <v>8966.5182110000005</v>
      </c>
      <c r="N815">
        <v>-8485.0833220000004</v>
      </c>
      <c r="O815">
        <v>481.43488900000011</v>
      </c>
      <c r="P815">
        <v>191.55762379837401</v>
      </c>
      <c r="Q815">
        <v>12.057468999999999</v>
      </c>
      <c r="R815">
        <v>-3.6919340442905102</v>
      </c>
      <c r="S815">
        <v>-197.2208447532949</v>
      </c>
      <c r="T815">
        <v>-1775.1697443363871</v>
      </c>
    </row>
    <row r="816" spans="1:20" x14ac:dyDescent="0.25">
      <c r="A816" s="1" t="s">
        <v>41</v>
      </c>
      <c r="B816">
        <v>2022</v>
      </c>
      <c r="C816">
        <v>3281.9908500000001</v>
      </c>
      <c r="D816">
        <v>2912.6717100000001</v>
      </c>
      <c r="E816">
        <v>369.31914</v>
      </c>
      <c r="F816">
        <v>2.6675074246474511</v>
      </c>
      <c r="G816">
        <v>-2.7623614627079172</v>
      </c>
      <c r="H816">
        <v>-9.4854038060465939E-2</v>
      </c>
      <c r="I816">
        <v>0.1230688366611994</v>
      </c>
      <c r="J816">
        <v>4.0775503685514542E-3</v>
      </c>
      <c r="K816">
        <v>-1.485245963685372E-3</v>
      </c>
      <c r="L816">
        <v>-0.52000000053760376</v>
      </c>
      <c r="M816">
        <v>8754.7349599999998</v>
      </c>
      <c r="N816">
        <v>-9066.0450450000008</v>
      </c>
      <c r="O816">
        <v>-311.31008500000098</v>
      </c>
      <c r="P816">
        <v>403.91079584220103</v>
      </c>
      <c r="Q816">
        <v>13.382483000000001</v>
      </c>
      <c r="R816">
        <v>-4.3260339008180697</v>
      </c>
      <c r="S816">
        <v>-192.04595299854739</v>
      </c>
      <c r="T816">
        <v>331.42557454297008</v>
      </c>
    </row>
    <row r="817" spans="1:20" x14ac:dyDescent="0.25">
      <c r="A817" s="1" t="s">
        <v>41</v>
      </c>
      <c r="B817">
        <v>2023</v>
      </c>
      <c r="C817">
        <v>3289.1398239999999</v>
      </c>
      <c r="D817">
        <v>2975.0619780000002</v>
      </c>
      <c r="E817">
        <v>314.07784600000002</v>
      </c>
      <c r="F817">
        <v>2.732831204806816</v>
      </c>
      <c r="G817">
        <v>-2.802099317198258</v>
      </c>
      <c r="H817">
        <v>-6.9268112391442371E-2</v>
      </c>
      <c r="I817">
        <v>0.13888330367313689</v>
      </c>
      <c r="J817">
        <v>4.2963801346743843E-3</v>
      </c>
      <c r="K817">
        <v>-1.5824442477624951E-3</v>
      </c>
      <c r="L817">
        <v>-0.52000000025471405</v>
      </c>
      <c r="M817">
        <v>8988.6639479999994</v>
      </c>
      <c r="N817">
        <v>-9216.4964550000004</v>
      </c>
      <c r="O817">
        <v>-227.83250700000099</v>
      </c>
      <c r="P817">
        <v>456.80660499999999</v>
      </c>
      <c r="Q817">
        <v>14.131394999999999</v>
      </c>
      <c r="R817">
        <v>-4.7078697138230101</v>
      </c>
      <c r="S817">
        <v>-163.32048</v>
      </c>
      <c r="T817">
        <v>-275.2828587160036</v>
      </c>
    </row>
    <row r="818" spans="1:20" x14ac:dyDescent="0.25">
      <c r="A818" s="1" t="s">
        <v>103</v>
      </c>
      <c r="B818">
        <v>1990</v>
      </c>
      <c r="C818" t="s">
        <v>96</v>
      </c>
      <c r="D818" t="s">
        <v>96</v>
      </c>
      <c r="E818" t="s">
        <v>96</v>
      </c>
      <c r="F818" t="s">
        <v>96</v>
      </c>
      <c r="G818" t="s">
        <v>96</v>
      </c>
      <c r="H818" t="s">
        <v>96</v>
      </c>
      <c r="I818" t="s">
        <v>96</v>
      </c>
      <c r="J818" t="s">
        <v>96</v>
      </c>
      <c r="K818" t="s">
        <v>96</v>
      </c>
      <c r="L818" t="s">
        <v>96</v>
      </c>
      <c r="M818" t="s">
        <v>96</v>
      </c>
      <c r="N818" t="s">
        <v>96</v>
      </c>
      <c r="O818" t="s">
        <v>96</v>
      </c>
      <c r="P818" t="s">
        <v>96</v>
      </c>
      <c r="Q818" t="s">
        <v>96</v>
      </c>
      <c r="R818" t="s">
        <v>96</v>
      </c>
      <c r="S818" t="s">
        <v>96</v>
      </c>
      <c r="T818" t="s">
        <v>96</v>
      </c>
    </row>
    <row r="819" spans="1:20" x14ac:dyDescent="0.25">
      <c r="A819" s="1" t="s">
        <v>103</v>
      </c>
      <c r="B819">
        <v>1991</v>
      </c>
      <c r="C819" t="s">
        <v>96</v>
      </c>
      <c r="D819" t="s">
        <v>96</v>
      </c>
      <c r="E819" t="s">
        <v>96</v>
      </c>
      <c r="F819" t="s">
        <v>96</v>
      </c>
      <c r="G819" t="s">
        <v>96</v>
      </c>
      <c r="H819" t="s">
        <v>96</v>
      </c>
      <c r="I819" t="s">
        <v>96</v>
      </c>
      <c r="J819" t="s">
        <v>96</v>
      </c>
      <c r="K819" t="s">
        <v>96</v>
      </c>
      <c r="L819" t="s">
        <v>96</v>
      </c>
      <c r="M819" t="s">
        <v>96</v>
      </c>
      <c r="N819" t="s">
        <v>96</v>
      </c>
      <c r="O819" t="s">
        <v>96</v>
      </c>
      <c r="P819" t="s">
        <v>96</v>
      </c>
      <c r="Q819" t="s">
        <v>96</v>
      </c>
      <c r="R819" t="s">
        <v>96</v>
      </c>
      <c r="S819" t="s">
        <v>96</v>
      </c>
      <c r="T819" t="s">
        <v>96</v>
      </c>
    </row>
    <row r="820" spans="1:20" x14ac:dyDescent="0.25">
      <c r="A820" s="1" t="s">
        <v>103</v>
      </c>
      <c r="B820">
        <v>1992</v>
      </c>
      <c r="C820" t="s">
        <v>96</v>
      </c>
      <c r="D820" t="s">
        <v>96</v>
      </c>
      <c r="E820" t="s">
        <v>96</v>
      </c>
      <c r="F820" t="s">
        <v>96</v>
      </c>
      <c r="G820" t="s">
        <v>96</v>
      </c>
      <c r="H820" t="s">
        <v>96</v>
      </c>
      <c r="I820" t="s">
        <v>96</v>
      </c>
      <c r="J820" t="s">
        <v>96</v>
      </c>
      <c r="K820" t="s">
        <v>96</v>
      </c>
      <c r="L820" t="s">
        <v>96</v>
      </c>
      <c r="M820" t="s">
        <v>96</v>
      </c>
      <c r="N820" t="s">
        <v>96</v>
      </c>
      <c r="O820" t="s">
        <v>96</v>
      </c>
      <c r="P820" t="s">
        <v>96</v>
      </c>
      <c r="Q820" t="s">
        <v>96</v>
      </c>
      <c r="R820" t="s">
        <v>96</v>
      </c>
      <c r="S820" t="s">
        <v>96</v>
      </c>
      <c r="T820" t="s">
        <v>96</v>
      </c>
    </row>
    <row r="821" spans="1:20" x14ac:dyDescent="0.25">
      <c r="A821" s="1" t="s">
        <v>103</v>
      </c>
      <c r="B821">
        <v>1993</v>
      </c>
      <c r="C821" t="s">
        <v>96</v>
      </c>
      <c r="D821" t="s">
        <v>96</v>
      </c>
      <c r="E821" t="s">
        <v>96</v>
      </c>
      <c r="F821" t="s">
        <v>96</v>
      </c>
      <c r="G821" t="s">
        <v>96</v>
      </c>
      <c r="H821" t="s">
        <v>96</v>
      </c>
      <c r="I821" t="s">
        <v>96</v>
      </c>
      <c r="J821" t="s">
        <v>96</v>
      </c>
      <c r="K821" t="s">
        <v>96</v>
      </c>
      <c r="L821" t="s">
        <v>96</v>
      </c>
      <c r="M821" t="s">
        <v>96</v>
      </c>
      <c r="N821" t="s">
        <v>96</v>
      </c>
      <c r="O821" t="s">
        <v>96</v>
      </c>
      <c r="P821" t="s">
        <v>96</v>
      </c>
      <c r="Q821" t="s">
        <v>96</v>
      </c>
      <c r="R821" t="s">
        <v>96</v>
      </c>
      <c r="S821" t="s">
        <v>96</v>
      </c>
      <c r="T821" t="s">
        <v>96</v>
      </c>
    </row>
    <row r="822" spans="1:20" x14ac:dyDescent="0.25">
      <c r="A822" s="1" t="s">
        <v>103</v>
      </c>
      <c r="B822">
        <v>1994</v>
      </c>
      <c r="C822" t="s">
        <v>96</v>
      </c>
      <c r="D822" t="s">
        <v>96</v>
      </c>
      <c r="E822" t="s">
        <v>96</v>
      </c>
      <c r="F822" t="s">
        <v>96</v>
      </c>
      <c r="G822" t="s">
        <v>96</v>
      </c>
      <c r="H822" t="s">
        <v>96</v>
      </c>
      <c r="I822" t="s">
        <v>96</v>
      </c>
      <c r="J822" t="s">
        <v>96</v>
      </c>
      <c r="K822" t="s">
        <v>96</v>
      </c>
      <c r="L822" t="s">
        <v>96</v>
      </c>
      <c r="M822" t="s">
        <v>96</v>
      </c>
      <c r="N822" t="s">
        <v>96</v>
      </c>
      <c r="O822" t="s">
        <v>96</v>
      </c>
      <c r="P822" t="s">
        <v>96</v>
      </c>
      <c r="Q822" t="s">
        <v>96</v>
      </c>
      <c r="R822" t="s">
        <v>96</v>
      </c>
      <c r="S822" t="s">
        <v>96</v>
      </c>
      <c r="T822" t="s">
        <v>96</v>
      </c>
    </row>
    <row r="823" spans="1:20" x14ac:dyDescent="0.25">
      <c r="A823" s="1" t="s">
        <v>103</v>
      </c>
      <c r="B823">
        <v>1995</v>
      </c>
      <c r="C823" t="s">
        <v>96</v>
      </c>
      <c r="D823" t="s">
        <v>96</v>
      </c>
      <c r="E823" t="s">
        <v>96</v>
      </c>
      <c r="F823" t="s">
        <v>96</v>
      </c>
      <c r="G823" t="s">
        <v>96</v>
      </c>
      <c r="H823" t="s">
        <v>96</v>
      </c>
      <c r="I823" t="s">
        <v>96</v>
      </c>
      <c r="J823" t="s">
        <v>96</v>
      </c>
      <c r="K823" t="s">
        <v>96</v>
      </c>
      <c r="L823" t="s">
        <v>96</v>
      </c>
      <c r="M823" t="s">
        <v>96</v>
      </c>
      <c r="N823" t="s">
        <v>96</v>
      </c>
      <c r="O823" t="s">
        <v>96</v>
      </c>
      <c r="P823" t="s">
        <v>96</v>
      </c>
      <c r="Q823" t="s">
        <v>96</v>
      </c>
      <c r="R823" t="s">
        <v>96</v>
      </c>
      <c r="S823" t="s">
        <v>96</v>
      </c>
      <c r="T823" t="s">
        <v>96</v>
      </c>
    </row>
    <row r="824" spans="1:20" x14ac:dyDescent="0.25">
      <c r="A824" s="1" t="s">
        <v>103</v>
      </c>
      <c r="B824">
        <v>1996</v>
      </c>
      <c r="C824" t="s">
        <v>96</v>
      </c>
      <c r="D824" t="s">
        <v>96</v>
      </c>
      <c r="E824" t="s">
        <v>96</v>
      </c>
      <c r="F824" t="s">
        <v>96</v>
      </c>
      <c r="G824" t="s">
        <v>96</v>
      </c>
      <c r="H824" t="s">
        <v>96</v>
      </c>
      <c r="I824" t="s">
        <v>96</v>
      </c>
      <c r="J824" t="s">
        <v>96</v>
      </c>
      <c r="K824" t="s">
        <v>96</v>
      </c>
      <c r="L824" t="s">
        <v>96</v>
      </c>
      <c r="M824" t="s">
        <v>96</v>
      </c>
      <c r="N824" t="s">
        <v>96</v>
      </c>
      <c r="O824" t="s">
        <v>96</v>
      </c>
      <c r="P824" t="s">
        <v>96</v>
      </c>
      <c r="Q824" t="s">
        <v>96</v>
      </c>
      <c r="R824" t="s">
        <v>96</v>
      </c>
      <c r="S824" t="s">
        <v>96</v>
      </c>
      <c r="T824" t="s">
        <v>96</v>
      </c>
    </row>
    <row r="825" spans="1:20" x14ac:dyDescent="0.25">
      <c r="A825" s="1" t="s">
        <v>103</v>
      </c>
      <c r="B825">
        <v>1997</v>
      </c>
      <c r="C825" t="s">
        <v>96</v>
      </c>
      <c r="D825" t="s">
        <v>96</v>
      </c>
      <c r="E825" t="s">
        <v>96</v>
      </c>
      <c r="F825" t="s">
        <v>96</v>
      </c>
      <c r="G825" t="s">
        <v>96</v>
      </c>
      <c r="H825" t="s">
        <v>96</v>
      </c>
      <c r="I825" t="s">
        <v>96</v>
      </c>
      <c r="J825" t="s">
        <v>96</v>
      </c>
      <c r="K825" t="s">
        <v>96</v>
      </c>
      <c r="L825" t="s">
        <v>96</v>
      </c>
      <c r="M825" t="s">
        <v>96</v>
      </c>
      <c r="N825" t="s">
        <v>96</v>
      </c>
      <c r="O825" t="s">
        <v>96</v>
      </c>
      <c r="P825" t="s">
        <v>96</v>
      </c>
      <c r="Q825" t="s">
        <v>96</v>
      </c>
      <c r="R825" t="s">
        <v>96</v>
      </c>
      <c r="S825" t="s">
        <v>96</v>
      </c>
      <c r="T825" t="s">
        <v>96</v>
      </c>
    </row>
    <row r="826" spans="1:20" x14ac:dyDescent="0.25">
      <c r="A826" s="1" t="s">
        <v>103</v>
      </c>
      <c r="B826">
        <v>1998</v>
      </c>
      <c r="C826" t="s">
        <v>96</v>
      </c>
      <c r="D826" t="s">
        <v>96</v>
      </c>
      <c r="E826" t="s">
        <v>96</v>
      </c>
      <c r="F826" t="s">
        <v>96</v>
      </c>
      <c r="G826" t="s">
        <v>96</v>
      </c>
      <c r="H826" t="s">
        <v>96</v>
      </c>
      <c r="I826" t="s">
        <v>96</v>
      </c>
      <c r="J826" t="s">
        <v>96</v>
      </c>
      <c r="K826" t="s">
        <v>96</v>
      </c>
      <c r="L826" t="s">
        <v>96</v>
      </c>
      <c r="M826" t="s">
        <v>96</v>
      </c>
      <c r="N826" t="s">
        <v>96</v>
      </c>
      <c r="O826" t="s">
        <v>96</v>
      </c>
      <c r="P826" t="s">
        <v>96</v>
      </c>
      <c r="Q826" t="s">
        <v>96</v>
      </c>
      <c r="R826" t="s">
        <v>96</v>
      </c>
      <c r="S826" t="s">
        <v>96</v>
      </c>
      <c r="T826" t="s">
        <v>96</v>
      </c>
    </row>
    <row r="827" spans="1:20" x14ac:dyDescent="0.25">
      <c r="A827" s="1" t="s">
        <v>103</v>
      </c>
      <c r="B827">
        <v>1999</v>
      </c>
      <c r="C827" t="s">
        <v>96</v>
      </c>
      <c r="D827" t="s">
        <v>96</v>
      </c>
      <c r="E827" t="s">
        <v>96</v>
      </c>
      <c r="F827" t="s">
        <v>96</v>
      </c>
      <c r="G827" t="s">
        <v>96</v>
      </c>
      <c r="H827" t="s">
        <v>96</v>
      </c>
      <c r="I827" t="s">
        <v>96</v>
      </c>
      <c r="J827" t="s">
        <v>96</v>
      </c>
      <c r="K827" t="s">
        <v>96</v>
      </c>
      <c r="L827" t="s">
        <v>96</v>
      </c>
      <c r="M827" t="s">
        <v>96</v>
      </c>
      <c r="N827" t="s">
        <v>96</v>
      </c>
      <c r="O827" t="s">
        <v>96</v>
      </c>
      <c r="P827" t="s">
        <v>96</v>
      </c>
      <c r="Q827" t="s">
        <v>96</v>
      </c>
      <c r="R827" t="s">
        <v>96</v>
      </c>
      <c r="S827" t="s">
        <v>96</v>
      </c>
      <c r="T827" t="s">
        <v>96</v>
      </c>
    </row>
    <row r="828" spans="1:20" x14ac:dyDescent="0.25">
      <c r="A828" s="1" t="s">
        <v>103</v>
      </c>
      <c r="B828">
        <v>2000</v>
      </c>
      <c r="C828" t="s">
        <v>96</v>
      </c>
      <c r="D828" t="s">
        <v>96</v>
      </c>
      <c r="E828" t="s">
        <v>96</v>
      </c>
      <c r="F828" t="s">
        <v>96</v>
      </c>
      <c r="G828" t="s">
        <v>96</v>
      </c>
      <c r="H828" t="s">
        <v>96</v>
      </c>
      <c r="I828" t="s">
        <v>96</v>
      </c>
      <c r="J828" t="s">
        <v>96</v>
      </c>
      <c r="K828" t="s">
        <v>96</v>
      </c>
      <c r="L828" t="s">
        <v>96</v>
      </c>
      <c r="M828" t="s">
        <v>96</v>
      </c>
      <c r="N828" t="s">
        <v>96</v>
      </c>
      <c r="O828" t="s">
        <v>96</v>
      </c>
      <c r="P828" t="s">
        <v>96</v>
      </c>
      <c r="Q828" t="s">
        <v>96</v>
      </c>
      <c r="R828" t="s">
        <v>96</v>
      </c>
      <c r="S828" t="s">
        <v>96</v>
      </c>
      <c r="T828" t="s">
        <v>96</v>
      </c>
    </row>
    <row r="829" spans="1:20" x14ac:dyDescent="0.25">
      <c r="A829" s="1" t="s">
        <v>103</v>
      </c>
      <c r="B829">
        <v>2001</v>
      </c>
      <c r="C829" t="s">
        <v>96</v>
      </c>
      <c r="D829" t="s">
        <v>96</v>
      </c>
      <c r="E829" t="s">
        <v>96</v>
      </c>
      <c r="F829" t="s">
        <v>96</v>
      </c>
      <c r="G829" t="s">
        <v>96</v>
      </c>
      <c r="H829" t="s">
        <v>96</v>
      </c>
      <c r="I829" t="s">
        <v>96</v>
      </c>
      <c r="J829" t="s">
        <v>96</v>
      </c>
      <c r="K829" t="s">
        <v>96</v>
      </c>
      <c r="L829" t="s">
        <v>96</v>
      </c>
      <c r="M829" t="s">
        <v>96</v>
      </c>
      <c r="N829" t="s">
        <v>96</v>
      </c>
      <c r="O829" t="s">
        <v>96</v>
      </c>
      <c r="P829" t="s">
        <v>96</v>
      </c>
      <c r="Q829" t="s">
        <v>96</v>
      </c>
      <c r="R829" t="s">
        <v>96</v>
      </c>
      <c r="S829" t="s">
        <v>96</v>
      </c>
      <c r="T829" t="s">
        <v>96</v>
      </c>
    </row>
    <row r="830" spans="1:20" x14ac:dyDescent="0.25">
      <c r="A830" s="1" t="s">
        <v>103</v>
      </c>
      <c r="B830">
        <v>2002</v>
      </c>
      <c r="C830" t="s">
        <v>96</v>
      </c>
      <c r="D830" t="s">
        <v>96</v>
      </c>
      <c r="E830" t="s">
        <v>96</v>
      </c>
      <c r="F830" t="s">
        <v>96</v>
      </c>
      <c r="G830" t="s">
        <v>96</v>
      </c>
      <c r="H830" t="s">
        <v>96</v>
      </c>
      <c r="I830" t="s">
        <v>96</v>
      </c>
      <c r="J830" t="s">
        <v>96</v>
      </c>
      <c r="K830" t="s">
        <v>96</v>
      </c>
      <c r="L830" t="s">
        <v>96</v>
      </c>
      <c r="M830" t="s">
        <v>96</v>
      </c>
      <c r="N830" t="s">
        <v>96</v>
      </c>
      <c r="O830" t="s">
        <v>96</v>
      </c>
      <c r="P830" t="s">
        <v>96</v>
      </c>
      <c r="Q830" t="s">
        <v>96</v>
      </c>
      <c r="R830" t="s">
        <v>96</v>
      </c>
      <c r="S830" t="s">
        <v>96</v>
      </c>
      <c r="T830" t="s">
        <v>96</v>
      </c>
    </row>
    <row r="831" spans="1:20" x14ac:dyDescent="0.25">
      <c r="A831" s="1" t="s">
        <v>103</v>
      </c>
      <c r="B831">
        <v>2003</v>
      </c>
      <c r="C831" t="s">
        <v>96</v>
      </c>
      <c r="D831" t="s">
        <v>96</v>
      </c>
      <c r="E831" t="s">
        <v>96</v>
      </c>
      <c r="F831" t="s">
        <v>96</v>
      </c>
      <c r="G831" t="s">
        <v>96</v>
      </c>
      <c r="H831" t="s">
        <v>96</v>
      </c>
      <c r="I831" t="s">
        <v>96</v>
      </c>
      <c r="J831" t="s">
        <v>96</v>
      </c>
      <c r="K831" t="s">
        <v>96</v>
      </c>
      <c r="L831" t="s">
        <v>96</v>
      </c>
      <c r="M831" t="s">
        <v>96</v>
      </c>
      <c r="N831" t="s">
        <v>96</v>
      </c>
      <c r="O831" t="s">
        <v>96</v>
      </c>
      <c r="P831" t="s">
        <v>96</v>
      </c>
      <c r="Q831" t="s">
        <v>96</v>
      </c>
      <c r="R831" t="s">
        <v>96</v>
      </c>
      <c r="S831" t="s">
        <v>96</v>
      </c>
      <c r="T831" t="s">
        <v>96</v>
      </c>
    </row>
    <row r="832" spans="1:20" x14ac:dyDescent="0.25">
      <c r="A832" s="1" t="s">
        <v>103</v>
      </c>
      <c r="B832">
        <v>2004</v>
      </c>
      <c r="C832" t="s">
        <v>96</v>
      </c>
      <c r="D832" t="s">
        <v>96</v>
      </c>
      <c r="E832" t="s">
        <v>96</v>
      </c>
      <c r="F832" t="s">
        <v>96</v>
      </c>
      <c r="G832" t="s">
        <v>96</v>
      </c>
      <c r="H832" t="s">
        <v>96</v>
      </c>
      <c r="I832" t="s">
        <v>96</v>
      </c>
      <c r="J832" t="s">
        <v>96</v>
      </c>
      <c r="K832" t="s">
        <v>96</v>
      </c>
      <c r="L832" t="s">
        <v>96</v>
      </c>
      <c r="M832" t="s">
        <v>96</v>
      </c>
      <c r="N832" t="s">
        <v>96</v>
      </c>
      <c r="O832" t="s">
        <v>96</v>
      </c>
      <c r="P832" t="s">
        <v>96</v>
      </c>
      <c r="Q832" t="s">
        <v>96</v>
      </c>
      <c r="R832" t="s">
        <v>96</v>
      </c>
      <c r="S832" t="s">
        <v>96</v>
      </c>
      <c r="T832" t="s">
        <v>96</v>
      </c>
    </row>
    <row r="833" spans="1:20" x14ac:dyDescent="0.25">
      <c r="A833" s="1" t="s">
        <v>103</v>
      </c>
      <c r="B833">
        <v>2005</v>
      </c>
      <c r="C833" t="s">
        <v>96</v>
      </c>
      <c r="D833" t="s">
        <v>96</v>
      </c>
      <c r="E833" t="s">
        <v>96</v>
      </c>
      <c r="F833" t="s">
        <v>96</v>
      </c>
      <c r="G833" t="s">
        <v>96</v>
      </c>
      <c r="H833" t="s">
        <v>96</v>
      </c>
      <c r="I833" t="s">
        <v>96</v>
      </c>
      <c r="J833" t="s">
        <v>96</v>
      </c>
      <c r="K833" t="s">
        <v>96</v>
      </c>
      <c r="L833" t="s">
        <v>96</v>
      </c>
      <c r="M833" t="s">
        <v>96</v>
      </c>
      <c r="N833" t="s">
        <v>96</v>
      </c>
      <c r="O833" t="s">
        <v>96</v>
      </c>
      <c r="P833" t="s">
        <v>96</v>
      </c>
      <c r="Q833" t="s">
        <v>96</v>
      </c>
      <c r="R833" t="s">
        <v>96</v>
      </c>
      <c r="S833" t="s">
        <v>96</v>
      </c>
      <c r="T833" t="s">
        <v>96</v>
      </c>
    </row>
    <row r="834" spans="1:20" x14ac:dyDescent="0.25">
      <c r="A834" s="1" t="s">
        <v>103</v>
      </c>
      <c r="B834">
        <v>2006</v>
      </c>
      <c r="C834" t="s">
        <v>96</v>
      </c>
      <c r="D834" t="s">
        <v>96</v>
      </c>
      <c r="E834" t="s">
        <v>96</v>
      </c>
      <c r="F834" t="s">
        <v>96</v>
      </c>
      <c r="G834" t="s">
        <v>96</v>
      </c>
      <c r="H834" t="s">
        <v>96</v>
      </c>
      <c r="I834" t="s">
        <v>96</v>
      </c>
      <c r="J834" t="s">
        <v>96</v>
      </c>
      <c r="K834" t="s">
        <v>96</v>
      </c>
      <c r="L834" t="s">
        <v>96</v>
      </c>
      <c r="M834" t="s">
        <v>96</v>
      </c>
      <c r="N834" t="s">
        <v>96</v>
      </c>
      <c r="O834" t="s">
        <v>96</v>
      </c>
      <c r="P834" t="s">
        <v>96</v>
      </c>
      <c r="Q834" t="s">
        <v>96</v>
      </c>
      <c r="R834" t="s">
        <v>96</v>
      </c>
      <c r="S834" t="s">
        <v>96</v>
      </c>
      <c r="T834" t="s">
        <v>96</v>
      </c>
    </row>
    <row r="835" spans="1:20" x14ac:dyDescent="0.25">
      <c r="A835" s="1" t="s">
        <v>103</v>
      </c>
      <c r="B835">
        <v>2007</v>
      </c>
      <c r="C835" t="s">
        <v>96</v>
      </c>
      <c r="D835" t="s">
        <v>96</v>
      </c>
      <c r="E835" t="s">
        <v>96</v>
      </c>
      <c r="F835" t="s">
        <v>96</v>
      </c>
      <c r="G835" t="s">
        <v>96</v>
      </c>
      <c r="H835" t="s">
        <v>96</v>
      </c>
      <c r="I835" t="s">
        <v>96</v>
      </c>
      <c r="J835" t="s">
        <v>96</v>
      </c>
      <c r="K835" t="s">
        <v>96</v>
      </c>
      <c r="L835" t="s">
        <v>96</v>
      </c>
      <c r="M835" t="s">
        <v>96</v>
      </c>
      <c r="N835" t="s">
        <v>96</v>
      </c>
      <c r="O835" t="s">
        <v>96</v>
      </c>
      <c r="P835" t="s">
        <v>96</v>
      </c>
      <c r="Q835" t="s">
        <v>96</v>
      </c>
      <c r="R835" t="s">
        <v>96</v>
      </c>
      <c r="S835" t="s">
        <v>96</v>
      </c>
      <c r="T835" t="s">
        <v>96</v>
      </c>
    </row>
    <row r="836" spans="1:20" x14ac:dyDescent="0.25">
      <c r="A836" s="1" t="s">
        <v>103</v>
      </c>
      <c r="B836">
        <v>2008</v>
      </c>
      <c r="C836" t="s">
        <v>96</v>
      </c>
      <c r="D836" t="s">
        <v>96</v>
      </c>
      <c r="E836" t="s">
        <v>96</v>
      </c>
      <c r="F836" t="s">
        <v>96</v>
      </c>
      <c r="G836" t="s">
        <v>96</v>
      </c>
      <c r="H836" t="s">
        <v>96</v>
      </c>
      <c r="I836" t="s">
        <v>96</v>
      </c>
      <c r="J836" t="s">
        <v>96</v>
      </c>
      <c r="K836" t="s">
        <v>96</v>
      </c>
      <c r="L836" t="s">
        <v>96</v>
      </c>
      <c r="M836" t="s">
        <v>96</v>
      </c>
      <c r="N836" t="s">
        <v>96</v>
      </c>
      <c r="O836" t="s">
        <v>96</v>
      </c>
      <c r="P836" t="s">
        <v>96</v>
      </c>
      <c r="Q836" t="s">
        <v>96</v>
      </c>
      <c r="R836" t="s">
        <v>96</v>
      </c>
      <c r="S836" t="s">
        <v>96</v>
      </c>
      <c r="T836" t="s">
        <v>96</v>
      </c>
    </row>
    <row r="837" spans="1:20" x14ac:dyDescent="0.25">
      <c r="A837" s="1" t="s">
        <v>103</v>
      </c>
      <c r="B837">
        <v>2009</v>
      </c>
      <c r="C837" t="s">
        <v>96</v>
      </c>
      <c r="D837" t="s">
        <v>96</v>
      </c>
      <c r="E837" t="s">
        <v>96</v>
      </c>
      <c r="F837" t="s">
        <v>96</v>
      </c>
      <c r="G837" t="s">
        <v>96</v>
      </c>
      <c r="H837" t="s">
        <v>96</v>
      </c>
      <c r="I837" t="s">
        <v>96</v>
      </c>
      <c r="J837" t="s">
        <v>96</v>
      </c>
      <c r="K837" t="s">
        <v>96</v>
      </c>
      <c r="L837" t="s">
        <v>96</v>
      </c>
      <c r="M837" t="s">
        <v>96</v>
      </c>
      <c r="N837" t="s">
        <v>96</v>
      </c>
      <c r="O837" t="s">
        <v>96</v>
      </c>
      <c r="P837" t="s">
        <v>96</v>
      </c>
      <c r="Q837" t="s">
        <v>96</v>
      </c>
      <c r="R837" t="s">
        <v>96</v>
      </c>
      <c r="S837" t="s">
        <v>96</v>
      </c>
      <c r="T837" t="s">
        <v>96</v>
      </c>
    </row>
    <row r="838" spans="1:20" x14ac:dyDescent="0.25">
      <c r="A838" s="1" t="s">
        <v>103</v>
      </c>
      <c r="B838">
        <v>2010</v>
      </c>
      <c r="C838" t="s">
        <v>96</v>
      </c>
      <c r="D838" t="s">
        <v>96</v>
      </c>
      <c r="E838" t="s">
        <v>96</v>
      </c>
      <c r="F838" t="s">
        <v>96</v>
      </c>
      <c r="G838" t="s">
        <v>96</v>
      </c>
      <c r="H838" t="s">
        <v>96</v>
      </c>
      <c r="I838" t="s">
        <v>96</v>
      </c>
      <c r="J838" t="s">
        <v>96</v>
      </c>
      <c r="K838" t="s">
        <v>96</v>
      </c>
      <c r="L838" t="s">
        <v>96</v>
      </c>
      <c r="M838" t="s">
        <v>96</v>
      </c>
      <c r="N838" t="s">
        <v>96</v>
      </c>
      <c r="O838" t="s">
        <v>96</v>
      </c>
      <c r="P838" t="s">
        <v>96</v>
      </c>
      <c r="Q838" t="s">
        <v>96</v>
      </c>
      <c r="R838" t="s">
        <v>96</v>
      </c>
      <c r="S838" t="s">
        <v>96</v>
      </c>
      <c r="T838" t="s">
        <v>96</v>
      </c>
    </row>
    <row r="839" spans="1:20" x14ac:dyDescent="0.25">
      <c r="A839" s="1" t="s">
        <v>103</v>
      </c>
      <c r="B839">
        <v>2011</v>
      </c>
      <c r="C839" t="s">
        <v>96</v>
      </c>
      <c r="D839" t="s">
        <v>96</v>
      </c>
      <c r="E839" t="s">
        <v>96</v>
      </c>
      <c r="F839" t="s">
        <v>96</v>
      </c>
      <c r="G839" t="s">
        <v>96</v>
      </c>
      <c r="H839" t="s">
        <v>96</v>
      </c>
      <c r="I839" t="s">
        <v>96</v>
      </c>
      <c r="J839" t="s">
        <v>96</v>
      </c>
      <c r="K839" t="s">
        <v>96</v>
      </c>
      <c r="L839" t="s">
        <v>96</v>
      </c>
      <c r="M839" t="s">
        <v>96</v>
      </c>
      <c r="N839" t="s">
        <v>96</v>
      </c>
      <c r="O839" t="s">
        <v>96</v>
      </c>
      <c r="P839" t="s">
        <v>96</v>
      </c>
      <c r="Q839" t="s">
        <v>96</v>
      </c>
      <c r="R839" t="s">
        <v>96</v>
      </c>
      <c r="S839" t="s">
        <v>96</v>
      </c>
      <c r="T839" t="s">
        <v>96</v>
      </c>
    </row>
    <row r="840" spans="1:20" x14ac:dyDescent="0.25">
      <c r="A840" s="1" t="s">
        <v>103</v>
      </c>
      <c r="B840">
        <v>2012</v>
      </c>
      <c r="C840" t="s">
        <v>96</v>
      </c>
      <c r="D840" t="s">
        <v>96</v>
      </c>
      <c r="E840" t="s">
        <v>96</v>
      </c>
      <c r="F840" t="s">
        <v>96</v>
      </c>
      <c r="G840" t="s">
        <v>96</v>
      </c>
      <c r="H840" t="s">
        <v>96</v>
      </c>
      <c r="I840" t="s">
        <v>96</v>
      </c>
      <c r="J840" t="s">
        <v>96</v>
      </c>
      <c r="K840" t="s">
        <v>96</v>
      </c>
      <c r="L840" t="s">
        <v>96</v>
      </c>
      <c r="M840" t="s">
        <v>96</v>
      </c>
      <c r="N840" t="s">
        <v>96</v>
      </c>
      <c r="O840" t="s">
        <v>96</v>
      </c>
      <c r="P840" t="s">
        <v>96</v>
      </c>
      <c r="Q840" t="s">
        <v>96</v>
      </c>
      <c r="R840" t="s">
        <v>96</v>
      </c>
      <c r="S840" t="s">
        <v>96</v>
      </c>
      <c r="T840" t="s">
        <v>96</v>
      </c>
    </row>
    <row r="841" spans="1:20" x14ac:dyDescent="0.25">
      <c r="A841" s="1" t="s">
        <v>103</v>
      </c>
      <c r="B841">
        <v>2013</v>
      </c>
      <c r="C841" t="s">
        <v>96</v>
      </c>
      <c r="D841" t="s">
        <v>96</v>
      </c>
      <c r="E841" t="s">
        <v>96</v>
      </c>
      <c r="F841" t="s">
        <v>96</v>
      </c>
      <c r="G841" t="s">
        <v>96</v>
      </c>
      <c r="H841" t="s">
        <v>96</v>
      </c>
      <c r="I841" t="s">
        <v>96</v>
      </c>
      <c r="J841" t="s">
        <v>96</v>
      </c>
      <c r="K841" t="s">
        <v>96</v>
      </c>
      <c r="L841" t="s">
        <v>96</v>
      </c>
      <c r="M841" t="s">
        <v>96</v>
      </c>
      <c r="N841" t="s">
        <v>96</v>
      </c>
      <c r="O841" t="s">
        <v>96</v>
      </c>
      <c r="P841" t="s">
        <v>96</v>
      </c>
      <c r="Q841" t="s">
        <v>96</v>
      </c>
      <c r="R841" t="s">
        <v>96</v>
      </c>
      <c r="S841" t="s">
        <v>96</v>
      </c>
      <c r="T841" t="s">
        <v>96</v>
      </c>
    </row>
    <row r="842" spans="1:20" x14ac:dyDescent="0.25">
      <c r="A842" s="1" t="s">
        <v>103</v>
      </c>
      <c r="B842">
        <v>2014</v>
      </c>
      <c r="C842" t="s">
        <v>96</v>
      </c>
      <c r="D842" t="s">
        <v>96</v>
      </c>
      <c r="E842" t="s">
        <v>96</v>
      </c>
      <c r="F842" t="s">
        <v>96</v>
      </c>
      <c r="G842" t="s">
        <v>96</v>
      </c>
      <c r="H842" t="s">
        <v>96</v>
      </c>
      <c r="I842" t="s">
        <v>96</v>
      </c>
      <c r="J842" t="s">
        <v>96</v>
      </c>
      <c r="K842" t="s">
        <v>96</v>
      </c>
      <c r="L842" t="s">
        <v>96</v>
      </c>
      <c r="M842" t="s">
        <v>96</v>
      </c>
      <c r="N842" t="s">
        <v>96</v>
      </c>
      <c r="O842" t="s">
        <v>96</v>
      </c>
      <c r="P842" t="s">
        <v>96</v>
      </c>
      <c r="Q842" t="s">
        <v>96</v>
      </c>
      <c r="R842" t="s">
        <v>96</v>
      </c>
      <c r="S842" t="s">
        <v>96</v>
      </c>
      <c r="T842" t="s">
        <v>96</v>
      </c>
    </row>
    <row r="843" spans="1:20" x14ac:dyDescent="0.25">
      <c r="A843" s="1" t="s">
        <v>103</v>
      </c>
      <c r="B843">
        <v>2015</v>
      </c>
      <c r="C843" t="s">
        <v>96</v>
      </c>
      <c r="D843" t="s">
        <v>96</v>
      </c>
      <c r="E843" t="s">
        <v>96</v>
      </c>
      <c r="F843" t="s">
        <v>96</v>
      </c>
      <c r="G843" t="s">
        <v>96</v>
      </c>
      <c r="H843" t="s">
        <v>96</v>
      </c>
      <c r="I843" t="s">
        <v>96</v>
      </c>
      <c r="J843" t="s">
        <v>96</v>
      </c>
      <c r="K843" t="s">
        <v>96</v>
      </c>
      <c r="L843" t="s">
        <v>96</v>
      </c>
      <c r="M843" t="s">
        <v>96</v>
      </c>
      <c r="N843" t="s">
        <v>96</v>
      </c>
      <c r="O843" t="s">
        <v>96</v>
      </c>
      <c r="P843" t="s">
        <v>96</v>
      </c>
      <c r="Q843" t="s">
        <v>96</v>
      </c>
      <c r="R843" t="s">
        <v>96</v>
      </c>
      <c r="S843" t="s">
        <v>96</v>
      </c>
      <c r="T843" t="s">
        <v>96</v>
      </c>
    </row>
    <row r="844" spans="1:20" x14ac:dyDescent="0.25">
      <c r="A844" s="1" t="s">
        <v>103</v>
      </c>
      <c r="B844">
        <v>2016</v>
      </c>
      <c r="C844" t="s">
        <v>96</v>
      </c>
      <c r="D844" t="s">
        <v>96</v>
      </c>
      <c r="E844" t="s">
        <v>96</v>
      </c>
      <c r="F844" t="s">
        <v>96</v>
      </c>
      <c r="G844" t="s">
        <v>96</v>
      </c>
      <c r="H844" t="s">
        <v>96</v>
      </c>
      <c r="I844" t="s">
        <v>96</v>
      </c>
      <c r="J844" t="s">
        <v>96</v>
      </c>
      <c r="K844" t="s">
        <v>96</v>
      </c>
      <c r="L844" t="s">
        <v>96</v>
      </c>
      <c r="M844" t="s">
        <v>96</v>
      </c>
      <c r="N844" t="s">
        <v>96</v>
      </c>
      <c r="O844" t="s">
        <v>96</v>
      </c>
      <c r="P844" t="s">
        <v>96</v>
      </c>
      <c r="Q844" t="s">
        <v>96</v>
      </c>
      <c r="R844" t="s">
        <v>96</v>
      </c>
      <c r="S844" t="s">
        <v>96</v>
      </c>
      <c r="T844" t="s">
        <v>96</v>
      </c>
    </row>
    <row r="845" spans="1:20" x14ac:dyDescent="0.25">
      <c r="A845" s="1" t="s">
        <v>103</v>
      </c>
      <c r="B845">
        <v>2017</v>
      </c>
      <c r="C845" t="s">
        <v>96</v>
      </c>
      <c r="D845" t="s">
        <v>96</v>
      </c>
      <c r="E845" t="s">
        <v>96</v>
      </c>
      <c r="F845" t="s">
        <v>96</v>
      </c>
      <c r="G845" t="s">
        <v>96</v>
      </c>
      <c r="H845" t="s">
        <v>96</v>
      </c>
      <c r="I845" t="s">
        <v>96</v>
      </c>
      <c r="J845" t="s">
        <v>96</v>
      </c>
      <c r="K845" t="s">
        <v>96</v>
      </c>
      <c r="L845" t="s">
        <v>96</v>
      </c>
      <c r="M845" t="s">
        <v>96</v>
      </c>
      <c r="N845" t="s">
        <v>96</v>
      </c>
      <c r="O845" t="s">
        <v>96</v>
      </c>
      <c r="P845" t="s">
        <v>96</v>
      </c>
      <c r="Q845" t="s">
        <v>96</v>
      </c>
      <c r="R845" t="s">
        <v>96</v>
      </c>
      <c r="S845" t="s">
        <v>96</v>
      </c>
      <c r="T845" t="s">
        <v>96</v>
      </c>
    </row>
    <row r="846" spans="1:20" x14ac:dyDescent="0.25">
      <c r="A846" s="1" t="s">
        <v>103</v>
      </c>
      <c r="B846">
        <v>2018</v>
      </c>
      <c r="C846" t="s">
        <v>96</v>
      </c>
      <c r="D846" t="s">
        <v>96</v>
      </c>
      <c r="E846" t="s">
        <v>96</v>
      </c>
      <c r="F846" t="s">
        <v>96</v>
      </c>
      <c r="G846" t="s">
        <v>96</v>
      </c>
      <c r="H846" t="s">
        <v>96</v>
      </c>
      <c r="I846" t="s">
        <v>96</v>
      </c>
      <c r="J846" t="s">
        <v>96</v>
      </c>
      <c r="K846" t="s">
        <v>96</v>
      </c>
      <c r="L846" t="s">
        <v>96</v>
      </c>
      <c r="M846" t="s">
        <v>96</v>
      </c>
      <c r="N846" t="s">
        <v>96</v>
      </c>
      <c r="O846" t="s">
        <v>96</v>
      </c>
      <c r="P846" t="s">
        <v>96</v>
      </c>
      <c r="Q846" t="s">
        <v>96</v>
      </c>
      <c r="R846" t="s">
        <v>96</v>
      </c>
      <c r="S846" t="s">
        <v>96</v>
      </c>
      <c r="T846" t="s">
        <v>96</v>
      </c>
    </row>
    <row r="847" spans="1:20" x14ac:dyDescent="0.25">
      <c r="A847" s="1" t="s">
        <v>103</v>
      </c>
      <c r="B847">
        <v>2019</v>
      </c>
      <c r="C847" t="s">
        <v>96</v>
      </c>
      <c r="D847" t="s">
        <v>96</v>
      </c>
      <c r="E847" t="s">
        <v>96</v>
      </c>
      <c r="F847" t="s">
        <v>96</v>
      </c>
      <c r="G847" t="s">
        <v>96</v>
      </c>
      <c r="H847" t="s">
        <v>96</v>
      </c>
      <c r="I847" t="s">
        <v>96</v>
      </c>
      <c r="J847" t="s">
        <v>96</v>
      </c>
      <c r="K847" t="s">
        <v>96</v>
      </c>
      <c r="L847" t="s">
        <v>96</v>
      </c>
      <c r="M847" t="s">
        <v>96</v>
      </c>
      <c r="N847" t="s">
        <v>96</v>
      </c>
      <c r="O847" t="s">
        <v>96</v>
      </c>
      <c r="P847" t="s">
        <v>96</v>
      </c>
      <c r="Q847" t="s">
        <v>96</v>
      </c>
      <c r="R847" t="s">
        <v>96</v>
      </c>
      <c r="S847" t="s">
        <v>96</v>
      </c>
      <c r="T847" t="s">
        <v>96</v>
      </c>
    </row>
    <row r="848" spans="1:20" x14ac:dyDescent="0.25">
      <c r="A848" s="1" t="s">
        <v>103</v>
      </c>
      <c r="B848">
        <v>2020</v>
      </c>
      <c r="C848" t="s">
        <v>96</v>
      </c>
      <c r="D848" t="s">
        <v>96</v>
      </c>
      <c r="E848" t="s">
        <v>96</v>
      </c>
      <c r="F848" t="s">
        <v>96</v>
      </c>
      <c r="G848" t="s">
        <v>96</v>
      </c>
      <c r="H848" t="s">
        <v>96</v>
      </c>
      <c r="I848" t="s">
        <v>96</v>
      </c>
      <c r="J848" t="s">
        <v>96</v>
      </c>
      <c r="K848" t="s">
        <v>96</v>
      </c>
      <c r="L848" t="s">
        <v>96</v>
      </c>
      <c r="M848" t="s">
        <v>96</v>
      </c>
      <c r="N848" t="s">
        <v>96</v>
      </c>
      <c r="O848" t="s">
        <v>96</v>
      </c>
      <c r="P848" t="s">
        <v>96</v>
      </c>
      <c r="Q848" t="s">
        <v>96</v>
      </c>
      <c r="R848" t="s">
        <v>96</v>
      </c>
      <c r="S848" t="s">
        <v>96</v>
      </c>
      <c r="T848" t="s">
        <v>96</v>
      </c>
    </row>
    <row r="849" spans="1:20" x14ac:dyDescent="0.25">
      <c r="A849" s="1" t="s">
        <v>103</v>
      </c>
      <c r="B849">
        <v>2021</v>
      </c>
      <c r="C849" t="s">
        <v>96</v>
      </c>
      <c r="D849" t="s">
        <v>96</v>
      </c>
      <c r="E849" t="s">
        <v>96</v>
      </c>
      <c r="F849" t="s">
        <v>96</v>
      </c>
      <c r="G849" t="s">
        <v>96</v>
      </c>
      <c r="H849" t="s">
        <v>96</v>
      </c>
      <c r="I849" t="s">
        <v>96</v>
      </c>
      <c r="J849" t="s">
        <v>96</v>
      </c>
      <c r="K849" t="s">
        <v>96</v>
      </c>
      <c r="L849" t="s">
        <v>96</v>
      </c>
      <c r="M849" t="s">
        <v>96</v>
      </c>
      <c r="N849" t="s">
        <v>96</v>
      </c>
      <c r="O849" t="s">
        <v>96</v>
      </c>
      <c r="P849" t="s">
        <v>96</v>
      </c>
      <c r="Q849" t="s">
        <v>96</v>
      </c>
      <c r="R849" t="s">
        <v>96</v>
      </c>
      <c r="S849" t="s">
        <v>96</v>
      </c>
      <c r="T849" t="s">
        <v>96</v>
      </c>
    </row>
    <row r="850" spans="1:20" x14ac:dyDescent="0.25">
      <c r="A850" s="1" t="s">
        <v>103</v>
      </c>
      <c r="B850">
        <v>2022</v>
      </c>
      <c r="C850" t="s">
        <v>96</v>
      </c>
      <c r="D850" t="s">
        <v>96</v>
      </c>
      <c r="E850" t="s">
        <v>96</v>
      </c>
      <c r="F850" t="s">
        <v>96</v>
      </c>
      <c r="G850" t="s">
        <v>96</v>
      </c>
      <c r="H850" t="s">
        <v>96</v>
      </c>
      <c r="I850" t="s">
        <v>96</v>
      </c>
      <c r="J850" t="s">
        <v>96</v>
      </c>
      <c r="K850" t="s">
        <v>96</v>
      </c>
      <c r="L850" t="s">
        <v>96</v>
      </c>
      <c r="M850" t="s">
        <v>96</v>
      </c>
      <c r="N850" t="s">
        <v>96</v>
      </c>
      <c r="O850" t="s">
        <v>96</v>
      </c>
      <c r="P850" t="s">
        <v>96</v>
      </c>
      <c r="Q850" t="s">
        <v>96</v>
      </c>
      <c r="R850" t="s">
        <v>96</v>
      </c>
      <c r="S850" t="s">
        <v>96</v>
      </c>
      <c r="T850" t="s">
        <v>96</v>
      </c>
    </row>
    <row r="851" spans="1:20" x14ac:dyDescent="0.25">
      <c r="A851" s="1" t="s">
        <v>103</v>
      </c>
      <c r="B851">
        <v>2023</v>
      </c>
      <c r="C851" t="s">
        <v>96</v>
      </c>
      <c r="D851" t="s">
        <v>96</v>
      </c>
      <c r="E851" t="s">
        <v>96</v>
      </c>
      <c r="F851" t="s">
        <v>96</v>
      </c>
      <c r="G851" t="s">
        <v>96</v>
      </c>
      <c r="H851" t="s">
        <v>96</v>
      </c>
      <c r="I851" t="s">
        <v>96</v>
      </c>
      <c r="J851" t="s">
        <v>96</v>
      </c>
      <c r="K851" t="s">
        <v>96</v>
      </c>
      <c r="L851" t="s">
        <v>96</v>
      </c>
      <c r="M851" t="s">
        <v>96</v>
      </c>
      <c r="N851" t="s">
        <v>96</v>
      </c>
      <c r="O851" t="s">
        <v>96</v>
      </c>
      <c r="P851" t="s">
        <v>96</v>
      </c>
      <c r="Q851" t="s">
        <v>96</v>
      </c>
      <c r="R851" t="s">
        <v>96</v>
      </c>
      <c r="S851" t="s">
        <v>96</v>
      </c>
      <c r="T851" t="s">
        <v>96</v>
      </c>
    </row>
    <row r="852" spans="1:20" x14ac:dyDescent="0.25">
      <c r="A852" s="1" t="s">
        <v>104</v>
      </c>
      <c r="B852">
        <v>1990</v>
      </c>
      <c r="C852">
        <v>1.4336397000000001</v>
      </c>
      <c r="D852">
        <v>1.4336397000000001</v>
      </c>
      <c r="E852" t="s">
        <v>96</v>
      </c>
      <c r="F852">
        <v>2.5184110066148418E-3</v>
      </c>
      <c r="G852" t="s">
        <v>96</v>
      </c>
      <c r="H852">
        <v>2.5184110066148418E-3</v>
      </c>
      <c r="I852" t="s">
        <v>96</v>
      </c>
      <c r="J852" t="s">
        <v>96</v>
      </c>
      <c r="K852" t="s">
        <v>96</v>
      </c>
      <c r="L852" t="s">
        <v>96</v>
      </c>
      <c r="M852">
        <v>3.6104940000000001E-3</v>
      </c>
      <c r="N852" t="s">
        <v>96</v>
      </c>
      <c r="O852">
        <v>3.6104940000000001E-3</v>
      </c>
      <c r="P852" t="s">
        <v>96</v>
      </c>
      <c r="Q852" t="s">
        <v>96</v>
      </c>
      <c r="R852" t="s">
        <v>96</v>
      </c>
      <c r="S852" t="s">
        <v>96</v>
      </c>
      <c r="T852">
        <v>-1.32384780000012E-2</v>
      </c>
    </row>
    <row r="853" spans="1:20" x14ac:dyDescent="0.25">
      <c r="A853" s="1" t="s">
        <v>104</v>
      </c>
      <c r="B853">
        <v>1991</v>
      </c>
      <c r="C853">
        <v>1.4336397000000001</v>
      </c>
      <c r="D853">
        <v>1.4336397000000001</v>
      </c>
      <c r="E853" t="s">
        <v>96</v>
      </c>
      <c r="F853">
        <v>2.422976498209418E-3</v>
      </c>
      <c r="G853" t="s">
        <v>96</v>
      </c>
      <c r="H853">
        <v>2.422976498209418E-3</v>
      </c>
      <c r="I853" t="s">
        <v>96</v>
      </c>
      <c r="J853" t="s">
        <v>96</v>
      </c>
      <c r="K853" t="s">
        <v>96</v>
      </c>
      <c r="L853" t="s">
        <v>96</v>
      </c>
      <c r="M853">
        <v>3.4736753E-3</v>
      </c>
      <c r="N853" t="s">
        <v>96</v>
      </c>
      <c r="O853">
        <v>3.4736753E-3</v>
      </c>
      <c r="P853" t="s">
        <v>96</v>
      </c>
      <c r="Q853" t="s">
        <v>96</v>
      </c>
      <c r="R853" t="s">
        <v>96</v>
      </c>
      <c r="S853" t="s">
        <v>96</v>
      </c>
      <c r="T853">
        <v>-1.273680943333449E-2</v>
      </c>
    </row>
    <row r="854" spans="1:20" x14ac:dyDescent="0.25">
      <c r="A854" s="1" t="s">
        <v>104</v>
      </c>
      <c r="B854">
        <v>1992</v>
      </c>
      <c r="C854">
        <v>1.4336397000000001</v>
      </c>
      <c r="D854">
        <v>1.4336397000000001</v>
      </c>
      <c r="E854" t="s">
        <v>96</v>
      </c>
      <c r="F854">
        <v>2.3275419898039929E-3</v>
      </c>
      <c r="G854" t="s">
        <v>96</v>
      </c>
      <c r="H854">
        <v>2.3275419898039929E-3</v>
      </c>
      <c r="I854" t="s">
        <v>96</v>
      </c>
      <c r="J854" t="s">
        <v>96</v>
      </c>
      <c r="K854" t="s">
        <v>96</v>
      </c>
      <c r="L854" t="s">
        <v>96</v>
      </c>
      <c r="M854">
        <v>3.3368565999999998E-3</v>
      </c>
      <c r="N854" t="s">
        <v>96</v>
      </c>
      <c r="O854">
        <v>3.3368565999999998E-3</v>
      </c>
      <c r="P854" t="s">
        <v>96</v>
      </c>
      <c r="Q854" t="s">
        <v>96</v>
      </c>
      <c r="R854" t="s">
        <v>96</v>
      </c>
      <c r="S854" t="s">
        <v>96</v>
      </c>
      <c r="T854">
        <v>-1.2235140866667779E-2</v>
      </c>
    </row>
    <row r="855" spans="1:20" x14ac:dyDescent="0.25">
      <c r="A855" s="1" t="s">
        <v>104</v>
      </c>
      <c r="B855">
        <v>1993</v>
      </c>
      <c r="C855">
        <v>1.4336397000000001</v>
      </c>
      <c r="D855">
        <v>1.4336397000000001</v>
      </c>
      <c r="E855" t="s">
        <v>96</v>
      </c>
      <c r="F855">
        <v>2.2321074116460359E-3</v>
      </c>
      <c r="G855" t="s">
        <v>96</v>
      </c>
      <c r="H855">
        <v>2.2321074116460359E-3</v>
      </c>
      <c r="I855" t="s">
        <v>96</v>
      </c>
      <c r="J855" t="s">
        <v>96</v>
      </c>
      <c r="K855" t="s">
        <v>96</v>
      </c>
      <c r="L855" t="s">
        <v>96</v>
      </c>
      <c r="M855">
        <v>3.2000378E-3</v>
      </c>
      <c r="N855" t="s">
        <v>96</v>
      </c>
      <c r="O855">
        <v>3.2000378E-3</v>
      </c>
      <c r="P855" t="s">
        <v>96</v>
      </c>
      <c r="Q855" t="s">
        <v>96</v>
      </c>
      <c r="R855" t="s">
        <v>96</v>
      </c>
      <c r="S855" t="s">
        <v>96</v>
      </c>
      <c r="T855">
        <v>-1.17334719333344E-2</v>
      </c>
    </row>
    <row r="856" spans="1:20" x14ac:dyDescent="0.25">
      <c r="A856" s="1" t="s">
        <v>104</v>
      </c>
      <c r="B856">
        <v>1994</v>
      </c>
      <c r="C856">
        <v>1.4336397000000001</v>
      </c>
      <c r="D856">
        <v>1.4336397000000001</v>
      </c>
      <c r="E856" t="s">
        <v>96</v>
      </c>
      <c r="F856">
        <v>2.1366729032406121E-3</v>
      </c>
      <c r="G856" t="s">
        <v>96</v>
      </c>
      <c r="H856">
        <v>2.1366729032406121E-3</v>
      </c>
      <c r="I856" t="s">
        <v>96</v>
      </c>
      <c r="J856" t="s">
        <v>96</v>
      </c>
      <c r="K856" t="s">
        <v>96</v>
      </c>
      <c r="L856" t="s">
        <v>96</v>
      </c>
      <c r="M856">
        <v>3.0632190999999999E-3</v>
      </c>
      <c r="N856" t="s">
        <v>96</v>
      </c>
      <c r="O856">
        <v>3.0632190999999999E-3</v>
      </c>
      <c r="P856" t="s">
        <v>96</v>
      </c>
      <c r="Q856" t="s">
        <v>96</v>
      </c>
      <c r="R856" t="s">
        <v>96</v>
      </c>
      <c r="S856" t="s">
        <v>96</v>
      </c>
      <c r="T856">
        <v>-1.123180336666769E-2</v>
      </c>
    </row>
    <row r="857" spans="1:20" x14ac:dyDescent="0.25">
      <c r="A857" s="1" t="s">
        <v>104</v>
      </c>
      <c r="B857">
        <v>1995</v>
      </c>
      <c r="C857">
        <v>1.4336397000000001</v>
      </c>
      <c r="D857">
        <v>1.4336397000000001</v>
      </c>
      <c r="E857" t="s">
        <v>96</v>
      </c>
      <c r="F857">
        <v>2.041238394835187E-3</v>
      </c>
      <c r="G857" t="s">
        <v>96</v>
      </c>
      <c r="H857">
        <v>2.041238394835187E-3</v>
      </c>
      <c r="I857" t="s">
        <v>96</v>
      </c>
      <c r="J857" t="s">
        <v>96</v>
      </c>
      <c r="K857" t="s">
        <v>96</v>
      </c>
      <c r="L857" t="s">
        <v>96</v>
      </c>
      <c r="M857">
        <v>2.9264004000000001E-3</v>
      </c>
      <c r="N857" t="s">
        <v>96</v>
      </c>
      <c r="O857">
        <v>2.9264004000000001E-3</v>
      </c>
      <c r="P857" t="s">
        <v>96</v>
      </c>
      <c r="Q857" t="s">
        <v>96</v>
      </c>
      <c r="R857" t="s">
        <v>96</v>
      </c>
      <c r="S857" t="s">
        <v>96</v>
      </c>
      <c r="T857">
        <v>-1.0730134800000979E-2</v>
      </c>
    </row>
    <row r="858" spans="1:20" x14ac:dyDescent="0.25">
      <c r="A858" s="1" t="s">
        <v>104</v>
      </c>
      <c r="B858">
        <v>1996</v>
      </c>
      <c r="C858">
        <v>1.4336397000000001</v>
      </c>
      <c r="D858">
        <v>1.4336397000000001</v>
      </c>
      <c r="E858" t="s">
        <v>96</v>
      </c>
      <c r="F858">
        <v>1.945803886429763E-3</v>
      </c>
      <c r="G858" t="s">
        <v>96</v>
      </c>
      <c r="H858">
        <v>1.945803886429763E-3</v>
      </c>
      <c r="I858" t="s">
        <v>96</v>
      </c>
      <c r="J858" t="s">
        <v>96</v>
      </c>
      <c r="K858" t="s">
        <v>96</v>
      </c>
      <c r="L858" t="s">
        <v>96</v>
      </c>
      <c r="M858">
        <v>2.7895817E-3</v>
      </c>
      <c r="N858" t="s">
        <v>96</v>
      </c>
      <c r="O858">
        <v>2.7895817E-3</v>
      </c>
      <c r="P858" t="s">
        <v>96</v>
      </c>
      <c r="Q858" t="s">
        <v>96</v>
      </c>
      <c r="R858" t="s">
        <v>96</v>
      </c>
      <c r="S858" t="s">
        <v>96</v>
      </c>
      <c r="T858">
        <v>-1.022846623333426E-2</v>
      </c>
    </row>
    <row r="859" spans="1:20" x14ac:dyDescent="0.25">
      <c r="A859" s="1" t="s">
        <v>104</v>
      </c>
      <c r="B859">
        <v>1997</v>
      </c>
      <c r="C859">
        <v>1.4336397000000001</v>
      </c>
      <c r="D859">
        <v>1.4336397000000001</v>
      </c>
      <c r="E859" t="s">
        <v>96</v>
      </c>
      <c r="F859">
        <v>1.850369378024339E-3</v>
      </c>
      <c r="G859" t="s">
        <v>96</v>
      </c>
      <c r="H859">
        <v>1.850369378024339E-3</v>
      </c>
      <c r="I859" t="s">
        <v>96</v>
      </c>
      <c r="J859" t="s">
        <v>96</v>
      </c>
      <c r="K859" t="s">
        <v>96</v>
      </c>
      <c r="L859" t="s">
        <v>96</v>
      </c>
      <c r="M859">
        <v>2.6527629999999998E-3</v>
      </c>
      <c r="N859" t="s">
        <v>96</v>
      </c>
      <c r="O859">
        <v>2.6527629999999998E-3</v>
      </c>
      <c r="P859" t="s">
        <v>96</v>
      </c>
      <c r="Q859" t="s">
        <v>96</v>
      </c>
      <c r="R859" t="s">
        <v>96</v>
      </c>
      <c r="S859" t="s">
        <v>96</v>
      </c>
      <c r="T859">
        <v>-9.7267976666675499E-3</v>
      </c>
    </row>
    <row r="860" spans="1:20" x14ac:dyDescent="0.25">
      <c r="A860" s="1" t="s">
        <v>104</v>
      </c>
      <c r="B860">
        <v>1998</v>
      </c>
      <c r="C860">
        <v>1.4336397000000001</v>
      </c>
      <c r="D860">
        <v>1.4336397000000001</v>
      </c>
      <c r="E860" t="s">
        <v>96</v>
      </c>
      <c r="F860">
        <v>1.754934799866382E-3</v>
      </c>
      <c r="G860" t="s">
        <v>96</v>
      </c>
      <c r="H860">
        <v>1.754934799866382E-3</v>
      </c>
      <c r="I860" t="s">
        <v>96</v>
      </c>
      <c r="J860" t="s">
        <v>96</v>
      </c>
      <c r="K860" t="s">
        <v>96</v>
      </c>
      <c r="L860" t="s">
        <v>96</v>
      </c>
      <c r="M860">
        <v>2.5159442000000001E-3</v>
      </c>
      <c r="N860" t="s">
        <v>96</v>
      </c>
      <c r="O860">
        <v>2.5159442000000001E-3</v>
      </c>
      <c r="P860" t="s">
        <v>96</v>
      </c>
      <c r="Q860" t="s">
        <v>96</v>
      </c>
      <c r="R860" t="s">
        <v>96</v>
      </c>
      <c r="S860" t="s">
        <v>96</v>
      </c>
      <c r="T860">
        <v>-9.225128733334172E-3</v>
      </c>
    </row>
    <row r="861" spans="1:20" x14ac:dyDescent="0.25">
      <c r="A861" s="1" t="s">
        <v>104</v>
      </c>
      <c r="B861">
        <v>1999</v>
      </c>
      <c r="C861">
        <v>1.4336397000000001</v>
      </c>
      <c r="D861">
        <v>1.4336397000000001</v>
      </c>
      <c r="E861" t="s">
        <v>96</v>
      </c>
      <c r="F861">
        <v>1.659500291460958E-3</v>
      </c>
      <c r="G861" t="s">
        <v>96</v>
      </c>
      <c r="H861">
        <v>1.659500291460958E-3</v>
      </c>
      <c r="I861" t="s">
        <v>96</v>
      </c>
      <c r="J861" t="s">
        <v>96</v>
      </c>
      <c r="K861" t="s">
        <v>96</v>
      </c>
      <c r="L861" t="s">
        <v>96</v>
      </c>
      <c r="M861">
        <v>2.3791254999999999E-3</v>
      </c>
      <c r="N861" t="s">
        <v>96</v>
      </c>
      <c r="O861">
        <v>2.3791254999999999E-3</v>
      </c>
      <c r="P861" t="s">
        <v>96</v>
      </c>
      <c r="Q861" t="s">
        <v>96</v>
      </c>
      <c r="R861" t="s">
        <v>96</v>
      </c>
      <c r="S861" t="s">
        <v>96</v>
      </c>
      <c r="T861">
        <v>-8.7234601666674599E-3</v>
      </c>
    </row>
    <row r="862" spans="1:20" x14ac:dyDescent="0.25">
      <c r="A862" s="1" t="s">
        <v>104</v>
      </c>
      <c r="B862">
        <v>2000</v>
      </c>
      <c r="C862">
        <v>1.4336397000000001</v>
      </c>
      <c r="D862">
        <v>1.4336397000000001</v>
      </c>
      <c r="E862" t="s">
        <v>96</v>
      </c>
      <c r="F862">
        <v>1.5640657830555339E-3</v>
      </c>
      <c r="G862" t="s">
        <v>96</v>
      </c>
      <c r="H862">
        <v>1.5640657830555339E-3</v>
      </c>
      <c r="I862" t="s">
        <v>96</v>
      </c>
      <c r="J862" t="s">
        <v>96</v>
      </c>
      <c r="K862" t="s">
        <v>96</v>
      </c>
      <c r="L862" t="s">
        <v>96</v>
      </c>
      <c r="M862">
        <v>2.2423068000000002E-3</v>
      </c>
      <c r="N862" t="s">
        <v>96</v>
      </c>
      <c r="O862">
        <v>2.2423068000000002E-3</v>
      </c>
      <c r="P862" t="s">
        <v>96</v>
      </c>
      <c r="Q862" t="s">
        <v>96</v>
      </c>
      <c r="R862" t="s">
        <v>96</v>
      </c>
      <c r="S862" t="s">
        <v>96</v>
      </c>
      <c r="T862">
        <v>-8.2217916000007479E-3</v>
      </c>
    </row>
    <row r="863" spans="1:20" x14ac:dyDescent="0.25">
      <c r="A863" s="1" t="s">
        <v>104</v>
      </c>
      <c r="B863">
        <v>2001</v>
      </c>
      <c r="C863">
        <v>1.4336397000000001</v>
      </c>
      <c r="D863">
        <v>1.4336397000000001</v>
      </c>
      <c r="E863" t="s">
        <v>96</v>
      </c>
      <c r="F863">
        <v>1.534021553672098E-3</v>
      </c>
      <c r="G863" t="s">
        <v>96</v>
      </c>
      <c r="H863">
        <v>1.534021553672098E-3</v>
      </c>
      <c r="I863" t="s">
        <v>96</v>
      </c>
      <c r="J863" t="s">
        <v>96</v>
      </c>
      <c r="K863" t="s">
        <v>96</v>
      </c>
      <c r="L863" t="s">
        <v>96</v>
      </c>
      <c r="M863">
        <v>2.1992342000000001E-3</v>
      </c>
      <c r="N863" t="s">
        <v>96</v>
      </c>
      <c r="O863">
        <v>2.1992342000000001E-3</v>
      </c>
      <c r="P863" t="s">
        <v>96</v>
      </c>
      <c r="Q863" t="s">
        <v>96</v>
      </c>
      <c r="R863" t="s">
        <v>96</v>
      </c>
      <c r="S863" t="s">
        <v>96</v>
      </c>
      <c r="T863">
        <v>-8.0638587333340672E-3</v>
      </c>
    </row>
    <row r="864" spans="1:20" x14ac:dyDescent="0.25">
      <c r="A864" s="1" t="s">
        <v>104</v>
      </c>
      <c r="B864">
        <v>2002</v>
      </c>
      <c r="C864">
        <v>1.4336397000000001</v>
      </c>
      <c r="D864">
        <v>1.4336397000000001</v>
      </c>
      <c r="E864" t="s">
        <v>96</v>
      </c>
      <c r="F864">
        <v>1.5039773940411949E-3</v>
      </c>
      <c r="G864" t="s">
        <v>96</v>
      </c>
      <c r="H864">
        <v>1.5039773940411949E-3</v>
      </c>
      <c r="I864" t="s">
        <v>96</v>
      </c>
      <c r="J864" t="s">
        <v>96</v>
      </c>
      <c r="K864" t="s">
        <v>96</v>
      </c>
      <c r="L864" t="s">
        <v>96</v>
      </c>
      <c r="M864">
        <v>2.1561617E-3</v>
      </c>
      <c r="N864" t="s">
        <v>96</v>
      </c>
      <c r="O864">
        <v>2.1561617E-3</v>
      </c>
      <c r="P864" t="s">
        <v>96</v>
      </c>
      <c r="Q864" t="s">
        <v>96</v>
      </c>
      <c r="R864" t="s">
        <v>96</v>
      </c>
      <c r="S864" t="s">
        <v>96</v>
      </c>
      <c r="T864">
        <v>-7.9059262333340524E-3</v>
      </c>
    </row>
    <row r="865" spans="1:20" x14ac:dyDescent="0.25">
      <c r="A865" s="1" t="s">
        <v>104</v>
      </c>
      <c r="B865">
        <v>2003</v>
      </c>
      <c r="C865">
        <v>1.4336397000000001</v>
      </c>
      <c r="D865">
        <v>1.4336397000000001</v>
      </c>
      <c r="E865" t="s">
        <v>96</v>
      </c>
      <c r="F865">
        <v>1.473933164657759E-3</v>
      </c>
      <c r="G865" t="s">
        <v>96</v>
      </c>
      <c r="H865">
        <v>1.473933164657759E-3</v>
      </c>
      <c r="I865" t="s">
        <v>96</v>
      </c>
      <c r="J865" t="s">
        <v>96</v>
      </c>
      <c r="K865" t="s">
        <v>96</v>
      </c>
      <c r="L865" t="s">
        <v>96</v>
      </c>
      <c r="M865">
        <v>2.1130890999999999E-3</v>
      </c>
      <c r="N865" t="s">
        <v>96</v>
      </c>
      <c r="O865">
        <v>2.1130890999999999E-3</v>
      </c>
      <c r="P865" t="s">
        <v>96</v>
      </c>
      <c r="Q865" t="s">
        <v>96</v>
      </c>
      <c r="R865" t="s">
        <v>96</v>
      </c>
      <c r="S865" t="s">
        <v>96</v>
      </c>
      <c r="T865">
        <v>-7.7479933666673708E-3</v>
      </c>
    </row>
    <row r="866" spans="1:20" x14ac:dyDescent="0.25">
      <c r="A866" s="1" t="s">
        <v>104</v>
      </c>
      <c r="B866">
        <v>2004</v>
      </c>
      <c r="C866">
        <v>1.4471396999999999</v>
      </c>
      <c r="D866">
        <v>1.4471396999999999</v>
      </c>
      <c r="E866" t="s">
        <v>96</v>
      </c>
      <c r="F866">
        <v>1.6741495067822409E-3</v>
      </c>
      <c r="G866" t="s">
        <v>96</v>
      </c>
      <c r="H866">
        <v>1.6741495067822409E-3</v>
      </c>
      <c r="I866" t="s">
        <v>96</v>
      </c>
      <c r="J866">
        <v>1.364070103252644E-2</v>
      </c>
      <c r="K866" t="s">
        <v>96</v>
      </c>
      <c r="L866" t="s">
        <v>96</v>
      </c>
      <c r="M866">
        <v>2.4227282149999999E-3</v>
      </c>
      <c r="N866" t="s">
        <v>96</v>
      </c>
      <c r="O866">
        <v>2.4227282149999999E-3</v>
      </c>
      <c r="P866" t="s">
        <v>96</v>
      </c>
      <c r="Q866">
        <v>1.9740000000000001E-2</v>
      </c>
      <c r="R866" t="s">
        <v>96</v>
      </c>
      <c r="S866" t="s">
        <v>96</v>
      </c>
      <c r="T866">
        <v>-8.1263336788340718E-2</v>
      </c>
    </row>
    <row r="867" spans="1:20" x14ac:dyDescent="0.25">
      <c r="A867" s="1" t="s">
        <v>104</v>
      </c>
      <c r="B867">
        <v>2005</v>
      </c>
      <c r="C867">
        <v>1.4471396999999999</v>
      </c>
      <c r="D867">
        <v>1.4471396999999999</v>
      </c>
      <c r="E867" t="s">
        <v>96</v>
      </c>
      <c r="F867">
        <v>1.7662506408330861E-3</v>
      </c>
      <c r="G867" t="s">
        <v>96</v>
      </c>
      <c r="H867">
        <v>1.7662506408330861E-3</v>
      </c>
      <c r="I867" t="s">
        <v>96</v>
      </c>
      <c r="J867">
        <v>1.364070103252644E-2</v>
      </c>
      <c r="K867" t="s">
        <v>96</v>
      </c>
      <c r="L867" t="s">
        <v>96</v>
      </c>
      <c r="M867">
        <v>2.5560114224999998E-3</v>
      </c>
      <c r="N867" t="s">
        <v>96</v>
      </c>
      <c r="O867">
        <v>2.5560114224999998E-3</v>
      </c>
      <c r="P867" t="s">
        <v>96</v>
      </c>
      <c r="Q867">
        <v>1.9740000000000001E-2</v>
      </c>
      <c r="R867" t="s">
        <v>96</v>
      </c>
      <c r="S867" t="s">
        <v>96</v>
      </c>
      <c r="T867">
        <v>-8.175204188250744E-2</v>
      </c>
    </row>
    <row r="868" spans="1:20" x14ac:dyDescent="0.25">
      <c r="A868" s="1" t="s">
        <v>104</v>
      </c>
      <c r="B868">
        <v>2006</v>
      </c>
      <c r="C868">
        <v>1.4471396999999999</v>
      </c>
      <c r="D868">
        <v>1.4471396999999999</v>
      </c>
      <c r="E868" t="s">
        <v>96</v>
      </c>
      <c r="F868">
        <v>1.8583517748839309E-3</v>
      </c>
      <c r="G868" t="s">
        <v>96</v>
      </c>
      <c r="H868">
        <v>1.8583517748839309E-3</v>
      </c>
      <c r="I868" t="s">
        <v>96</v>
      </c>
      <c r="J868">
        <v>1.364070103252644E-2</v>
      </c>
      <c r="K868" t="s">
        <v>96</v>
      </c>
      <c r="L868" t="s">
        <v>96</v>
      </c>
      <c r="M868">
        <v>2.6892946300000001E-3</v>
      </c>
      <c r="N868" t="s">
        <v>96</v>
      </c>
      <c r="O868">
        <v>2.6892946300000001E-3</v>
      </c>
      <c r="P868" t="s">
        <v>96</v>
      </c>
      <c r="Q868">
        <v>1.9740000000000001E-2</v>
      </c>
      <c r="R868" t="s">
        <v>96</v>
      </c>
      <c r="S868" t="s">
        <v>96</v>
      </c>
      <c r="T868">
        <v>-8.2240746976674134E-2</v>
      </c>
    </row>
    <row r="869" spans="1:20" x14ac:dyDescent="0.25">
      <c r="A869" s="1" t="s">
        <v>104</v>
      </c>
      <c r="B869">
        <v>2007</v>
      </c>
      <c r="C869">
        <v>1.4471396999999999</v>
      </c>
      <c r="D869">
        <v>1.4471396999999999</v>
      </c>
      <c r="E869" t="s">
        <v>96</v>
      </c>
      <c r="F869">
        <v>1.950452978036606E-3</v>
      </c>
      <c r="G869" t="s">
        <v>96</v>
      </c>
      <c r="H869">
        <v>1.950452978036606E-3</v>
      </c>
      <c r="I869" t="s">
        <v>96</v>
      </c>
      <c r="J869">
        <v>1.364070103252644E-2</v>
      </c>
      <c r="K869" t="s">
        <v>96</v>
      </c>
      <c r="L869" t="s">
        <v>96</v>
      </c>
      <c r="M869">
        <v>2.8225779375000001E-3</v>
      </c>
      <c r="N869" t="s">
        <v>96</v>
      </c>
      <c r="O869">
        <v>2.8225779375000001E-3</v>
      </c>
      <c r="P869" t="s">
        <v>96</v>
      </c>
      <c r="Q869">
        <v>1.9740000000000001E-2</v>
      </c>
      <c r="R869" t="s">
        <v>96</v>
      </c>
      <c r="S869" t="s">
        <v>96</v>
      </c>
      <c r="T869">
        <v>-8.2729452437507525E-2</v>
      </c>
    </row>
    <row r="870" spans="1:20" x14ac:dyDescent="0.25">
      <c r="A870" s="1" t="s">
        <v>104</v>
      </c>
      <c r="B870">
        <v>2008</v>
      </c>
      <c r="C870">
        <v>1.4471396999999999</v>
      </c>
      <c r="D870">
        <v>1.4471396999999999</v>
      </c>
      <c r="E870" t="s">
        <v>96</v>
      </c>
      <c r="F870">
        <v>2.0425541120874511E-3</v>
      </c>
      <c r="G870" t="s">
        <v>96</v>
      </c>
      <c r="H870">
        <v>2.0425541120874511E-3</v>
      </c>
      <c r="I870" t="s">
        <v>96</v>
      </c>
      <c r="J870">
        <v>1.364070103252644E-2</v>
      </c>
      <c r="K870" t="s">
        <v>96</v>
      </c>
      <c r="L870" t="s">
        <v>96</v>
      </c>
      <c r="M870">
        <v>2.955861145E-3</v>
      </c>
      <c r="N870" t="s">
        <v>96</v>
      </c>
      <c r="O870">
        <v>2.955861145E-3</v>
      </c>
      <c r="P870" t="s">
        <v>96</v>
      </c>
      <c r="Q870">
        <v>1.9740000000000001E-2</v>
      </c>
      <c r="R870" t="s">
        <v>96</v>
      </c>
      <c r="S870" t="s">
        <v>96</v>
      </c>
      <c r="T870">
        <v>-8.3218157531674233E-2</v>
      </c>
    </row>
    <row r="871" spans="1:20" x14ac:dyDescent="0.25">
      <c r="A871" s="1" t="s">
        <v>104</v>
      </c>
      <c r="B871">
        <v>2009</v>
      </c>
      <c r="C871">
        <v>1.4471396999999999</v>
      </c>
      <c r="D871">
        <v>1.4471396999999999</v>
      </c>
      <c r="E871" t="s">
        <v>96</v>
      </c>
      <c r="F871">
        <v>2.1346553152401249E-3</v>
      </c>
      <c r="G871" t="s">
        <v>96</v>
      </c>
      <c r="H871">
        <v>2.1346553152401249E-3</v>
      </c>
      <c r="I871" t="s">
        <v>96</v>
      </c>
      <c r="J871">
        <v>1.364070103252644E-2</v>
      </c>
      <c r="K871" t="s">
        <v>96</v>
      </c>
      <c r="L871" t="s">
        <v>96</v>
      </c>
      <c r="M871">
        <v>3.0891444525E-3</v>
      </c>
      <c r="N871" t="s">
        <v>96</v>
      </c>
      <c r="O871">
        <v>3.0891444525E-3</v>
      </c>
      <c r="P871" t="s">
        <v>96</v>
      </c>
      <c r="Q871">
        <v>1.9740000000000001E-2</v>
      </c>
      <c r="R871" t="s">
        <v>96</v>
      </c>
      <c r="S871" t="s">
        <v>96</v>
      </c>
      <c r="T871">
        <v>-8.3706862992507611E-2</v>
      </c>
    </row>
    <row r="872" spans="1:20" x14ac:dyDescent="0.25">
      <c r="A872" s="1" t="s">
        <v>104</v>
      </c>
      <c r="B872">
        <v>2010</v>
      </c>
      <c r="C872">
        <v>1.4471396999999999</v>
      </c>
      <c r="D872">
        <v>1.4471396999999999</v>
      </c>
      <c r="E872" t="s">
        <v>96</v>
      </c>
      <c r="F872">
        <v>2.2267564492909702E-3</v>
      </c>
      <c r="G872" t="s">
        <v>96</v>
      </c>
      <c r="H872">
        <v>2.2267564492909702E-3</v>
      </c>
      <c r="I872" t="s">
        <v>96</v>
      </c>
      <c r="J872">
        <v>1.364070103252644E-2</v>
      </c>
      <c r="K872" t="s">
        <v>96</v>
      </c>
      <c r="L872" t="s">
        <v>96</v>
      </c>
      <c r="M872">
        <v>3.2224276599999999E-3</v>
      </c>
      <c r="N872" t="s">
        <v>96</v>
      </c>
      <c r="O872">
        <v>3.2224276599999999E-3</v>
      </c>
      <c r="P872" t="s">
        <v>96</v>
      </c>
      <c r="Q872">
        <v>1.9740000000000001E-2</v>
      </c>
      <c r="R872" t="s">
        <v>96</v>
      </c>
      <c r="S872" t="s">
        <v>96</v>
      </c>
      <c r="T872">
        <v>-8.4195568086674319E-2</v>
      </c>
    </row>
    <row r="873" spans="1:20" x14ac:dyDescent="0.25">
      <c r="A873" s="1" t="s">
        <v>104</v>
      </c>
      <c r="B873">
        <v>2011</v>
      </c>
      <c r="C873">
        <v>1.4471396999999999</v>
      </c>
      <c r="D873">
        <v>1.4471396999999999</v>
      </c>
      <c r="E873" t="s">
        <v>96</v>
      </c>
      <c r="F873">
        <v>2.3249854644302832E-3</v>
      </c>
      <c r="G873" t="s">
        <v>96</v>
      </c>
      <c r="H873">
        <v>2.3249854644302832E-3</v>
      </c>
      <c r="I873" t="s">
        <v>96</v>
      </c>
      <c r="J873">
        <v>1.364070103252644E-2</v>
      </c>
      <c r="K873" t="s">
        <v>96</v>
      </c>
      <c r="L873" t="s">
        <v>96</v>
      </c>
      <c r="M873">
        <v>3.3645787675000002E-3</v>
      </c>
      <c r="N873" t="s">
        <v>96</v>
      </c>
      <c r="O873">
        <v>3.3645787675000002E-3</v>
      </c>
      <c r="P873" t="s">
        <v>96</v>
      </c>
      <c r="Q873">
        <v>1.9740000000000001E-2</v>
      </c>
      <c r="R873" t="s">
        <v>96</v>
      </c>
      <c r="S873" t="s">
        <v>96</v>
      </c>
      <c r="T873">
        <v>-8.4716788814174382E-2</v>
      </c>
    </row>
    <row r="874" spans="1:20" x14ac:dyDescent="0.25">
      <c r="A874" s="1" t="s">
        <v>104</v>
      </c>
      <c r="B874">
        <v>2012</v>
      </c>
      <c r="C874">
        <v>1.4471396999999999</v>
      </c>
      <c r="D874">
        <v>1.4471396999999999</v>
      </c>
      <c r="E874" t="s">
        <v>96</v>
      </c>
      <c r="F874">
        <v>2.4232144795695949E-3</v>
      </c>
      <c r="G874" t="s">
        <v>96</v>
      </c>
      <c r="H874">
        <v>2.4232144795695949E-3</v>
      </c>
      <c r="I874" t="s">
        <v>96</v>
      </c>
      <c r="J874">
        <v>1.364070103252644E-2</v>
      </c>
      <c r="K874" t="s">
        <v>96</v>
      </c>
      <c r="L874" t="s">
        <v>96</v>
      </c>
      <c r="M874">
        <v>3.5067298750000001E-3</v>
      </c>
      <c r="N874" t="s">
        <v>96</v>
      </c>
      <c r="O874">
        <v>3.5067298750000001E-3</v>
      </c>
      <c r="P874" t="s">
        <v>96</v>
      </c>
      <c r="Q874">
        <v>1.9740000000000001E-2</v>
      </c>
      <c r="R874" t="s">
        <v>96</v>
      </c>
      <c r="S874" t="s">
        <v>96</v>
      </c>
      <c r="T874">
        <v>-8.5238009541674417E-2</v>
      </c>
    </row>
    <row r="875" spans="1:20" x14ac:dyDescent="0.25">
      <c r="A875" s="1" t="s">
        <v>104</v>
      </c>
      <c r="B875">
        <v>2013</v>
      </c>
      <c r="C875">
        <v>1.4471396999999999</v>
      </c>
      <c r="D875">
        <v>1.4471396999999999</v>
      </c>
      <c r="E875" t="s">
        <v>96</v>
      </c>
      <c r="F875">
        <v>2.5214435638107359E-3</v>
      </c>
      <c r="G875" t="s">
        <v>96</v>
      </c>
      <c r="H875">
        <v>2.5214435638107359E-3</v>
      </c>
      <c r="I875" t="s">
        <v>96</v>
      </c>
      <c r="J875">
        <v>1.364070103252644E-2</v>
      </c>
      <c r="K875" t="s">
        <v>96</v>
      </c>
      <c r="L875" t="s">
        <v>96</v>
      </c>
      <c r="M875">
        <v>3.6488810825E-3</v>
      </c>
      <c r="N875" t="s">
        <v>96</v>
      </c>
      <c r="O875">
        <v>3.6488810825E-3</v>
      </c>
      <c r="P875" t="s">
        <v>96</v>
      </c>
      <c r="Q875">
        <v>1.9740000000000001E-2</v>
      </c>
      <c r="R875" t="s">
        <v>96</v>
      </c>
      <c r="S875" t="s">
        <v>96</v>
      </c>
      <c r="T875">
        <v>-8.5759230635841135E-2</v>
      </c>
    </row>
    <row r="876" spans="1:20" x14ac:dyDescent="0.25">
      <c r="A876" s="1" t="s">
        <v>104</v>
      </c>
      <c r="B876">
        <v>2014</v>
      </c>
      <c r="C876">
        <v>1.4471396999999999</v>
      </c>
      <c r="D876">
        <v>1.4471396999999999</v>
      </c>
      <c r="E876" t="s">
        <v>96</v>
      </c>
      <c r="F876">
        <v>2.619672578950048E-3</v>
      </c>
      <c r="G876" t="s">
        <v>96</v>
      </c>
      <c r="H876">
        <v>2.619672578950048E-3</v>
      </c>
      <c r="I876" t="s">
        <v>96</v>
      </c>
      <c r="J876">
        <v>1.364070103252644E-2</v>
      </c>
      <c r="K876" t="s">
        <v>96</v>
      </c>
      <c r="L876" t="s">
        <v>96</v>
      </c>
      <c r="M876">
        <v>3.7910321899999998E-3</v>
      </c>
      <c r="N876" t="s">
        <v>96</v>
      </c>
      <c r="O876">
        <v>3.7910321899999998E-3</v>
      </c>
      <c r="P876" t="s">
        <v>96</v>
      </c>
      <c r="Q876">
        <v>1.9740000000000001E-2</v>
      </c>
      <c r="R876" t="s">
        <v>96</v>
      </c>
      <c r="S876" t="s">
        <v>96</v>
      </c>
      <c r="T876">
        <v>-8.6280451363341185E-2</v>
      </c>
    </row>
    <row r="877" spans="1:20" x14ac:dyDescent="0.25">
      <c r="A877" s="1" t="s">
        <v>104</v>
      </c>
      <c r="B877">
        <v>2015</v>
      </c>
      <c r="C877">
        <v>1.4511396999999999</v>
      </c>
      <c r="D877">
        <v>1.4511396999999999</v>
      </c>
      <c r="E877" t="s">
        <v>96</v>
      </c>
      <c r="F877">
        <v>2.7768537119479261E-3</v>
      </c>
      <c r="G877" t="s">
        <v>96</v>
      </c>
      <c r="H877">
        <v>2.7768537119479261E-3</v>
      </c>
      <c r="I877" t="s">
        <v>96</v>
      </c>
      <c r="J877">
        <v>1.7489701370584788E-2</v>
      </c>
      <c r="K877" t="s">
        <v>96</v>
      </c>
      <c r="L877" t="s">
        <v>96</v>
      </c>
      <c r="M877">
        <v>4.0296026625000004E-3</v>
      </c>
      <c r="N877" t="s">
        <v>96</v>
      </c>
      <c r="O877">
        <v>4.0296026625000004E-3</v>
      </c>
      <c r="P877" t="s">
        <v>96</v>
      </c>
      <c r="Q877">
        <v>2.538000000000001E-2</v>
      </c>
      <c r="R877" t="s">
        <v>96</v>
      </c>
      <c r="S877" t="s">
        <v>96</v>
      </c>
      <c r="T877">
        <v>-0.10783520976250981</v>
      </c>
    </row>
    <row r="878" spans="1:20" x14ac:dyDescent="0.25">
      <c r="A878" s="1" t="s">
        <v>104</v>
      </c>
      <c r="B878">
        <v>2016</v>
      </c>
      <c r="C878">
        <v>1.4511396999999999</v>
      </c>
      <c r="D878">
        <v>1.4511396999999999</v>
      </c>
      <c r="E878" t="s">
        <v>96</v>
      </c>
      <c r="F878">
        <v>2.908033907762292E-3</v>
      </c>
      <c r="G878" t="s">
        <v>96</v>
      </c>
      <c r="H878">
        <v>2.908033907762292E-3</v>
      </c>
      <c r="I878" t="s">
        <v>96</v>
      </c>
      <c r="J878">
        <v>1.7489701370584788E-2</v>
      </c>
      <c r="K878" t="s">
        <v>96</v>
      </c>
      <c r="L878" t="s">
        <v>96</v>
      </c>
      <c r="M878">
        <v>4.2199634525000003E-3</v>
      </c>
      <c r="N878" t="s">
        <v>96</v>
      </c>
      <c r="O878">
        <v>4.2199634525000003E-3</v>
      </c>
      <c r="P878" t="s">
        <v>96</v>
      </c>
      <c r="Q878">
        <v>2.538000000000001E-2</v>
      </c>
      <c r="R878" t="s">
        <v>96</v>
      </c>
      <c r="S878" t="s">
        <v>96</v>
      </c>
      <c r="T878">
        <v>-0.1085331993258432</v>
      </c>
    </row>
    <row r="879" spans="1:20" x14ac:dyDescent="0.25">
      <c r="A879" s="1" t="s">
        <v>104</v>
      </c>
      <c r="B879">
        <v>2017</v>
      </c>
      <c r="C879">
        <v>1.4511396999999999</v>
      </c>
      <c r="D879">
        <v>1.4511396999999999</v>
      </c>
      <c r="E879" t="s">
        <v>96</v>
      </c>
      <c r="F879">
        <v>3.039214103576657E-3</v>
      </c>
      <c r="G879" t="s">
        <v>96</v>
      </c>
      <c r="H879">
        <v>3.039214103576657E-3</v>
      </c>
      <c r="I879" t="s">
        <v>96</v>
      </c>
      <c r="J879">
        <v>1.7489701370584788E-2</v>
      </c>
      <c r="K879" t="s">
        <v>96</v>
      </c>
      <c r="L879" t="s">
        <v>96</v>
      </c>
      <c r="M879">
        <v>4.4103242424999986E-3</v>
      </c>
      <c r="N879" t="s">
        <v>96</v>
      </c>
      <c r="O879">
        <v>4.4103242424999986E-3</v>
      </c>
      <c r="P879" t="s">
        <v>96</v>
      </c>
      <c r="Q879">
        <v>2.538000000000001E-2</v>
      </c>
      <c r="R879" t="s">
        <v>96</v>
      </c>
      <c r="S879" t="s">
        <v>96</v>
      </c>
      <c r="T879">
        <v>-0.1092311888891766</v>
      </c>
    </row>
    <row r="880" spans="1:20" x14ac:dyDescent="0.25">
      <c r="A880" s="1" t="s">
        <v>104</v>
      </c>
      <c r="B880">
        <v>2018</v>
      </c>
      <c r="C880">
        <v>1.4511396999999999</v>
      </c>
      <c r="D880">
        <v>1.4511396999999999</v>
      </c>
      <c r="E880" t="s">
        <v>96</v>
      </c>
      <c r="F880">
        <v>3.5721839410085741E-3</v>
      </c>
      <c r="G880" t="s">
        <v>96</v>
      </c>
      <c r="H880">
        <v>3.5721839410085741E-3</v>
      </c>
      <c r="I880" t="s">
        <v>96</v>
      </c>
      <c r="J880">
        <v>1.7489701370584788E-2</v>
      </c>
      <c r="K880" t="s">
        <v>96</v>
      </c>
      <c r="L880" t="s">
        <v>96</v>
      </c>
      <c r="M880">
        <v>5.1837379325000007E-3</v>
      </c>
      <c r="N880" t="s">
        <v>96</v>
      </c>
      <c r="O880">
        <v>5.1837379325000007E-3</v>
      </c>
      <c r="P880" t="s">
        <v>96</v>
      </c>
      <c r="Q880">
        <v>2.538000000000001E-2</v>
      </c>
      <c r="R880" t="s">
        <v>96</v>
      </c>
      <c r="S880" t="s">
        <v>96</v>
      </c>
      <c r="T880">
        <v>-0.11206703908584351</v>
      </c>
    </row>
    <row r="881" spans="1:20" x14ac:dyDescent="0.25">
      <c r="A881" s="1" t="s">
        <v>104</v>
      </c>
      <c r="B881">
        <v>2019</v>
      </c>
      <c r="C881">
        <v>1.4048677000000001</v>
      </c>
      <c r="D881">
        <v>1.4048677000000001</v>
      </c>
      <c r="E881" t="s">
        <v>96</v>
      </c>
      <c r="F881">
        <v>4.3921871079232429E-3</v>
      </c>
      <c r="G881" t="s">
        <v>96</v>
      </c>
      <c r="H881">
        <v>4.3921871079232429E-3</v>
      </c>
      <c r="I881" t="s">
        <v>96</v>
      </c>
      <c r="J881">
        <v>1.8065758078145009E-2</v>
      </c>
      <c r="K881" t="s">
        <v>96</v>
      </c>
      <c r="L881" t="s">
        <v>96</v>
      </c>
      <c r="M881">
        <v>6.1704418002777777E-3</v>
      </c>
      <c r="N881" t="s">
        <v>96</v>
      </c>
      <c r="O881">
        <v>6.1704418002777777E-3</v>
      </c>
      <c r="P881" t="s">
        <v>96</v>
      </c>
      <c r="Q881">
        <v>2.538000000000001E-2</v>
      </c>
      <c r="R881" t="s">
        <v>96</v>
      </c>
      <c r="S881" t="s">
        <v>96</v>
      </c>
      <c r="T881">
        <v>-0.11568495326769571</v>
      </c>
    </row>
    <row r="882" spans="1:20" x14ac:dyDescent="0.25">
      <c r="A882" s="1" t="s">
        <v>104</v>
      </c>
      <c r="B882">
        <v>2020</v>
      </c>
      <c r="C882">
        <v>1.3585955999999999</v>
      </c>
      <c r="D882">
        <v>1.3585955999999999</v>
      </c>
      <c r="E882" t="s">
        <v>96</v>
      </c>
      <c r="F882">
        <v>5.7543940258356994E-3</v>
      </c>
      <c r="G882" t="s">
        <v>96</v>
      </c>
      <c r="H882">
        <v>5.7543940258356994E-3</v>
      </c>
      <c r="I882" t="s">
        <v>96</v>
      </c>
      <c r="J882">
        <v>1.868105564304787E-2</v>
      </c>
      <c r="K882" t="s">
        <v>96</v>
      </c>
      <c r="L882" t="s">
        <v>96</v>
      </c>
      <c r="M882">
        <v>7.8178944041666677E-3</v>
      </c>
      <c r="N882" t="s">
        <v>96</v>
      </c>
      <c r="O882">
        <v>7.8178944041666677E-3</v>
      </c>
      <c r="P882" t="s">
        <v>96</v>
      </c>
      <c r="Q882">
        <v>2.538000000000001E-2</v>
      </c>
      <c r="R882" t="s">
        <v>96</v>
      </c>
      <c r="S882" t="s">
        <v>96</v>
      </c>
      <c r="T882">
        <v>-0.1217256128152889</v>
      </c>
    </row>
    <row r="883" spans="1:20" x14ac:dyDescent="0.25">
      <c r="A883" s="1" t="s">
        <v>104</v>
      </c>
      <c r="B883">
        <v>2021</v>
      </c>
      <c r="C883">
        <v>1.3585955999999999</v>
      </c>
      <c r="D883">
        <v>1.3585955999999999</v>
      </c>
      <c r="E883" t="s">
        <v>96</v>
      </c>
      <c r="F883">
        <v>6.6892490087230912E-3</v>
      </c>
      <c r="G883" t="s">
        <v>96</v>
      </c>
      <c r="H883">
        <v>6.6892490087230912E-3</v>
      </c>
      <c r="I883" t="s">
        <v>96</v>
      </c>
      <c r="J883">
        <v>1.868105564304787E-2</v>
      </c>
      <c r="K883" t="s">
        <v>96</v>
      </c>
      <c r="L883" t="s">
        <v>96</v>
      </c>
      <c r="M883">
        <v>9.087984270555554E-3</v>
      </c>
      <c r="N883" t="s">
        <v>96</v>
      </c>
      <c r="O883">
        <v>9.087984270555554E-3</v>
      </c>
      <c r="P883" t="s">
        <v>96</v>
      </c>
      <c r="Q883">
        <v>2.538000000000001E-2</v>
      </c>
      <c r="R883" t="s">
        <v>96</v>
      </c>
      <c r="S883" t="s">
        <v>96</v>
      </c>
      <c r="T883">
        <v>-0.12638260899204851</v>
      </c>
    </row>
    <row r="884" spans="1:20" x14ac:dyDescent="0.25">
      <c r="A884" s="1" t="s">
        <v>104</v>
      </c>
      <c r="B884">
        <v>2022</v>
      </c>
      <c r="C884">
        <v>1.3585955999999999</v>
      </c>
      <c r="D884">
        <v>1.3585955999999999</v>
      </c>
      <c r="E884" t="s">
        <v>96</v>
      </c>
      <c r="F884">
        <v>7.6241039916104857E-3</v>
      </c>
      <c r="G884" t="s">
        <v>96</v>
      </c>
      <c r="H884">
        <v>7.6241039916104857E-3</v>
      </c>
      <c r="I884" t="s">
        <v>96</v>
      </c>
      <c r="J884">
        <v>1.868105564304787E-2</v>
      </c>
      <c r="K884" t="s">
        <v>96</v>
      </c>
      <c r="L884" t="s">
        <v>96</v>
      </c>
      <c r="M884">
        <v>1.035807413694444E-2</v>
      </c>
      <c r="N884" t="s">
        <v>96</v>
      </c>
      <c r="O884">
        <v>1.035807413694444E-2</v>
      </c>
      <c r="P884" t="s">
        <v>96</v>
      </c>
      <c r="Q884">
        <v>2.538000000000001E-2</v>
      </c>
      <c r="R884" t="s">
        <v>96</v>
      </c>
      <c r="S884" t="s">
        <v>96</v>
      </c>
      <c r="T884">
        <v>-0.13103960516880819</v>
      </c>
    </row>
    <row r="885" spans="1:20" x14ac:dyDescent="0.25">
      <c r="A885" s="1" t="s">
        <v>104</v>
      </c>
      <c r="B885">
        <v>2023</v>
      </c>
      <c r="C885">
        <v>1.3585959999999999</v>
      </c>
      <c r="D885">
        <v>1.3585959999999999</v>
      </c>
      <c r="E885" t="s">
        <v>96</v>
      </c>
      <c r="F885">
        <v>8.6402133532215101E-3</v>
      </c>
      <c r="G885" t="s">
        <v>96</v>
      </c>
      <c r="H885">
        <v>8.6402133532215101E-3</v>
      </c>
      <c r="I885" t="s">
        <v>96</v>
      </c>
      <c r="J885">
        <v>1.8681050142941691E-2</v>
      </c>
      <c r="K885" t="s">
        <v>96</v>
      </c>
      <c r="L885" t="s">
        <v>96</v>
      </c>
      <c r="M885">
        <v>1.173855930083333E-2</v>
      </c>
      <c r="N885" t="s">
        <v>96</v>
      </c>
      <c r="O885">
        <v>1.173855930083333E-2</v>
      </c>
      <c r="P885" t="s">
        <v>96</v>
      </c>
      <c r="Q885">
        <v>2.538000000000001E-2</v>
      </c>
      <c r="R885" t="s">
        <v>96</v>
      </c>
      <c r="S885" t="s">
        <v>96</v>
      </c>
      <c r="T885">
        <v>-0.13610138410306799</v>
      </c>
    </row>
    <row r="886" spans="1:20" x14ac:dyDescent="0.25">
      <c r="A886" s="1" t="s">
        <v>105</v>
      </c>
      <c r="B886">
        <v>1990</v>
      </c>
      <c r="C886">
        <v>362.81687975900002</v>
      </c>
      <c r="D886">
        <v>342.29374799999999</v>
      </c>
      <c r="E886">
        <v>20.523131759000002</v>
      </c>
      <c r="F886">
        <v>3.960137634595152</v>
      </c>
      <c r="G886">
        <v>-2.4868404733520899</v>
      </c>
      <c r="H886">
        <v>1.4732971612430621</v>
      </c>
      <c r="I886">
        <v>1.807007853205421E-2</v>
      </c>
      <c r="J886">
        <v>0.17608657028977501</v>
      </c>
      <c r="K886">
        <v>7.1017175417413703E-2</v>
      </c>
      <c r="L886">
        <v>-0.87816935356839376</v>
      </c>
      <c r="M886">
        <v>1436.8047799999999</v>
      </c>
      <c r="N886">
        <v>-902.26770099999999</v>
      </c>
      <c r="O886">
        <v>534.53707900000018</v>
      </c>
      <c r="P886">
        <v>6.5561295099999999</v>
      </c>
      <c r="Q886">
        <v>63.887179999999987</v>
      </c>
      <c r="R886">
        <v>24.308735146</v>
      </c>
      <c r="S886">
        <v>-18.022785349999999</v>
      </c>
      <c r="T886">
        <v>-2241.3099071222041</v>
      </c>
    </row>
    <row r="887" spans="1:20" x14ac:dyDescent="0.25">
      <c r="A887" s="1" t="s">
        <v>105</v>
      </c>
      <c r="B887">
        <v>1991</v>
      </c>
      <c r="C887">
        <v>363.38453404500012</v>
      </c>
      <c r="D887">
        <v>342.73570799999999</v>
      </c>
      <c r="E887">
        <v>20.648826045</v>
      </c>
      <c r="F887">
        <v>3.567253860725601</v>
      </c>
      <c r="G887">
        <v>-2.0752999986141711</v>
      </c>
      <c r="H887">
        <v>1.491953862111429</v>
      </c>
      <c r="I887">
        <v>1.823531088744523E-2</v>
      </c>
      <c r="J887">
        <v>0.1811519116326733</v>
      </c>
      <c r="K887">
        <v>6.8735590798143495E-2</v>
      </c>
      <c r="L887">
        <v>-0.87803815686607467</v>
      </c>
      <c r="M887">
        <v>1296.2848819999999</v>
      </c>
      <c r="N887">
        <v>-754.13192299999992</v>
      </c>
      <c r="O887">
        <v>542.15295900000001</v>
      </c>
      <c r="P887">
        <v>6.6264299500000003</v>
      </c>
      <c r="Q887">
        <v>65.827803000000003</v>
      </c>
      <c r="R887">
        <v>23.558141376999998</v>
      </c>
      <c r="S887">
        <v>-18.130457161999999</v>
      </c>
      <c r="T887">
        <v>-2273.461212605207</v>
      </c>
    </row>
    <row r="888" spans="1:20" x14ac:dyDescent="0.25">
      <c r="A888" s="1" t="s">
        <v>105</v>
      </c>
      <c r="B888">
        <v>1992</v>
      </c>
      <c r="C888">
        <v>363.95223135700002</v>
      </c>
      <c r="D888">
        <v>343.18125680000003</v>
      </c>
      <c r="E888">
        <v>20.770974556999999</v>
      </c>
      <c r="F888">
        <v>3.694134392271919</v>
      </c>
      <c r="G888">
        <v>-2.21362595853887</v>
      </c>
      <c r="H888">
        <v>1.4805084337330481</v>
      </c>
      <c r="I888">
        <v>6.5148920866875612E-2</v>
      </c>
      <c r="J888">
        <v>0.18622641149166949</v>
      </c>
      <c r="K888">
        <v>6.6510941756653633E-2</v>
      </c>
      <c r="L888">
        <v>-0.87790966129004422</v>
      </c>
      <c r="M888">
        <v>1344.4884549999999</v>
      </c>
      <c r="N888">
        <v>-805.65410699999995</v>
      </c>
      <c r="O888">
        <v>538.83434799999998</v>
      </c>
      <c r="P888">
        <v>23.71109512</v>
      </c>
      <c r="Q888">
        <v>67.777518000000001</v>
      </c>
      <c r="R888">
        <v>22.825308582999991</v>
      </c>
      <c r="S888">
        <v>-18.235039237999999</v>
      </c>
      <c r="T888">
        <v>-2328.0151783718779</v>
      </c>
    </row>
    <row r="889" spans="1:20" x14ac:dyDescent="0.25">
      <c r="A889" s="1" t="s">
        <v>105</v>
      </c>
      <c r="B889">
        <v>1993</v>
      </c>
      <c r="C889">
        <v>364.51985919399999</v>
      </c>
      <c r="D889">
        <v>343.63029169999999</v>
      </c>
      <c r="E889">
        <v>20.889567494000001</v>
      </c>
      <c r="F889">
        <v>3.426649117998342</v>
      </c>
      <c r="G889">
        <v>-1.927956777317793</v>
      </c>
      <c r="H889">
        <v>1.498692340680549</v>
      </c>
      <c r="I889">
        <v>6.5669809000063445E-2</v>
      </c>
      <c r="J889">
        <v>0.19131003220015469</v>
      </c>
      <c r="K889">
        <v>6.4343924831583757E-2</v>
      </c>
      <c r="L889">
        <v>-0.87778430464233925</v>
      </c>
      <c r="M889">
        <v>1249.0816540000001</v>
      </c>
      <c r="N889">
        <v>-702.77853300000004</v>
      </c>
      <c r="O889">
        <v>546.30312100000003</v>
      </c>
      <c r="P889">
        <v>23.937949530000001</v>
      </c>
      <c r="Q889">
        <v>69.736305999999999</v>
      </c>
      <c r="R889">
        <v>22.110521659</v>
      </c>
      <c r="S889">
        <v>-18.336534477000001</v>
      </c>
      <c r="T889">
        <v>-2360.4216669442148</v>
      </c>
    </row>
    <row r="890" spans="1:20" x14ac:dyDescent="0.25">
      <c r="A890" s="1" t="s">
        <v>105</v>
      </c>
      <c r="B890">
        <v>1994</v>
      </c>
      <c r="C890">
        <v>365.08756405700001</v>
      </c>
      <c r="D890">
        <v>344.08296430000001</v>
      </c>
      <c r="E890">
        <v>21.004599757000001</v>
      </c>
      <c r="F890">
        <v>3.3893118359046852</v>
      </c>
      <c r="G890">
        <v>-1.8720243149484399</v>
      </c>
      <c r="H890">
        <v>1.517287520956246</v>
      </c>
      <c r="I890">
        <v>6.6217531162539409E-2</v>
      </c>
      <c r="J890">
        <v>0.19640269091391199</v>
      </c>
      <c r="K890">
        <v>6.2235186591014867E-2</v>
      </c>
      <c r="L890">
        <v>-0.87766203547184307</v>
      </c>
      <c r="M890">
        <v>1237.3956020000001</v>
      </c>
      <c r="N890">
        <v>-683.45279699999992</v>
      </c>
      <c r="O890">
        <v>553.94280499999991</v>
      </c>
      <c r="P890">
        <v>24.175197149999999</v>
      </c>
      <c r="Q890">
        <v>71.704179999999994</v>
      </c>
      <c r="R890">
        <v>21.414067486</v>
      </c>
      <c r="S890">
        <v>-18.434939777</v>
      </c>
      <c r="T890">
        <v>-2393.604802816551</v>
      </c>
    </row>
    <row r="891" spans="1:20" x14ac:dyDescent="0.25">
      <c r="A891" s="1" t="s">
        <v>105</v>
      </c>
      <c r="B891">
        <v>1995</v>
      </c>
      <c r="C891">
        <v>365.65516794600001</v>
      </c>
      <c r="D891">
        <v>344.5390835</v>
      </c>
      <c r="E891">
        <v>21.116084445999999</v>
      </c>
      <c r="F891">
        <v>3.524182193947019</v>
      </c>
      <c r="G891">
        <v>-1.9878553886795991</v>
      </c>
      <c r="H891">
        <v>1.5363268052674199</v>
      </c>
      <c r="I891">
        <v>6.6791979359106898E-2</v>
      </c>
      <c r="J891">
        <v>0.2015044535371677</v>
      </c>
      <c r="K891">
        <v>6.0185386654399681E-2</v>
      </c>
      <c r="L891">
        <v>-0.87754238662888895</v>
      </c>
      <c r="M891">
        <v>1288.635432</v>
      </c>
      <c r="N891">
        <v>-726.869596</v>
      </c>
      <c r="O891">
        <v>561.76583600000004</v>
      </c>
      <c r="P891">
        <v>24.42283243</v>
      </c>
      <c r="Q891">
        <v>73.681144799999998</v>
      </c>
      <c r="R891">
        <v>20.736217958000001</v>
      </c>
      <c r="S891">
        <v>-18.530259140999998</v>
      </c>
      <c r="T891">
        <v>-2427.6111641725538</v>
      </c>
    </row>
    <row r="892" spans="1:20" x14ac:dyDescent="0.25">
      <c r="A892" s="1" t="s">
        <v>105</v>
      </c>
      <c r="B892">
        <v>1996</v>
      </c>
      <c r="C892">
        <v>366.222884561</v>
      </c>
      <c r="D892">
        <v>344.99887109999997</v>
      </c>
      <c r="E892">
        <v>21.224013460999998</v>
      </c>
      <c r="F892">
        <v>3.3795574721760651</v>
      </c>
      <c r="G892">
        <v>-1.823804008863755</v>
      </c>
      <c r="H892">
        <v>1.55575346331231</v>
      </c>
      <c r="I892">
        <v>6.7392921853000776E-2</v>
      </c>
      <c r="J892">
        <v>0.2066150860307488</v>
      </c>
      <c r="K892">
        <v>5.8195141079694958E-2</v>
      </c>
      <c r="L892">
        <v>-0.87742531365331011</v>
      </c>
      <c r="M892">
        <v>1237.671286</v>
      </c>
      <c r="N892">
        <v>-667.91876500000001</v>
      </c>
      <c r="O892">
        <v>569.752521</v>
      </c>
      <c r="P892">
        <v>24.680830239999999</v>
      </c>
      <c r="Q892">
        <v>75.667172800000003</v>
      </c>
      <c r="R892">
        <v>20.077257975999999</v>
      </c>
      <c r="S892">
        <v>-18.622486668000001</v>
      </c>
      <c r="T892">
        <v>-2462.369416276224</v>
      </c>
    </row>
    <row r="893" spans="1:20" x14ac:dyDescent="0.25">
      <c r="A893" s="1" t="s">
        <v>105</v>
      </c>
      <c r="B893">
        <v>1997</v>
      </c>
      <c r="C893">
        <v>366.790566802</v>
      </c>
      <c r="D893">
        <v>345.462176</v>
      </c>
      <c r="E893">
        <v>21.328390802000001</v>
      </c>
      <c r="F893">
        <v>3.623919078915506</v>
      </c>
      <c r="G893">
        <v>-2.048333226098396</v>
      </c>
      <c r="H893">
        <v>1.5755858528171089</v>
      </c>
      <c r="I893">
        <v>6.8020243834318692E-2</v>
      </c>
      <c r="J893">
        <v>0.2117347427365095</v>
      </c>
      <c r="K893">
        <v>5.6265107321039967E-2</v>
      </c>
      <c r="L893">
        <v>-0.8773108356231627</v>
      </c>
      <c r="M893">
        <v>1329.219333</v>
      </c>
      <c r="N893">
        <v>-751.30930499999999</v>
      </c>
      <c r="O893">
        <v>577.91002800000001</v>
      </c>
      <c r="P893">
        <v>24.949183789999999</v>
      </c>
      <c r="Q893">
        <v>77.662306299999983</v>
      </c>
      <c r="R893">
        <v>19.437466407999999</v>
      </c>
      <c r="S893">
        <v>-18.711628356999999</v>
      </c>
      <c r="T893">
        <v>-2497.9069725172271</v>
      </c>
    </row>
    <row r="894" spans="1:20" x14ac:dyDescent="0.25">
      <c r="A894" s="1" t="s">
        <v>105</v>
      </c>
      <c r="B894">
        <v>1998</v>
      </c>
      <c r="C894">
        <v>367.35821626799998</v>
      </c>
      <c r="D894">
        <v>345.92900770000011</v>
      </c>
      <c r="E894">
        <v>21.429208568</v>
      </c>
      <c r="F894">
        <v>3.4814292953420072</v>
      </c>
      <c r="G894">
        <v>-1.8855833361697929</v>
      </c>
      <c r="H894">
        <v>1.5958459591722141</v>
      </c>
      <c r="I894">
        <v>6.8673709291955626E-2</v>
      </c>
      <c r="J894">
        <v>0.2168632783263533</v>
      </c>
      <c r="K894">
        <v>5.4395941783288597E-2</v>
      </c>
      <c r="L894">
        <v>-0.87719894317844138</v>
      </c>
      <c r="M894">
        <v>1278.931656</v>
      </c>
      <c r="N894">
        <v>-692.68453099999999</v>
      </c>
      <c r="O894">
        <v>586.24712499999998</v>
      </c>
      <c r="P894">
        <v>25.227851350000002</v>
      </c>
      <c r="Q894">
        <v>79.66650709999999</v>
      </c>
      <c r="R894">
        <v>18.817134163999999</v>
      </c>
      <c r="S894">
        <v>-18.797679109000001</v>
      </c>
      <c r="T894">
        <v>-2534.2567745185638</v>
      </c>
    </row>
    <row r="895" spans="1:20" x14ac:dyDescent="0.25">
      <c r="A895" s="1" t="s">
        <v>105</v>
      </c>
      <c r="B895">
        <v>1999</v>
      </c>
      <c r="C895">
        <v>367.92587776099998</v>
      </c>
      <c r="D895">
        <v>346.39939609999999</v>
      </c>
      <c r="E895">
        <v>21.526481660999998</v>
      </c>
      <c r="F895">
        <v>3.512262822783645</v>
      </c>
      <c r="G895">
        <v>-1.895754390108666</v>
      </c>
      <c r="H895">
        <v>1.616508432674979</v>
      </c>
      <c r="I895">
        <v>6.935321227004157E-2</v>
      </c>
      <c r="J895">
        <v>0.2220006871956372</v>
      </c>
      <c r="K895">
        <v>5.2588221371324739E-2</v>
      </c>
      <c r="L895">
        <v>-0.87708912772338798</v>
      </c>
      <c r="M895">
        <v>1292.2523819999999</v>
      </c>
      <c r="N895">
        <v>-697.49709800000005</v>
      </c>
      <c r="O895">
        <v>594.75528400000007</v>
      </c>
      <c r="P895">
        <v>25.516841500000002</v>
      </c>
      <c r="Q895">
        <v>81.679797700000009</v>
      </c>
      <c r="R895">
        <v>18.216528125</v>
      </c>
      <c r="S895">
        <v>-18.880643023000001</v>
      </c>
      <c r="T895">
        <v>-2571.3886304409011</v>
      </c>
    </row>
    <row r="896" spans="1:20" x14ac:dyDescent="0.25">
      <c r="A896" s="1" t="s">
        <v>105</v>
      </c>
      <c r="B896">
        <v>2000</v>
      </c>
      <c r="C896">
        <v>368.49347557900001</v>
      </c>
      <c r="D896">
        <v>346.87328330000003</v>
      </c>
      <c r="E896">
        <v>21.620192279000001</v>
      </c>
      <c r="F896">
        <v>3.5076584679526981</v>
      </c>
      <c r="G896">
        <v>-1.889442416601848</v>
      </c>
      <c r="H896">
        <v>1.618216051350849</v>
      </c>
      <c r="I896">
        <v>6.9797223599651001E-2</v>
      </c>
      <c r="J896">
        <v>0.2198549395554534</v>
      </c>
      <c r="K896">
        <v>5.0842636311506317E-2</v>
      </c>
      <c r="L896">
        <v>-0.87698225600040691</v>
      </c>
      <c r="M896">
        <v>1292.54926</v>
      </c>
      <c r="N896">
        <v>-696.24720300000001</v>
      </c>
      <c r="O896">
        <v>596.30205699999999</v>
      </c>
      <c r="P896">
        <v>25.719821509999999</v>
      </c>
      <c r="Q896">
        <v>81.015110800000002</v>
      </c>
      <c r="R896">
        <v>17.635952189000001</v>
      </c>
      <c r="S896">
        <v>-18.960525000000001</v>
      </c>
      <c r="T896">
        <v>-2572.9455271632341</v>
      </c>
    </row>
    <row r="897" spans="1:20" x14ac:dyDescent="0.25">
      <c r="A897" s="1" t="s">
        <v>105</v>
      </c>
      <c r="B897">
        <v>2001</v>
      </c>
      <c r="C897">
        <v>369.06121922300002</v>
      </c>
      <c r="D897">
        <v>347.35086619999998</v>
      </c>
      <c r="E897">
        <v>21.710353023</v>
      </c>
      <c r="F897">
        <v>3.294988757042006</v>
      </c>
      <c r="G897">
        <v>-1.6749913830054219</v>
      </c>
      <c r="H897">
        <v>1.6199973740365841</v>
      </c>
      <c r="I897">
        <v>7.0223561485445993E-2</v>
      </c>
      <c r="J897">
        <v>0.21746072120220861</v>
      </c>
      <c r="K897">
        <v>4.9159722625156943E-2</v>
      </c>
      <c r="L897">
        <v>-0.87687709729232988</v>
      </c>
      <c r="M897">
        <v>1216.0525680000001</v>
      </c>
      <c r="N897">
        <v>-618.17436200000009</v>
      </c>
      <c r="O897">
        <v>597.87820599999998</v>
      </c>
      <c r="P897">
        <v>25.916793219999999</v>
      </c>
      <c r="Q897">
        <v>80.256318899999997</v>
      </c>
      <c r="R897">
        <v>17.075672235999999</v>
      </c>
      <c r="S897">
        <v>-19.037311339999999</v>
      </c>
      <c r="T897">
        <v>-2574.328823058901</v>
      </c>
    </row>
    <row r="898" spans="1:20" x14ac:dyDescent="0.25">
      <c r="A898" s="1" t="s">
        <v>105</v>
      </c>
      <c r="B898">
        <v>2002</v>
      </c>
      <c r="C898">
        <v>369.62885509300003</v>
      </c>
      <c r="D898">
        <v>347.83189779999998</v>
      </c>
      <c r="E898">
        <v>21.796957292999998</v>
      </c>
      <c r="F898">
        <v>3.2578385734983302</v>
      </c>
      <c r="G898">
        <v>-1.6359601439878271</v>
      </c>
      <c r="H898">
        <v>1.6218784295105031</v>
      </c>
      <c r="I898">
        <v>7.0634664178019807E-2</v>
      </c>
      <c r="J898">
        <v>0.2152757383618748</v>
      </c>
      <c r="K898">
        <v>4.7540131510618457E-2</v>
      </c>
      <c r="L898">
        <v>-0.8767744133323333</v>
      </c>
      <c r="M898">
        <v>1204.1911419999999</v>
      </c>
      <c r="N898">
        <v>-604.6980749999999</v>
      </c>
      <c r="O898">
        <v>599.493067</v>
      </c>
      <c r="P898">
        <v>26.108610049999999</v>
      </c>
      <c r="Q898">
        <v>79.572124700000003</v>
      </c>
      <c r="R898">
        <v>16.535974164999999</v>
      </c>
      <c r="S898">
        <v>-19.111014442999998</v>
      </c>
      <c r="T898">
        <v>-2576.195458730901</v>
      </c>
    </row>
    <row r="899" spans="1:20" x14ac:dyDescent="0.25">
      <c r="A899" s="1" t="s">
        <v>105</v>
      </c>
      <c r="B899">
        <v>2003</v>
      </c>
      <c r="C899">
        <v>370.196504989</v>
      </c>
      <c r="D899">
        <v>348.31649609999999</v>
      </c>
      <c r="E899">
        <v>21.880008888999999</v>
      </c>
      <c r="F899">
        <v>3.4791219599392771</v>
      </c>
      <c r="G899">
        <v>-1.855208141471804</v>
      </c>
      <c r="H899">
        <v>1.6239138184674731</v>
      </c>
      <c r="I899">
        <v>7.1032789385143874E-2</v>
      </c>
      <c r="J899">
        <v>0.21330084924044951</v>
      </c>
      <c r="K899">
        <v>4.5984448159473792E-2</v>
      </c>
      <c r="L899">
        <v>-0.87667335997488594</v>
      </c>
      <c r="M899">
        <v>1287.9587899999999</v>
      </c>
      <c r="N899">
        <v>-686.79157000000009</v>
      </c>
      <c r="O899">
        <v>601.16722000000004</v>
      </c>
      <c r="P899">
        <v>26.296090370000002</v>
      </c>
      <c r="Q899">
        <v>78.963228900000004</v>
      </c>
      <c r="R899">
        <v>16.017141857999999</v>
      </c>
      <c r="S899">
        <v>-19.181620908999999</v>
      </c>
      <c r="T899">
        <v>-2578.6275541365681</v>
      </c>
    </row>
    <row r="900" spans="1:20" x14ac:dyDescent="0.25">
      <c r="A900" s="1" t="s">
        <v>105</v>
      </c>
      <c r="B900">
        <v>2004</v>
      </c>
      <c r="C900">
        <v>370.88624023</v>
      </c>
      <c r="D900">
        <v>349.02496189999999</v>
      </c>
      <c r="E900">
        <v>21.861278330000001</v>
      </c>
      <c r="F900">
        <v>3.475639188449275</v>
      </c>
      <c r="G900">
        <v>-1.845250227065832</v>
      </c>
      <c r="H900">
        <v>1.6303889613834439</v>
      </c>
      <c r="I900">
        <v>7.1412883701414853E-2</v>
      </c>
      <c r="J900">
        <v>0.21155890914513689</v>
      </c>
      <c r="K900">
        <v>4.4062282973348563E-2</v>
      </c>
      <c r="L900">
        <v>-0.87665166380963411</v>
      </c>
      <c r="M900">
        <v>1289.0667510000001</v>
      </c>
      <c r="N900">
        <v>-684.37791900000002</v>
      </c>
      <c r="O900">
        <v>604.68883200000005</v>
      </c>
      <c r="P900">
        <v>26.48605594</v>
      </c>
      <c r="Q900">
        <v>78.464288400000001</v>
      </c>
      <c r="R900">
        <v>15.378836636000001</v>
      </c>
      <c r="S900">
        <v>-19.164726021</v>
      </c>
      <c r="T900">
        <v>-2588.1287188352348</v>
      </c>
    </row>
    <row r="901" spans="1:20" x14ac:dyDescent="0.25">
      <c r="A901" s="1" t="s">
        <v>105</v>
      </c>
      <c r="B901">
        <v>2005</v>
      </c>
      <c r="C901">
        <v>371.57603604600001</v>
      </c>
      <c r="D901">
        <v>349.73486029999998</v>
      </c>
      <c r="E901">
        <v>21.841175746000001</v>
      </c>
      <c r="F901">
        <v>3.59602101421466</v>
      </c>
      <c r="G901">
        <v>-1.9634040956012659</v>
      </c>
      <c r="H901">
        <v>1.6326169186133941</v>
      </c>
      <c r="I901">
        <v>7.1776802545733251E-2</v>
      </c>
      <c r="J901">
        <v>0.2099276899825244</v>
      </c>
      <c r="K901">
        <v>4.2172250705429612E-2</v>
      </c>
      <c r="L901">
        <v>-0.87662811286642894</v>
      </c>
      <c r="M901">
        <v>1336.195234</v>
      </c>
      <c r="N901">
        <v>-729.55391100000008</v>
      </c>
      <c r="O901">
        <v>606.64132299999994</v>
      </c>
      <c r="P901">
        <v>26.670539770000001</v>
      </c>
      <c r="Q901">
        <v>78.004098900000002</v>
      </c>
      <c r="R901">
        <v>14.749106209000001</v>
      </c>
      <c r="S901">
        <v>-19.146588677</v>
      </c>
      <c r="T901">
        <v>-2592.0344237409031</v>
      </c>
    </row>
    <row r="902" spans="1:20" x14ac:dyDescent="0.25">
      <c r="A902" s="1" t="s">
        <v>105</v>
      </c>
      <c r="B902">
        <v>2006</v>
      </c>
      <c r="C902">
        <v>372.26590453799997</v>
      </c>
      <c r="D902">
        <v>350.44619269999998</v>
      </c>
      <c r="E902">
        <v>21.819711838</v>
      </c>
      <c r="F902">
        <v>3.6969861279882932</v>
      </c>
      <c r="G902">
        <v>-1.9572999034232601</v>
      </c>
      <c r="H902">
        <v>1.739686224565032</v>
      </c>
      <c r="I902">
        <v>6.3809328575175073E-2</v>
      </c>
      <c r="J902">
        <v>0.28422948384519398</v>
      </c>
      <c r="K902">
        <v>4.0314397132270523E-2</v>
      </c>
      <c r="L902">
        <v>-0.87660264791806708</v>
      </c>
      <c r="M902">
        <v>1376.2618849999999</v>
      </c>
      <c r="N902">
        <v>-728.63601900000003</v>
      </c>
      <c r="O902">
        <v>647.62586599999986</v>
      </c>
      <c r="P902">
        <v>23.75403742</v>
      </c>
      <c r="Q902">
        <v>105.8089459</v>
      </c>
      <c r="R902">
        <v>14.128026986</v>
      </c>
      <c r="S902">
        <v>-19.127217173999998</v>
      </c>
      <c r="T902">
        <v>-2831.3620834842568</v>
      </c>
    </row>
    <row r="903" spans="1:20" x14ac:dyDescent="0.25">
      <c r="A903" s="1" t="s">
        <v>105</v>
      </c>
      <c r="B903">
        <v>2007</v>
      </c>
      <c r="C903">
        <v>372.95563370500003</v>
      </c>
      <c r="D903">
        <v>351.15875879999999</v>
      </c>
      <c r="E903">
        <v>21.796874904999999</v>
      </c>
      <c r="F903">
        <v>3.5931492137211669</v>
      </c>
      <c r="G903">
        <v>-1.8431162472899369</v>
      </c>
      <c r="H903">
        <v>1.75003296643123</v>
      </c>
      <c r="I903">
        <v>6.4114321460856993E-2</v>
      </c>
      <c r="J903">
        <v>0.28621950455488959</v>
      </c>
      <c r="K903">
        <v>3.8488743422452273E-2</v>
      </c>
      <c r="L903">
        <v>-0.87657534381761881</v>
      </c>
      <c r="M903">
        <v>1340.0852420000001</v>
      </c>
      <c r="N903">
        <v>-687.40058799999997</v>
      </c>
      <c r="O903">
        <v>652.68465400000014</v>
      </c>
      <c r="P903">
        <v>23.91179739</v>
      </c>
      <c r="Q903">
        <v>106.7471767</v>
      </c>
      <c r="R903">
        <v>13.515659368</v>
      </c>
      <c r="S903">
        <v>-19.106603113999999</v>
      </c>
      <c r="T903">
        <v>-2851.7598425949259</v>
      </c>
    </row>
    <row r="904" spans="1:20" x14ac:dyDescent="0.25">
      <c r="A904" s="1" t="s">
        <v>105</v>
      </c>
      <c r="B904">
        <v>2008</v>
      </c>
      <c r="C904">
        <v>373.64543444899999</v>
      </c>
      <c r="D904">
        <v>351.87275779999999</v>
      </c>
      <c r="E904">
        <v>21.772676649000001</v>
      </c>
      <c r="F904">
        <v>3.744020825687207</v>
      </c>
      <c r="G904">
        <v>-1.98361623792613</v>
      </c>
      <c r="H904">
        <v>1.7604045877610759</v>
      </c>
      <c r="I904">
        <v>6.4409670937073615E-2</v>
      </c>
      <c r="J904">
        <v>0.28823431887724549</v>
      </c>
      <c r="K904">
        <v>3.6695286741518812E-2</v>
      </c>
      <c r="L904">
        <v>-0.87654618697864806</v>
      </c>
      <c r="M904">
        <v>1398.9362880000001</v>
      </c>
      <c r="N904">
        <v>-741.16915099999994</v>
      </c>
      <c r="O904">
        <v>657.76713699999993</v>
      </c>
      <c r="P904">
        <v>24.066379479999998</v>
      </c>
      <c r="Q904">
        <v>107.6974373</v>
      </c>
      <c r="R904">
        <v>12.912071744</v>
      </c>
      <c r="S904">
        <v>-19.084756697</v>
      </c>
      <c r="T904">
        <v>-2872.3136523659268</v>
      </c>
    </row>
    <row r="905" spans="1:20" x14ac:dyDescent="0.25">
      <c r="A905" s="1" t="s">
        <v>105</v>
      </c>
      <c r="B905">
        <v>2009</v>
      </c>
      <c r="C905">
        <v>374.21203055500001</v>
      </c>
      <c r="D905">
        <v>352.54644929999989</v>
      </c>
      <c r="E905">
        <v>21.665581254999999</v>
      </c>
      <c r="F905">
        <v>3.609757393412993</v>
      </c>
      <c r="G905">
        <v>-1.851763592347021</v>
      </c>
      <c r="H905">
        <v>1.7579938010659719</v>
      </c>
      <c r="I905">
        <v>6.4687214288911568E-2</v>
      </c>
      <c r="J905">
        <v>0.2905803905842575</v>
      </c>
      <c r="K905">
        <v>3.5046524123367478E-2</v>
      </c>
      <c r="L905">
        <v>-0.87644280688835841</v>
      </c>
      <c r="M905">
        <v>1350.814644</v>
      </c>
      <c r="N905">
        <v>-692.95221400000003</v>
      </c>
      <c r="O905">
        <v>657.86243000000002</v>
      </c>
      <c r="P905">
        <v>24.206733809999999</v>
      </c>
      <c r="Q905">
        <v>108.73867799999999</v>
      </c>
      <c r="R905">
        <v>12.35552764</v>
      </c>
      <c r="S905">
        <v>-18.988642848000001</v>
      </c>
      <c r="T905">
        <v>-2875.307330874261</v>
      </c>
    </row>
    <row r="906" spans="1:20" x14ac:dyDescent="0.25">
      <c r="A906" s="1" t="s">
        <v>105</v>
      </c>
      <c r="B906">
        <v>2010</v>
      </c>
      <c r="C906">
        <v>374.77862868300002</v>
      </c>
      <c r="D906">
        <v>353.22099639999999</v>
      </c>
      <c r="E906">
        <v>21.557632283</v>
      </c>
      <c r="F906">
        <v>3.7189183782912481</v>
      </c>
      <c r="G906">
        <v>-1.94984203493124</v>
      </c>
      <c r="H906">
        <v>1.769076343360009</v>
      </c>
      <c r="I906">
        <v>6.4956452120943101E-2</v>
      </c>
      <c r="J906">
        <v>0.29296686789702331</v>
      </c>
      <c r="K906">
        <v>3.4625283985524703E-2</v>
      </c>
      <c r="L906">
        <v>-0.8763374783462532</v>
      </c>
      <c r="M906">
        <v>1393.7711300000001</v>
      </c>
      <c r="N906">
        <v>-730.75912400000004</v>
      </c>
      <c r="O906">
        <v>663.01200600000004</v>
      </c>
      <c r="P906">
        <v>24.344290050000001</v>
      </c>
      <c r="Q906">
        <v>109.797721</v>
      </c>
      <c r="R906">
        <v>12.23037731</v>
      </c>
      <c r="S906">
        <v>-18.891761114000001</v>
      </c>
      <c r="T906">
        <v>-2898.4729885689298</v>
      </c>
    </row>
    <row r="907" spans="1:20" x14ac:dyDescent="0.25">
      <c r="A907" s="1" t="s">
        <v>105</v>
      </c>
      <c r="B907">
        <v>2011</v>
      </c>
      <c r="C907">
        <v>375.34523582499997</v>
      </c>
      <c r="D907">
        <v>353.89640919999999</v>
      </c>
      <c r="E907">
        <v>21.448826624999999</v>
      </c>
      <c r="F907">
        <v>3.5950712602867232</v>
      </c>
      <c r="G907">
        <v>-1.814821073998109</v>
      </c>
      <c r="H907">
        <v>1.780250186288614</v>
      </c>
      <c r="I907">
        <v>6.5218489282792544E-2</v>
      </c>
      <c r="J907">
        <v>0.29540672004611829</v>
      </c>
      <c r="K907">
        <v>3.4262749959543808E-2</v>
      </c>
      <c r="L907">
        <v>-0.87622970694789704</v>
      </c>
      <c r="M907">
        <v>1349.3928699999999</v>
      </c>
      <c r="N907">
        <v>-681.18444399999998</v>
      </c>
      <c r="O907">
        <v>668.20842599999992</v>
      </c>
      <c r="P907">
        <v>24.479449240000001</v>
      </c>
      <c r="Q907">
        <v>110.87950499999999</v>
      </c>
      <c r="R907">
        <v>12.12546418</v>
      </c>
      <c r="S907">
        <v>-18.794099068000001</v>
      </c>
      <c r="T907">
        <v>-2921.9620662909319</v>
      </c>
    </row>
    <row r="908" spans="1:20" x14ac:dyDescent="0.25">
      <c r="A908" s="1" t="s">
        <v>105</v>
      </c>
      <c r="B908">
        <v>2012</v>
      </c>
      <c r="C908">
        <v>375.91184587200001</v>
      </c>
      <c r="D908">
        <v>354.5726828</v>
      </c>
      <c r="E908">
        <v>21.339163072000002</v>
      </c>
      <c r="F908">
        <v>3.573471375673019</v>
      </c>
      <c r="G908">
        <v>-1.781939599285967</v>
      </c>
      <c r="H908">
        <v>1.791531776387052</v>
      </c>
      <c r="I908">
        <v>6.5474417420675612E-2</v>
      </c>
      <c r="J908">
        <v>0.29791273467379048</v>
      </c>
      <c r="K908">
        <v>3.3958295616336752E-2</v>
      </c>
      <c r="L908">
        <v>-0.87611931137689936</v>
      </c>
      <c r="M908">
        <v>1343.310221</v>
      </c>
      <c r="N908">
        <v>-669.85220400000003</v>
      </c>
      <c r="O908">
        <v>673.45801699999993</v>
      </c>
      <c r="P908">
        <v>24.612609110000001</v>
      </c>
      <c r="Q908">
        <v>111.98892600000001</v>
      </c>
      <c r="R908">
        <v>12.040683980000001</v>
      </c>
      <c r="S908">
        <v>-18.695652855999999</v>
      </c>
      <c r="T908">
        <v>-2945.8168051916009</v>
      </c>
    </row>
    <row r="909" spans="1:20" x14ac:dyDescent="0.25">
      <c r="A909" s="1" t="s">
        <v>105</v>
      </c>
      <c r="B909">
        <v>2013</v>
      </c>
      <c r="C909">
        <v>373.36538984999999</v>
      </c>
      <c r="D909">
        <v>352.34883930000001</v>
      </c>
      <c r="E909">
        <v>21.016550550000002</v>
      </c>
      <c r="F909">
        <v>3.800570490934057</v>
      </c>
      <c r="G909">
        <v>-1.9892413013921459</v>
      </c>
      <c r="H909">
        <v>1.811329189541911</v>
      </c>
      <c r="I909">
        <v>6.572617440480738E-2</v>
      </c>
      <c r="J909">
        <v>0.29315147299532163</v>
      </c>
      <c r="K909">
        <v>3.2099141017377542E-2</v>
      </c>
      <c r="L909">
        <v>-0.87617598355121129</v>
      </c>
      <c r="M909">
        <v>1419.001483</v>
      </c>
      <c r="N909">
        <v>-742.71385399999997</v>
      </c>
      <c r="O909">
        <v>676.28762900000004</v>
      </c>
      <c r="P909">
        <v>24.539878730000002</v>
      </c>
      <c r="Q909">
        <v>109.452614</v>
      </c>
      <c r="R909">
        <v>11.31009508</v>
      </c>
      <c r="S909">
        <v>-18.414196849</v>
      </c>
      <c r="T909">
        <v>-2944.978739857268</v>
      </c>
    </row>
    <row r="910" spans="1:20" x14ac:dyDescent="0.25">
      <c r="A910" s="1" t="s">
        <v>105</v>
      </c>
      <c r="B910">
        <v>2014</v>
      </c>
      <c r="C910">
        <v>370.81907801699998</v>
      </c>
      <c r="D910">
        <v>350.06811340000002</v>
      </c>
      <c r="E910">
        <v>20.750964617000001</v>
      </c>
      <c r="F910">
        <v>3.3133708561339792</v>
      </c>
      <c r="G910">
        <v>-1.8153244099515811</v>
      </c>
      <c r="H910">
        <v>1.4980464461823979</v>
      </c>
      <c r="I910">
        <v>0.1131950679411259</v>
      </c>
      <c r="J910">
        <v>0.20251135244060259</v>
      </c>
      <c r="K910">
        <v>3.029516991421018E-2</v>
      </c>
      <c r="L910">
        <v>-0.87630388286156258</v>
      </c>
      <c r="M910">
        <v>1228.661126</v>
      </c>
      <c r="N910">
        <v>-673.15692399999989</v>
      </c>
      <c r="O910">
        <v>555.5042020000003</v>
      </c>
      <c r="P910">
        <v>41.974890729999998</v>
      </c>
      <c r="Q910">
        <v>75.095072999999999</v>
      </c>
      <c r="R910">
        <v>10.605372977</v>
      </c>
      <c r="S910">
        <v>-18.184150867</v>
      </c>
      <c r="T910">
        <v>-2438.3164220802232</v>
      </c>
    </row>
    <row r="911" spans="1:20" x14ac:dyDescent="0.25">
      <c r="A911" s="1" t="s">
        <v>105</v>
      </c>
      <c r="B911">
        <v>2015</v>
      </c>
      <c r="C911">
        <v>368.27264020099989</v>
      </c>
      <c r="D911">
        <v>347.78604560000002</v>
      </c>
      <c r="E911">
        <v>20.486594601</v>
      </c>
      <c r="F911">
        <v>3.2619828188820699</v>
      </c>
      <c r="G911">
        <v>-1.770818431268925</v>
      </c>
      <c r="H911">
        <v>1.4911643876131451</v>
      </c>
      <c r="I911">
        <v>0.1138382220767704</v>
      </c>
      <c r="J911">
        <v>0.19386903670343891</v>
      </c>
      <c r="K911">
        <v>2.8541915207882629E-2</v>
      </c>
      <c r="L911">
        <v>-0.8764338160000279</v>
      </c>
      <c r="M911">
        <v>1201.299025</v>
      </c>
      <c r="N911">
        <v>-652.14397899999994</v>
      </c>
      <c r="O911">
        <v>549.15504600000008</v>
      </c>
      <c r="P911">
        <v>41.923502599999999</v>
      </c>
      <c r="Q911">
        <v>71.396662000000006</v>
      </c>
      <c r="R911">
        <v>9.9264798239999994</v>
      </c>
      <c r="S911">
        <v>-17.955144282999999</v>
      </c>
      <c r="T911">
        <v>-2399.6373358505521</v>
      </c>
    </row>
    <row r="912" spans="1:20" x14ac:dyDescent="0.25">
      <c r="A912" s="1" t="s">
        <v>105</v>
      </c>
      <c r="B912">
        <v>2016</v>
      </c>
      <c r="C912">
        <v>365.726242904</v>
      </c>
      <c r="D912">
        <v>345.5028001</v>
      </c>
      <c r="E912">
        <v>20.223442804000001</v>
      </c>
      <c r="F912">
        <v>3.4322779301607249</v>
      </c>
      <c r="G912">
        <v>-1.9486569963946261</v>
      </c>
      <c r="H912">
        <v>1.483620933766099</v>
      </c>
      <c r="I912">
        <v>0.1143809700880026</v>
      </c>
      <c r="J912">
        <v>0.18544452118466839</v>
      </c>
      <c r="K912">
        <v>2.684026247056745E-2</v>
      </c>
      <c r="L912">
        <v>-0.87656521032579771</v>
      </c>
      <c r="M912">
        <v>1255.2741120000001</v>
      </c>
      <c r="N912">
        <v>-712.67500200000006</v>
      </c>
      <c r="O912">
        <v>542.59910999999977</v>
      </c>
      <c r="P912">
        <v>41.83212245</v>
      </c>
      <c r="Q912">
        <v>67.821928</v>
      </c>
      <c r="R912">
        <v>9.2733858389999995</v>
      </c>
      <c r="S912">
        <v>-17.727166395000001</v>
      </c>
      <c r="T912">
        <v>-2360.597726278213</v>
      </c>
    </row>
    <row r="913" spans="1:20" x14ac:dyDescent="0.25">
      <c r="A913" s="1" t="s">
        <v>105</v>
      </c>
      <c r="B913">
        <v>2017</v>
      </c>
      <c r="C913">
        <v>365.24491748000003</v>
      </c>
      <c r="D913">
        <v>345.13211799999999</v>
      </c>
      <c r="E913">
        <v>20.11279948</v>
      </c>
      <c r="F913">
        <v>3.2174948281500728</v>
      </c>
      <c r="G913">
        <v>-1.7324154484220811</v>
      </c>
      <c r="H913">
        <v>1.485079379727992</v>
      </c>
      <c r="I913">
        <v>0.11489846919580469</v>
      </c>
      <c r="J913">
        <v>0.17994086667502721</v>
      </c>
      <c r="K913">
        <v>2.664999593286186E-2</v>
      </c>
      <c r="L913">
        <v>-0.87655475885050693</v>
      </c>
      <c r="M913">
        <v>1175.1736330000001</v>
      </c>
      <c r="N913">
        <v>-632.75593750000007</v>
      </c>
      <c r="O913">
        <v>542.41769550000004</v>
      </c>
      <c r="P913">
        <v>41.966081899999999</v>
      </c>
      <c r="Q913">
        <v>65.722487000000001</v>
      </c>
      <c r="R913">
        <v>9.1977695409999995</v>
      </c>
      <c r="S913">
        <v>-17.629970098000001</v>
      </c>
      <c r="T913">
        <v>-2352.8049007578802</v>
      </c>
    </row>
    <row r="914" spans="1:20" x14ac:dyDescent="0.25">
      <c r="A914" s="1" t="s">
        <v>105</v>
      </c>
      <c r="B914">
        <v>2018</v>
      </c>
      <c r="C914">
        <v>364.76365134399998</v>
      </c>
      <c r="D914">
        <v>344.76149199999998</v>
      </c>
      <c r="E914">
        <v>20.002159343999999</v>
      </c>
      <c r="F914">
        <v>3.1465948451030599</v>
      </c>
      <c r="G914">
        <v>-1.6627251461742349</v>
      </c>
      <c r="H914">
        <v>1.4838696989288249</v>
      </c>
      <c r="I914">
        <v>0.11536248977921131</v>
      </c>
      <c r="J914">
        <v>0.17459662651512051</v>
      </c>
      <c r="K914">
        <v>2.6493397536984788E-2</v>
      </c>
      <c r="L914">
        <v>-0.87654180278587035</v>
      </c>
      <c r="M914">
        <v>1147.7634250000001</v>
      </c>
      <c r="N914">
        <v>-606.50169549999998</v>
      </c>
      <c r="O914">
        <v>541.26172950000011</v>
      </c>
      <c r="P914">
        <v>42.080043000000003</v>
      </c>
      <c r="Q914">
        <v>63.686503000000002</v>
      </c>
      <c r="R914">
        <v>9.1339032630000005</v>
      </c>
      <c r="S914">
        <v>-17.532728810999998</v>
      </c>
      <c r="T914">
        <v>-2341.6413164908799</v>
      </c>
    </row>
    <row r="915" spans="1:20" x14ac:dyDescent="0.25">
      <c r="A915" s="1" t="s">
        <v>105</v>
      </c>
      <c r="B915">
        <v>2019</v>
      </c>
      <c r="C915">
        <v>364.28235779699997</v>
      </c>
      <c r="D915">
        <v>344.39085399999999</v>
      </c>
      <c r="E915">
        <v>19.891503796999999</v>
      </c>
      <c r="F915">
        <v>3.1192708943462262</v>
      </c>
      <c r="G915">
        <v>-1.6368375183084709</v>
      </c>
      <c r="H915">
        <v>1.482433376037755</v>
      </c>
      <c r="I915">
        <v>0.115774410419025</v>
      </c>
      <c r="J915">
        <v>0.169410394654331</v>
      </c>
      <c r="K915">
        <v>2.636858137934173E-2</v>
      </c>
      <c r="L915">
        <v>-0.87652614462610812</v>
      </c>
      <c r="M915">
        <v>1136.2953560000001</v>
      </c>
      <c r="N915">
        <v>-596.27103050000005</v>
      </c>
      <c r="O915">
        <v>540.02432550000003</v>
      </c>
      <c r="P915">
        <v>42.1745752</v>
      </c>
      <c r="Q915">
        <v>61.713217999999998</v>
      </c>
      <c r="R915">
        <v>9.0810982599999992</v>
      </c>
      <c r="S915">
        <v>-17.435423134000001</v>
      </c>
      <c r="T915">
        <v>-2330.3785773622121</v>
      </c>
    </row>
    <row r="916" spans="1:20" x14ac:dyDescent="0.25">
      <c r="A916" s="1" t="s">
        <v>105</v>
      </c>
      <c r="B916">
        <v>2020</v>
      </c>
      <c r="C916">
        <v>363.80111343800002</v>
      </c>
      <c r="D916">
        <v>344.02026999999998</v>
      </c>
      <c r="E916">
        <v>19.780843438000002</v>
      </c>
      <c r="F916">
        <v>3.011853019484326</v>
      </c>
      <c r="G916">
        <v>-1.5250459248375909</v>
      </c>
      <c r="H916">
        <v>1.4868070946467351</v>
      </c>
      <c r="I916">
        <v>0.1162870225992582</v>
      </c>
      <c r="J916">
        <v>0.16633529905430811</v>
      </c>
      <c r="K916">
        <v>2.6273814749346019E-2</v>
      </c>
      <c r="L916">
        <v>-0.87650794675886778</v>
      </c>
      <c r="M916">
        <v>1095.7154820000001</v>
      </c>
      <c r="N916">
        <v>-554.81340549999993</v>
      </c>
      <c r="O916">
        <v>540.90207650000013</v>
      </c>
      <c r="P916">
        <v>42.305348299999999</v>
      </c>
      <c r="Q916">
        <v>60.512967000000003</v>
      </c>
      <c r="R916">
        <v>9.0387248440000008</v>
      </c>
      <c r="S916">
        <v>-17.338066467000001</v>
      </c>
      <c r="T916">
        <v>-2329.8771839825458</v>
      </c>
    </row>
    <row r="917" spans="1:20" x14ac:dyDescent="0.25">
      <c r="A917" s="1" t="s">
        <v>105</v>
      </c>
      <c r="B917">
        <v>2021</v>
      </c>
      <c r="C917">
        <v>363.31765266000002</v>
      </c>
      <c r="D917">
        <v>343.64772599999998</v>
      </c>
      <c r="E917">
        <v>19.669926660000002</v>
      </c>
      <c r="F917">
        <v>3.002904725416653</v>
      </c>
      <c r="G917">
        <v>-1.5087902805894999</v>
      </c>
      <c r="H917">
        <v>1.4941144448271519</v>
      </c>
      <c r="I917">
        <v>0.1168178176569859</v>
      </c>
      <c r="J917">
        <v>0.16400709837174471</v>
      </c>
      <c r="K917">
        <v>2.6431174798462079E-2</v>
      </c>
      <c r="L917">
        <v>-0.87649400330809357</v>
      </c>
      <c r="M917">
        <v>1091.008296</v>
      </c>
      <c r="N917">
        <v>-548.1701430999999</v>
      </c>
      <c r="O917">
        <v>542.83815290000007</v>
      </c>
      <c r="P917">
        <v>42.441975300000003</v>
      </c>
      <c r="Q917">
        <v>59.586674000000002</v>
      </c>
      <c r="R917">
        <v>9.083013115</v>
      </c>
      <c r="S917">
        <v>-17.240572762999999</v>
      </c>
      <c r="T917">
        <v>-2334.600556024212</v>
      </c>
    </row>
    <row r="918" spans="1:20" x14ac:dyDescent="0.25">
      <c r="A918" s="1" t="s">
        <v>105</v>
      </c>
      <c r="B918">
        <v>2022</v>
      </c>
      <c r="C918">
        <v>362.834238056</v>
      </c>
      <c r="D918">
        <v>343.27505100000002</v>
      </c>
      <c r="E918">
        <v>19.559187055999999</v>
      </c>
      <c r="F918">
        <v>2.7687092165898419</v>
      </c>
      <c r="G918">
        <v>-1.4672904738880559</v>
      </c>
      <c r="H918">
        <v>1.301418742701786</v>
      </c>
      <c r="I918">
        <v>0.1022521479747286</v>
      </c>
      <c r="J918">
        <v>0.17392613866351869</v>
      </c>
      <c r="K918">
        <v>2.6602152951103918E-2</v>
      </c>
      <c r="L918">
        <v>-0.87648211645591412</v>
      </c>
      <c r="M918">
        <v>1004.582499</v>
      </c>
      <c r="N918">
        <v>-532.38322110000001</v>
      </c>
      <c r="O918">
        <v>472.19927790000008</v>
      </c>
      <c r="P918">
        <v>37.100580200000003</v>
      </c>
      <c r="Q918">
        <v>63.106358</v>
      </c>
      <c r="R918">
        <v>9.1318554110000001</v>
      </c>
      <c r="S918">
        <v>-17.143277667</v>
      </c>
      <c r="T918">
        <v>-2069.4475774281891</v>
      </c>
    </row>
    <row r="919" spans="1:20" x14ac:dyDescent="0.25">
      <c r="A919" s="1" t="s">
        <v>105</v>
      </c>
      <c r="B919">
        <v>2023</v>
      </c>
      <c r="C919">
        <v>362.35090712599998</v>
      </c>
      <c r="D919">
        <v>342.90227800000002</v>
      </c>
      <c r="E919">
        <v>19.448629126</v>
      </c>
      <c r="F919">
        <v>2.7422534136349661</v>
      </c>
      <c r="G919">
        <v>-1.437275196109564</v>
      </c>
      <c r="H919">
        <v>1.3049782175254021</v>
      </c>
      <c r="I919">
        <v>0.10270277862740231</v>
      </c>
      <c r="J919">
        <v>0.17261476312035429</v>
      </c>
      <c r="K919">
        <v>2.6786683636438251E-2</v>
      </c>
      <c r="L919">
        <v>-0.87647221665673725</v>
      </c>
      <c r="M919">
        <v>993.65801199999999</v>
      </c>
      <c r="N919">
        <v>-520.79797110000004</v>
      </c>
      <c r="O919">
        <v>472.86004089999989</v>
      </c>
      <c r="P919">
        <v>37.214444999999998</v>
      </c>
      <c r="Q919">
        <v>62.547116000000003</v>
      </c>
      <c r="R919">
        <v>9.1852148390000004</v>
      </c>
      <c r="S919">
        <v>-17.046183080999999</v>
      </c>
      <c r="T919">
        <v>-2070.7889900795221</v>
      </c>
    </row>
    <row r="920" spans="1:20" x14ac:dyDescent="0.25">
      <c r="A920" s="1" t="s">
        <v>42</v>
      </c>
      <c r="B920">
        <v>1990</v>
      </c>
      <c r="C920">
        <v>12207.08640770985</v>
      </c>
      <c r="D920">
        <v>11495.01250624651</v>
      </c>
      <c r="E920">
        <v>712.07390146333296</v>
      </c>
      <c r="F920">
        <v>0.86341293391377305</v>
      </c>
      <c r="G920">
        <v>-0.60062267962477855</v>
      </c>
      <c r="H920">
        <v>0.2627902542889945</v>
      </c>
      <c r="I920">
        <v>-8.2489925310434047E-4</v>
      </c>
      <c r="J920">
        <v>6.7425941831971994E-2</v>
      </c>
      <c r="K920">
        <v>9.9741672371122885E-4</v>
      </c>
      <c r="L920">
        <v>-0.46643638710788199</v>
      </c>
      <c r="M920">
        <v>10539.756289819699</v>
      </c>
      <c r="N920">
        <v>-7331.8529486099014</v>
      </c>
      <c r="O920">
        <v>3207.9033412097988</v>
      </c>
      <c r="P920">
        <v>-10.069616460300001</v>
      </c>
      <c r="Q920">
        <v>823.07429806410005</v>
      </c>
      <c r="R920">
        <v>11.465317712999999</v>
      </c>
      <c r="S920">
        <v>-332.13717795237102</v>
      </c>
      <c r="T920">
        <v>-13567.532596106739</v>
      </c>
    </row>
    <row r="921" spans="1:20" x14ac:dyDescent="0.25">
      <c r="A921" s="1" t="s">
        <v>42</v>
      </c>
      <c r="B921">
        <v>1991</v>
      </c>
      <c r="C921">
        <v>12204.980443389701</v>
      </c>
      <c r="D921">
        <v>11492.778866543031</v>
      </c>
      <c r="E921">
        <v>712.20157684666697</v>
      </c>
      <c r="F921">
        <v>0.86356191545789873</v>
      </c>
      <c r="G921">
        <v>-0.57750414259158267</v>
      </c>
      <c r="H921">
        <v>0.28605777286631612</v>
      </c>
      <c r="I921">
        <v>-8.3195621800438713E-4</v>
      </c>
      <c r="J921">
        <v>6.7390389791707611E-2</v>
      </c>
      <c r="K921">
        <v>9.9758785812683378E-4</v>
      </c>
      <c r="L921">
        <v>-0.46719247891266891</v>
      </c>
      <c r="M921">
        <v>10539.756289819799</v>
      </c>
      <c r="N921">
        <v>-7048.4267663068003</v>
      </c>
      <c r="O921">
        <v>3491.329523512999</v>
      </c>
      <c r="P921">
        <v>-10.154009370500001</v>
      </c>
      <c r="Q921">
        <v>822.49838948019999</v>
      </c>
      <c r="R921">
        <v>11.4650566534</v>
      </c>
      <c r="S921">
        <v>-332.73522017250599</v>
      </c>
      <c r="T921">
        <v>-14602.14704704784</v>
      </c>
    </row>
    <row r="922" spans="1:20" x14ac:dyDescent="0.25">
      <c r="A922" s="1" t="s">
        <v>42</v>
      </c>
      <c r="B922">
        <v>1992</v>
      </c>
      <c r="C922">
        <v>12202.87447906954</v>
      </c>
      <c r="D922">
        <v>11490.54522683954</v>
      </c>
      <c r="E922">
        <v>712.32925223000007</v>
      </c>
      <c r="F922">
        <v>0.86371094842429652</v>
      </c>
      <c r="G922">
        <v>-0.58260750794139871</v>
      </c>
      <c r="H922">
        <v>0.28110344048289793</v>
      </c>
      <c r="I922">
        <v>-8.390156186774666E-4</v>
      </c>
      <c r="J922">
        <v>6.7354825480321651E-2</v>
      </c>
      <c r="K922">
        <v>9.9775905906715392E-4</v>
      </c>
      <c r="L922">
        <v>-0.4679483225518371</v>
      </c>
      <c r="M922">
        <v>10539.756289819799</v>
      </c>
      <c r="N922">
        <v>-7109.4862899724003</v>
      </c>
      <c r="O922">
        <v>3430.269999847399</v>
      </c>
      <c r="P922">
        <v>-10.238402280700001</v>
      </c>
      <c r="Q922">
        <v>821.92248089600002</v>
      </c>
      <c r="R922">
        <v>11.4647955937</v>
      </c>
      <c r="S922">
        <v>-333.33327868563299</v>
      </c>
      <c r="T922">
        <v>-14373.64718302745</v>
      </c>
    </row>
    <row r="923" spans="1:20" x14ac:dyDescent="0.25">
      <c r="A923" s="1" t="s">
        <v>42</v>
      </c>
      <c r="B923">
        <v>1993</v>
      </c>
      <c r="C923">
        <v>12200.76851474939</v>
      </c>
      <c r="D923">
        <v>11488.311587136061</v>
      </c>
      <c r="E923">
        <v>712.45692761333294</v>
      </c>
      <c r="F923">
        <v>0.86386003283960289</v>
      </c>
      <c r="G923">
        <v>-0.54921351543133823</v>
      </c>
      <c r="H923">
        <v>0.3146465174082646</v>
      </c>
      <c r="I923">
        <v>-8.4607745637669228E-4</v>
      </c>
      <c r="J923">
        <v>6.7319248891500746E-2</v>
      </c>
      <c r="K923">
        <v>9.9793032657969683E-4</v>
      </c>
      <c r="L923">
        <v>-0.4687039181747425</v>
      </c>
      <c r="M923">
        <v>10539.756289819799</v>
      </c>
      <c r="N923">
        <v>-6700.8269669495003</v>
      </c>
      <c r="O923">
        <v>3838.9293228703009</v>
      </c>
      <c r="P923">
        <v>-10.322795190800001</v>
      </c>
      <c r="Q923">
        <v>821.34657231200003</v>
      </c>
      <c r="R923">
        <v>11.464534534</v>
      </c>
      <c r="S923">
        <v>-333.93135350310803</v>
      </c>
      <c r="T923">
        <v>-15867.44969708355</v>
      </c>
    </row>
    <row r="924" spans="1:20" x14ac:dyDescent="0.25">
      <c r="A924" s="1" t="s">
        <v>42</v>
      </c>
      <c r="B924">
        <v>1994</v>
      </c>
      <c r="C924">
        <v>12198.662550429241</v>
      </c>
      <c r="D924">
        <v>11486.07794743257</v>
      </c>
      <c r="E924">
        <v>712.58460299666706</v>
      </c>
      <c r="F924">
        <v>0.86400916873046352</v>
      </c>
      <c r="G924">
        <v>-0.58139676812809638</v>
      </c>
      <c r="H924">
        <v>0.28261240060236709</v>
      </c>
      <c r="I924">
        <v>-8.5314173238883477E-4</v>
      </c>
      <c r="J924">
        <v>6.7283660018878005E-2</v>
      </c>
      <c r="K924">
        <v>9.9810166070330017E-4</v>
      </c>
      <c r="L924">
        <v>-0.46945926593064302</v>
      </c>
      <c r="M924">
        <v>10539.756289819799</v>
      </c>
      <c r="N924">
        <v>-7092.2629823048001</v>
      </c>
      <c r="O924">
        <v>3447.4933075150011</v>
      </c>
      <c r="P924">
        <v>-10.407188101099999</v>
      </c>
      <c r="Q924">
        <v>820.77066372809998</v>
      </c>
      <c r="R924">
        <v>11.464273474300001</v>
      </c>
      <c r="S924">
        <v>-334.52944463629399</v>
      </c>
      <c r="T924">
        <v>-14427.56924392801</v>
      </c>
    </row>
    <row r="925" spans="1:20" x14ac:dyDescent="0.25">
      <c r="A925" s="1" t="s">
        <v>42</v>
      </c>
      <c r="B925">
        <v>1995</v>
      </c>
      <c r="C925">
        <v>12195.79954618909</v>
      </c>
      <c r="D925">
        <v>11483.26751540909</v>
      </c>
      <c r="E925">
        <v>712.53203078000001</v>
      </c>
      <c r="F925">
        <v>0.84950266077603598</v>
      </c>
      <c r="G925">
        <v>-0.51272810304115424</v>
      </c>
      <c r="H925">
        <v>0.33677455773488169</v>
      </c>
      <c r="I925">
        <v>-3.7518522329516279E-4</v>
      </c>
      <c r="J925">
        <v>7.7226035055438555E-2</v>
      </c>
      <c r="K925">
        <v>1.057167940885293E-3</v>
      </c>
      <c r="L925">
        <v>-0.4703331393034797</v>
      </c>
      <c r="M925">
        <v>10360.364164778801</v>
      </c>
      <c r="N925">
        <v>-6253.1291663877</v>
      </c>
      <c r="O925">
        <v>4107.2349983911008</v>
      </c>
      <c r="P925">
        <v>-4.5756837759999982</v>
      </c>
      <c r="Q925">
        <v>941.83324328310005</v>
      </c>
      <c r="R925">
        <v>12.1397422739</v>
      </c>
      <c r="S925">
        <v>-335.12742689104101</v>
      </c>
      <c r="T925">
        <v>-17312.184535365461</v>
      </c>
    </row>
    <row r="926" spans="1:20" x14ac:dyDescent="0.25">
      <c r="A926" s="1" t="s">
        <v>42</v>
      </c>
      <c r="B926">
        <v>1996</v>
      </c>
      <c r="C926">
        <v>12192.75329022227</v>
      </c>
      <c r="D926">
        <v>11480.673380505599</v>
      </c>
      <c r="E926">
        <v>712.07990971666663</v>
      </c>
      <c r="F926">
        <v>0.8498289742108619</v>
      </c>
      <c r="G926">
        <v>-0.59050256348724584</v>
      </c>
      <c r="H926">
        <v>0.25932641072361601</v>
      </c>
      <c r="I926">
        <v>-1.649043657942617E-3</v>
      </c>
      <c r="J926">
        <v>7.0092954876479804E-2</v>
      </c>
      <c r="K926">
        <v>1.065454431450893E-3</v>
      </c>
      <c r="L926">
        <v>-0.47006868719748951</v>
      </c>
      <c r="M926">
        <v>10361.7550214357</v>
      </c>
      <c r="N926">
        <v>-7199.8520738438001</v>
      </c>
      <c r="O926">
        <v>3161.9029475919001</v>
      </c>
      <c r="P926">
        <v>-20.106382486099999</v>
      </c>
      <c r="Q926">
        <v>854.6261061916</v>
      </c>
      <c r="R926">
        <v>12.232134329300001</v>
      </c>
      <c r="S926">
        <v>-334.72646834022032</v>
      </c>
      <c r="T926">
        <v>-13471.07057005165</v>
      </c>
    </row>
    <row r="927" spans="1:20" x14ac:dyDescent="0.25">
      <c r="A927" s="1" t="s">
        <v>42</v>
      </c>
      <c r="B927">
        <v>1997</v>
      </c>
      <c r="C927">
        <v>12189.07874262113</v>
      </c>
      <c r="D927">
        <v>11477.811449167801</v>
      </c>
      <c r="E927">
        <v>711.26729345333331</v>
      </c>
      <c r="F927">
        <v>0.87044742898591221</v>
      </c>
      <c r="G927">
        <v>-0.53053173686301969</v>
      </c>
      <c r="H927">
        <v>0.33991569212289252</v>
      </c>
      <c r="I927">
        <v>3.4453896524725498E-4</v>
      </c>
      <c r="J927">
        <v>6.3648142274357791E-2</v>
      </c>
      <c r="K927">
        <v>1.1255802760147891E-3</v>
      </c>
      <c r="L927">
        <v>-0.47102863823763758</v>
      </c>
      <c r="M927">
        <v>10609.9522532214</v>
      </c>
      <c r="N927">
        <v>-6466.6931160829008</v>
      </c>
      <c r="O927">
        <v>4143.2591371384988</v>
      </c>
      <c r="P927">
        <v>4.1996125772999973</v>
      </c>
      <c r="Q927">
        <v>775.81221800369997</v>
      </c>
      <c r="R927">
        <v>12.919198179</v>
      </c>
      <c r="S927">
        <v>-335.02726465829369</v>
      </c>
      <c r="T927">
        <v>-16870.930637882291</v>
      </c>
    </row>
    <row r="928" spans="1:20" x14ac:dyDescent="0.25">
      <c r="A928" s="1" t="s">
        <v>42</v>
      </c>
      <c r="B928">
        <v>1998</v>
      </c>
      <c r="C928">
        <v>12185.760184029999</v>
      </c>
      <c r="D928">
        <v>11475.41816159</v>
      </c>
      <c r="E928">
        <v>710.34202244000005</v>
      </c>
      <c r="F928">
        <v>0.89680083208165451</v>
      </c>
      <c r="G928">
        <v>-0.51551349709279948</v>
      </c>
      <c r="H928">
        <v>0.38128733498885509</v>
      </c>
      <c r="I928">
        <v>-3.5571503134295801E-4</v>
      </c>
      <c r="J928">
        <v>5.1562528786636849E-2</v>
      </c>
      <c r="K928">
        <v>1.137954309770499E-3</v>
      </c>
      <c r="L928">
        <v>-0.47593668319401189</v>
      </c>
      <c r="M928">
        <v>10928.199872585599</v>
      </c>
      <c r="N928">
        <v>-6281.9238472035004</v>
      </c>
      <c r="O928">
        <v>4646.2760253820989</v>
      </c>
      <c r="P928">
        <v>-4.3346580658000011</v>
      </c>
      <c r="Q928">
        <v>628.32861027609999</v>
      </c>
      <c r="R928">
        <v>13.058501553399999</v>
      </c>
      <c r="S928">
        <v>-338.07782609342001</v>
      </c>
      <c r="T928">
        <v>-18132.585727860369</v>
      </c>
    </row>
    <row r="929" spans="1:20" x14ac:dyDescent="0.25">
      <c r="A929" s="1" t="s">
        <v>42</v>
      </c>
      <c r="B929">
        <v>1999</v>
      </c>
      <c r="C929">
        <v>12182.317454870001</v>
      </c>
      <c r="D929">
        <v>11472.93074471</v>
      </c>
      <c r="E929">
        <v>709.38671016000001</v>
      </c>
      <c r="F929">
        <v>0.94785977207994387</v>
      </c>
      <c r="G929">
        <v>-0.43484127337596362</v>
      </c>
      <c r="H929">
        <v>0.5130184987039802</v>
      </c>
      <c r="I929">
        <v>-9.0334958756149361E-4</v>
      </c>
      <c r="J929">
        <v>3.7750450365989709E-2</v>
      </c>
      <c r="K929">
        <v>1.150192920713351E-3</v>
      </c>
      <c r="L929">
        <v>-0.47416965197578892</v>
      </c>
      <c r="M929">
        <v>11547.1286461786</v>
      </c>
      <c r="N929">
        <v>-5297.3744347458996</v>
      </c>
      <c r="O929">
        <v>6249.7542114327007</v>
      </c>
      <c r="P929">
        <v>-11.0048914484</v>
      </c>
      <c r="Q929">
        <v>459.88797042279998</v>
      </c>
      <c r="R929">
        <v>13.196083722399999</v>
      </c>
      <c r="S929">
        <v>-336.369649472817</v>
      </c>
      <c r="T929">
        <v>-23376.700323743298</v>
      </c>
    </row>
    <row r="930" spans="1:20" x14ac:dyDescent="0.25">
      <c r="A930" s="1" t="s">
        <v>42</v>
      </c>
      <c r="B930">
        <v>2000</v>
      </c>
      <c r="C930">
        <v>12179.10904759</v>
      </c>
      <c r="D930">
        <v>11470.497402110001</v>
      </c>
      <c r="E930">
        <v>708.61164547999999</v>
      </c>
      <c r="F930">
        <v>1.0014201092189521</v>
      </c>
      <c r="G930">
        <v>-0.52479845870260644</v>
      </c>
      <c r="H930">
        <v>0.47662165051634542</v>
      </c>
      <c r="I930">
        <v>-1.328943950592409E-3</v>
      </c>
      <c r="J930">
        <v>2.503876463551687E-2</v>
      </c>
      <c r="K930">
        <v>1.1967461908996961E-3</v>
      </c>
      <c r="L930">
        <v>-0.47227745292310691</v>
      </c>
      <c r="M930">
        <v>12196.4047126271</v>
      </c>
      <c r="N930">
        <v>-6391.5776565462002</v>
      </c>
      <c r="O930">
        <v>5804.8270560808996</v>
      </c>
      <c r="P930">
        <v>-16.185353292399999</v>
      </c>
      <c r="Q930">
        <v>304.94984491290001</v>
      </c>
      <c r="R930">
        <v>13.7272740737</v>
      </c>
      <c r="S930">
        <v>-334.66130303894602</v>
      </c>
      <c r="T930">
        <v>-21166.410902034491</v>
      </c>
    </row>
    <row r="931" spans="1:20" x14ac:dyDescent="0.25">
      <c r="A931" s="1" t="s">
        <v>42</v>
      </c>
      <c r="B931">
        <v>2001</v>
      </c>
      <c r="C931">
        <v>12175.93668983</v>
      </c>
      <c r="D931">
        <v>11467.86578715</v>
      </c>
      <c r="E931">
        <v>708.07090268000002</v>
      </c>
      <c r="F931">
        <v>1.043655300402323</v>
      </c>
      <c r="G931">
        <v>-0.47547139912988751</v>
      </c>
      <c r="H931">
        <v>0.56818390127243612</v>
      </c>
      <c r="I931">
        <v>-9.2446452960796084E-4</v>
      </c>
      <c r="J931">
        <v>3.5323406554186428E-2</v>
      </c>
      <c r="K931">
        <v>1.2488381486769379E-3</v>
      </c>
      <c r="L931">
        <v>-0.4710847757190626</v>
      </c>
      <c r="M931">
        <v>12707.480863704201</v>
      </c>
      <c r="N931">
        <v>-5789.3096536304001</v>
      </c>
      <c r="O931">
        <v>6918.1712100737996</v>
      </c>
      <c r="P931">
        <v>-11.2562215845</v>
      </c>
      <c r="Q931">
        <v>430.09556187290002</v>
      </c>
      <c r="R931">
        <v>14.3215082789</v>
      </c>
      <c r="S931">
        <v>-333.56142238220201</v>
      </c>
      <c r="T931">
        <v>-25731.825666284971</v>
      </c>
    </row>
    <row r="932" spans="1:20" x14ac:dyDescent="0.25">
      <c r="A932" s="1" t="s">
        <v>42</v>
      </c>
      <c r="B932">
        <v>2002</v>
      </c>
      <c r="C932">
        <v>12173.41322343</v>
      </c>
      <c r="D932">
        <v>11465.57664263</v>
      </c>
      <c r="E932">
        <v>707.83658079999998</v>
      </c>
      <c r="F932">
        <v>1.069002938728258</v>
      </c>
      <c r="G932">
        <v>-0.48114304928355828</v>
      </c>
      <c r="H932">
        <v>0.58785988944469936</v>
      </c>
      <c r="I932">
        <v>-5.337026078516213E-4</v>
      </c>
      <c r="J932">
        <v>4.2739887295356438E-2</v>
      </c>
      <c r="K932">
        <v>1.2971843150218049E-3</v>
      </c>
      <c r="L932">
        <v>-0.47100995823096908</v>
      </c>
      <c r="M932">
        <v>13013.4145102001</v>
      </c>
      <c r="N932">
        <v>-5857.1531585099001</v>
      </c>
      <c r="O932">
        <v>7156.2613516902002</v>
      </c>
      <c r="P932">
        <v>-6.4969823838000016</v>
      </c>
      <c r="Q932">
        <v>520.29030916919999</v>
      </c>
      <c r="R932">
        <v>14.872966183500001</v>
      </c>
      <c r="S932">
        <v>-333.39807835696001</v>
      </c>
      <c r="T932">
        <v>-26955.60840977696</v>
      </c>
    </row>
    <row r="933" spans="1:20" x14ac:dyDescent="0.25">
      <c r="A933" s="1" t="s">
        <v>42</v>
      </c>
      <c r="B933">
        <v>2003</v>
      </c>
      <c r="C933">
        <v>12170.024568549999</v>
      </c>
      <c r="D933">
        <v>11462.49440867</v>
      </c>
      <c r="E933">
        <v>707.53015987999993</v>
      </c>
      <c r="F933">
        <v>1.082463206712045</v>
      </c>
      <c r="G933">
        <v>-0.5234788064783048</v>
      </c>
      <c r="H933">
        <v>0.55898440023373985</v>
      </c>
      <c r="I933">
        <v>7.9370778532050876E-4</v>
      </c>
      <c r="J933">
        <v>5.030949855645598E-2</v>
      </c>
      <c r="K933">
        <v>1.324205779548223E-3</v>
      </c>
      <c r="L933">
        <v>-0.47098308307059589</v>
      </c>
      <c r="M933">
        <v>13173.603820237</v>
      </c>
      <c r="N933">
        <v>-6370.7499359561998</v>
      </c>
      <c r="O933">
        <v>6802.8538842808002</v>
      </c>
      <c r="P933">
        <v>9.6594432476000005</v>
      </c>
      <c r="Q933">
        <v>612.26783346349998</v>
      </c>
      <c r="R933">
        <v>15.178701344</v>
      </c>
      <c r="S933">
        <v>-333.234736065714</v>
      </c>
      <c r="T933">
        <v>-26057.99212965972</v>
      </c>
    </row>
    <row r="934" spans="1:20" x14ac:dyDescent="0.25">
      <c r="A934" s="1" t="s">
        <v>42</v>
      </c>
      <c r="B934">
        <v>2004</v>
      </c>
      <c r="C934">
        <v>12166.78011175</v>
      </c>
      <c r="D934">
        <v>11459.862793709999</v>
      </c>
      <c r="E934">
        <v>706.91731803999994</v>
      </c>
      <c r="F934">
        <v>1.0891073781690019</v>
      </c>
      <c r="G934">
        <v>-0.53937291394118059</v>
      </c>
      <c r="H934">
        <v>0.54973446422782157</v>
      </c>
      <c r="I934">
        <v>1.3620180550971161E-3</v>
      </c>
      <c r="J934">
        <v>6.1201354487995081E-2</v>
      </c>
      <c r="K934">
        <v>1.3692634798483511E-3</v>
      </c>
      <c r="L934">
        <v>-0.470696453721274</v>
      </c>
      <c r="M934">
        <v>13250.9299882668</v>
      </c>
      <c r="N934">
        <v>-6562.4316421561998</v>
      </c>
      <c r="O934">
        <v>6688.4983461106003</v>
      </c>
      <c r="P934">
        <v>16.5713741846</v>
      </c>
      <c r="Q934">
        <v>744.62342259670004</v>
      </c>
      <c r="R934">
        <v>15.6915716075</v>
      </c>
      <c r="S934">
        <v>-332.74347467558198</v>
      </c>
      <c r="T934">
        <v>-26153.017879356379</v>
      </c>
    </row>
    <row r="935" spans="1:20" x14ac:dyDescent="0.25">
      <c r="A935" s="1" t="s">
        <v>42</v>
      </c>
      <c r="B935">
        <v>2005</v>
      </c>
      <c r="C935">
        <v>12163.10306071</v>
      </c>
      <c r="D935">
        <v>11456.85265879</v>
      </c>
      <c r="E935">
        <v>706.25040192000006</v>
      </c>
      <c r="F935">
        <v>1.076916493110714</v>
      </c>
      <c r="G935">
        <v>-0.50505630258071743</v>
      </c>
      <c r="H935">
        <v>0.57186019052999615</v>
      </c>
      <c r="I935">
        <v>3.7698262477374278E-3</v>
      </c>
      <c r="J935">
        <v>7.3115316127789862E-2</v>
      </c>
      <c r="K935">
        <v>1.426748694577902E-3</v>
      </c>
      <c r="L935">
        <v>-0.47044531504240422</v>
      </c>
      <c r="M935">
        <v>13098.646293484</v>
      </c>
      <c r="N935">
        <v>-6143.0518597503997</v>
      </c>
      <c r="O935">
        <v>6955.5944337336005</v>
      </c>
      <c r="P935">
        <v>45.852785172200001</v>
      </c>
      <c r="Q935">
        <v>889.30912537870006</v>
      </c>
      <c r="R935">
        <v>16.3460495749</v>
      </c>
      <c r="S935">
        <v>-332.25219283007903</v>
      </c>
      <c r="T935">
        <v>-27774.45073711003</v>
      </c>
    </row>
    <row r="936" spans="1:20" x14ac:dyDescent="0.25">
      <c r="A936" s="1" t="s">
        <v>42</v>
      </c>
      <c r="B936">
        <v>2006</v>
      </c>
      <c r="C936">
        <v>12159.20971255</v>
      </c>
      <c r="D936">
        <v>11453.085483950001</v>
      </c>
      <c r="E936">
        <v>706.12422859999992</v>
      </c>
      <c r="F936">
        <v>1.070699840846286</v>
      </c>
      <c r="G936">
        <v>-0.60480341201968224</v>
      </c>
      <c r="H936">
        <v>0.4658964288266037</v>
      </c>
      <c r="I936">
        <v>4.095490206464783E-3</v>
      </c>
      <c r="J936">
        <v>7.5250017636377495E-2</v>
      </c>
      <c r="K936">
        <v>1.516956550987693E-3</v>
      </c>
      <c r="L936">
        <v>-0.47110317421578712</v>
      </c>
      <c r="M936">
        <v>13018.863904043899</v>
      </c>
      <c r="N936">
        <v>-7353.9315216130999</v>
      </c>
      <c r="O936">
        <v>5664.9323824307994</v>
      </c>
      <c r="P936">
        <v>49.7979242961</v>
      </c>
      <c r="Q936">
        <v>914.98074531380007</v>
      </c>
      <c r="R936">
        <v>17.3738330539</v>
      </c>
      <c r="S936">
        <v>-332.657365484134</v>
      </c>
      <c r="T936">
        <v>-23152.90090524048</v>
      </c>
    </row>
    <row r="937" spans="1:20" x14ac:dyDescent="0.25">
      <c r="A937" s="1" t="s">
        <v>42</v>
      </c>
      <c r="B937">
        <v>2007</v>
      </c>
      <c r="C937">
        <v>12155.909166269999</v>
      </c>
      <c r="D937">
        <v>11449.983210029999</v>
      </c>
      <c r="E937">
        <v>705.92595624</v>
      </c>
      <c r="F937">
        <v>1.077407834589762</v>
      </c>
      <c r="G937">
        <v>-0.57680458365780807</v>
      </c>
      <c r="H937">
        <v>0.5006032509319539</v>
      </c>
      <c r="I937">
        <v>1.9447156770054899E-3</v>
      </c>
      <c r="J937">
        <v>7.6132041497285433E-2</v>
      </c>
      <c r="K937">
        <v>1.576972865915032E-3</v>
      </c>
      <c r="L937">
        <v>-0.47185900992378371</v>
      </c>
      <c r="M937">
        <v>13096.871772300799</v>
      </c>
      <c r="N937">
        <v>-7011.5841256325002</v>
      </c>
      <c r="O937">
        <v>6085.2876466682992</v>
      </c>
      <c r="P937">
        <v>23.6397871239</v>
      </c>
      <c r="Q937">
        <v>925.45418108369995</v>
      </c>
      <c r="R937">
        <v>18.0563128374</v>
      </c>
      <c r="S937">
        <v>-333.09752279090662</v>
      </c>
      <c r="T937">
        <v>-24637.581484717681</v>
      </c>
    </row>
    <row r="938" spans="1:20" x14ac:dyDescent="0.25">
      <c r="A938" s="1" t="s">
        <v>42</v>
      </c>
      <c r="B938">
        <v>2008</v>
      </c>
      <c r="C938">
        <v>12152.987139950001</v>
      </c>
      <c r="D938">
        <v>11447.187357029999</v>
      </c>
      <c r="E938">
        <v>705.79978291999998</v>
      </c>
      <c r="F938">
        <v>1.0929961712239129</v>
      </c>
      <c r="G938">
        <v>-0.49036797465309567</v>
      </c>
      <c r="H938">
        <v>0.60262819657081701</v>
      </c>
      <c r="I938">
        <v>2.3822816546911212E-3</v>
      </c>
      <c r="J938">
        <v>9.2675804054799124E-2</v>
      </c>
      <c r="K938">
        <v>1.6992435914621701E-3</v>
      </c>
      <c r="L938">
        <v>-0.47259799080543469</v>
      </c>
      <c r="M938">
        <v>13283.1684128988</v>
      </c>
      <c r="N938">
        <v>-5959.4356898023998</v>
      </c>
      <c r="O938">
        <v>7323.7327230964002</v>
      </c>
      <c r="P938">
        <v>28.9518383132</v>
      </c>
      <c r="Q938">
        <v>1126.2878548624999</v>
      </c>
      <c r="R938">
        <v>19.4515597567</v>
      </c>
      <c r="S938">
        <v>-333.55955931890401</v>
      </c>
      <c r="T938">
        <v>-29937.836194605679</v>
      </c>
    </row>
    <row r="939" spans="1:20" x14ac:dyDescent="0.25">
      <c r="A939" s="1" t="s">
        <v>42</v>
      </c>
      <c r="B939">
        <v>2009</v>
      </c>
      <c r="C939">
        <v>12151.18264875</v>
      </c>
      <c r="D939">
        <v>11445.094469670001</v>
      </c>
      <c r="E939">
        <v>706.08817907999992</v>
      </c>
      <c r="F939">
        <v>1.1063674834773269</v>
      </c>
      <c r="G939">
        <v>-0.54396663532534906</v>
      </c>
      <c r="H939">
        <v>0.56240084815197811</v>
      </c>
      <c r="I939">
        <v>4.1600282741943682E-3</v>
      </c>
      <c r="J939">
        <v>0.1129557115631864</v>
      </c>
      <c r="K939">
        <v>1.8345763852926421E-3</v>
      </c>
      <c r="L939">
        <v>-0.47387643038574351</v>
      </c>
      <c r="M939">
        <v>13443.673368370901</v>
      </c>
      <c r="N939">
        <v>-6609.8379406642998</v>
      </c>
      <c r="O939">
        <v>6833.8354277065991</v>
      </c>
      <c r="P939">
        <v>50.549263383700008</v>
      </c>
      <c r="Q939">
        <v>1372.5454824238</v>
      </c>
      <c r="R939">
        <v>20.996900041499998</v>
      </c>
      <c r="S939">
        <v>-334.59854583999999</v>
      </c>
      <c r="T939">
        <v>-29125.537934959852</v>
      </c>
    </row>
    <row r="940" spans="1:20" x14ac:dyDescent="0.25">
      <c r="A940" s="1" t="s">
        <v>42</v>
      </c>
      <c r="B940">
        <v>2010</v>
      </c>
      <c r="C940">
        <v>12148.567043349991</v>
      </c>
      <c r="D940">
        <v>11441.829972909991</v>
      </c>
      <c r="E940">
        <v>706.73707044000002</v>
      </c>
      <c r="F940">
        <v>1.1168393544894659</v>
      </c>
      <c r="G940">
        <v>-0.51385556169899449</v>
      </c>
      <c r="H940">
        <v>0.60298379279047176</v>
      </c>
      <c r="I940">
        <v>2.3633096881591521E-3</v>
      </c>
      <c r="J940">
        <v>0.1181240726350872</v>
      </c>
      <c r="K940">
        <v>1.905011435216813E-3</v>
      </c>
      <c r="L940">
        <v>-0.47476755839495188</v>
      </c>
      <c r="M940">
        <v>13567.997774666999</v>
      </c>
      <c r="N940">
        <v>-6242.6087418984998</v>
      </c>
      <c r="O940">
        <v>7325.3890327685012</v>
      </c>
      <c r="P940">
        <v>28.710826190799999</v>
      </c>
      <c r="Q940">
        <v>1435.0382158409</v>
      </c>
      <c r="R940">
        <v>21.796816938199999</v>
      </c>
      <c r="S940">
        <v>-335.53583336000003</v>
      </c>
      <c r="T940">
        <v>-31076.463214056959</v>
      </c>
    </row>
    <row r="941" spans="1:20" x14ac:dyDescent="0.25">
      <c r="A941" s="1" t="s">
        <v>42</v>
      </c>
      <c r="B941">
        <v>2011</v>
      </c>
      <c r="C941">
        <v>12149.23266804997</v>
      </c>
      <c r="D941">
        <v>11442.026953849971</v>
      </c>
      <c r="E941">
        <v>707.20571419999999</v>
      </c>
      <c r="F941">
        <v>1.1169473190234469</v>
      </c>
      <c r="G941">
        <v>-0.5446982805519418</v>
      </c>
      <c r="H941">
        <v>0.57224903847150543</v>
      </c>
      <c r="I941">
        <v>4.2670285568183813E-3</v>
      </c>
      <c r="J941">
        <v>0.1164369025141203</v>
      </c>
      <c r="K941">
        <v>1.950903116557427E-3</v>
      </c>
      <c r="L941">
        <v>-0.47445294434528479</v>
      </c>
      <c r="M941">
        <v>13570.052856770501</v>
      </c>
      <c r="N941">
        <v>-6617.6661443123003</v>
      </c>
      <c r="O941">
        <v>6952.3867124581984</v>
      </c>
      <c r="P941">
        <v>51.841122738000003</v>
      </c>
      <c r="Q941">
        <v>1414.6190197911001</v>
      </c>
      <c r="R941">
        <v>22.322286043999998</v>
      </c>
      <c r="S941">
        <v>-335.53583336000003</v>
      </c>
      <c r="T941">
        <v>-29720.655461464139</v>
      </c>
    </row>
    <row r="942" spans="1:20" x14ac:dyDescent="0.25">
      <c r="A942" s="1" t="s">
        <v>42</v>
      </c>
      <c r="B942">
        <v>2012</v>
      </c>
      <c r="C942">
        <v>12150.13462982996</v>
      </c>
      <c r="D942">
        <v>11442.33409854996</v>
      </c>
      <c r="E942">
        <v>707.80053127999997</v>
      </c>
      <c r="F942">
        <v>1.1028554360765901</v>
      </c>
      <c r="G942">
        <v>-0.55853717026338623</v>
      </c>
      <c r="H942">
        <v>0.54431826581320419</v>
      </c>
      <c r="I942">
        <v>9.2897576103714054E-3</v>
      </c>
      <c r="J942">
        <v>0.1268708940470295</v>
      </c>
      <c r="K942">
        <v>2.0442166126720769E-3</v>
      </c>
      <c r="L942">
        <v>-0.47570950837108289</v>
      </c>
      <c r="M942">
        <v>13399.8420255704</v>
      </c>
      <c r="N942">
        <v>-6786.3018144644002</v>
      </c>
      <c r="O942">
        <v>6613.5402111060002</v>
      </c>
      <c r="P942">
        <v>112.8718056445</v>
      </c>
      <c r="Q942">
        <v>1541.4984432783001</v>
      </c>
      <c r="R942">
        <v>23.390609452</v>
      </c>
      <c r="S942">
        <v>-336.70744275999999</v>
      </c>
      <c r="T942">
        <v>-29166.843297978921</v>
      </c>
    </row>
    <row r="943" spans="1:20" x14ac:dyDescent="0.25">
      <c r="A943" s="1" t="s">
        <v>42</v>
      </c>
      <c r="B943">
        <v>2013</v>
      </c>
      <c r="C943">
        <v>12151.01856685004</v>
      </c>
      <c r="D943">
        <v>11442.33482233004</v>
      </c>
      <c r="E943">
        <v>708.68374452</v>
      </c>
      <c r="F943">
        <v>1.0901933544048861</v>
      </c>
      <c r="G943">
        <v>-0.61254572115173656</v>
      </c>
      <c r="H943">
        <v>0.47764763325314952</v>
      </c>
      <c r="I943">
        <v>1.188148459223581E-2</v>
      </c>
      <c r="J943">
        <v>0.12062218970306909</v>
      </c>
      <c r="K943">
        <v>2.1403440672270861E-3</v>
      </c>
      <c r="L943">
        <v>-0.47511664457332231</v>
      </c>
      <c r="M943">
        <v>13246.959690830299</v>
      </c>
      <c r="N943">
        <v>-7443.0544307593</v>
      </c>
      <c r="O943">
        <v>5803.9052600709992</v>
      </c>
      <c r="P943">
        <v>144.372139882</v>
      </c>
      <c r="Q943">
        <v>1465.6824666560999</v>
      </c>
      <c r="R943">
        <v>24.490533452200001</v>
      </c>
      <c r="S943">
        <v>-336.70744275999999</v>
      </c>
      <c r="T943">
        <v>-26039.724176773801</v>
      </c>
    </row>
    <row r="944" spans="1:20" x14ac:dyDescent="0.25">
      <c r="A944" s="1" t="s">
        <v>42</v>
      </c>
      <c r="B944">
        <v>2014</v>
      </c>
      <c r="C944">
        <v>12150.35237451003</v>
      </c>
      <c r="D944">
        <v>11441.07381291003</v>
      </c>
      <c r="E944">
        <v>709.27856159999999</v>
      </c>
      <c r="F944">
        <v>1.069757174886333</v>
      </c>
      <c r="G944">
        <v>-0.63421854205333272</v>
      </c>
      <c r="H944">
        <v>0.43553863283300048</v>
      </c>
      <c r="I944">
        <v>1.601145862025628E-2</v>
      </c>
      <c r="J944">
        <v>0.11368753442013679</v>
      </c>
      <c r="K944">
        <v>2.268506721739135E-3</v>
      </c>
      <c r="L944">
        <v>-0.47471820098502748</v>
      </c>
      <c r="M944">
        <v>12997.9266300293</v>
      </c>
      <c r="N944">
        <v>-7705.9787683960003</v>
      </c>
      <c r="O944">
        <v>5291.9478616332999</v>
      </c>
      <c r="P944">
        <v>194.54486426599999</v>
      </c>
      <c r="Q944">
        <v>1381.3436037939</v>
      </c>
      <c r="R944">
        <v>25.954152848500001</v>
      </c>
      <c r="S944">
        <v>-336.70744275999999</v>
      </c>
      <c r="T944">
        <v>-24042.637812535089</v>
      </c>
    </row>
    <row r="945" spans="1:20" x14ac:dyDescent="0.25">
      <c r="A945" s="1" t="s">
        <v>42</v>
      </c>
      <c r="B945">
        <v>2015</v>
      </c>
      <c r="C945">
        <v>12148.803157270009</v>
      </c>
      <c r="D945">
        <v>11439.380397590019</v>
      </c>
      <c r="E945">
        <v>709.42275968000001</v>
      </c>
      <c r="F945">
        <v>1.0440072255793651</v>
      </c>
      <c r="G945">
        <v>-0.70892373421474164</v>
      </c>
      <c r="H945">
        <v>0.33508349136462351</v>
      </c>
      <c r="I945">
        <v>2.4367945550458989E-2</v>
      </c>
      <c r="J945">
        <v>0.12650906088698771</v>
      </c>
      <c r="K945">
        <v>2.4400762071939272E-3</v>
      </c>
      <c r="L945">
        <v>-0.47462170922156338</v>
      </c>
      <c r="M945">
        <v>12683.438278331299</v>
      </c>
      <c r="N945">
        <v>-8612.5749004917016</v>
      </c>
      <c r="O945">
        <v>4070.8633778395979</v>
      </c>
      <c r="P945">
        <v>296.0413738396</v>
      </c>
      <c r="Q945">
        <v>1536.9336783271001</v>
      </c>
      <c r="R945">
        <v>27.9129599332</v>
      </c>
      <c r="S945">
        <v>-336.70744275999999</v>
      </c>
      <c r="T945">
        <v>-20515.16113966002</v>
      </c>
    </row>
    <row r="946" spans="1:20" x14ac:dyDescent="0.25">
      <c r="A946" s="1" t="s">
        <v>42</v>
      </c>
      <c r="B946">
        <v>2016</v>
      </c>
      <c r="C946">
        <v>12145.793210690001</v>
      </c>
      <c r="D946">
        <v>11436.40650053</v>
      </c>
      <c r="E946">
        <v>709.38671016000035</v>
      </c>
      <c r="F946">
        <v>1.0395353559757929</v>
      </c>
      <c r="G946">
        <v>-0.76283600109599936</v>
      </c>
      <c r="H946">
        <v>0.27669935487979369</v>
      </c>
      <c r="I946">
        <v>2.8545621054732542E-2</v>
      </c>
      <c r="J946">
        <v>0.14041810585970871</v>
      </c>
      <c r="K946">
        <v>2.5375832903591772E-3</v>
      </c>
      <c r="L946">
        <v>-0.47464582848479953</v>
      </c>
      <c r="M946">
        <v>12625.981468882999</v>
      </c>
      <c r="N946">
        <v>-9265.2483229816989</v>
      </c>
      <c r="O946">
        <v>3360.7331459013021</v>
      </c>
      <c r="P946">
        <v>346.7092104015</v>
      </c>
      <c r="Q946">
        <v>1705.4892768088</v>
      </c>
      <c r="R946">
        <v>29.020834037499998</v>
      </c>
      <c r="S946">
        <v>-336.70744275999971</v>
      </c>
      <c r="T946">
        <v>-18719.23175609508</v>
      </c>
    </row>
    <row r="947" spans="1:20" x14ac:dyDescent="0.25">
      <c r="A947" s="1" t="s">
        <v>42</v>
      </c>
      <c r="B947">
        <v>2017</v>
      </c>
      <c r="C947">
        <v>12143.269932630001</v>
      </c>
      <c r="D947">
        <v>11434.09951959</v>
      </c>
      <c r="E947">
        <v>709.17041303999963</v>
      </c>
      <c r="F947">
        <v>1.0350679578782509</v>
      </c>
      <c r="G947">
        <v>-0.72392238979995094</v>
      </c>
      <c r="H947">
        <v>0.31114556807830013</v>
      </c>
      <c r="I947">
        <v>3.0773035842222029E-2</v>
      </c>
      <c r="J947">
        <v>0.14095488942616199</v>
      </c>
      <c r="K947">
        <v>2.6500225466015979E-3</v>
      </c>
      <c r="L947">
        <v>-0.47412976178552901</v>
      </c>
      <c r="M947">
        <v>12569.1096111317</v>
      </c>
      <c r="N947">
        <v>-8790.7849896153984</v>
      </c>
      <c r="O947">
        <v>3778.3246215163022</v>
      </c>
      <c r="P947">
        <v>373.6852808786</v>
      </c>
      <c r="Q947">
        <v>1711.6532706258999</v>
      </c>
      <c r="R947">
        <v>30.300621527000001</v>
      </c>
      <c r="S947">
        <v>-336.23879900000031</v>
      </c>
      <c r="T947">
        <v>-20378.324983677121</v>
      </c>
    </row>
    <row r="948" spans="1:20" x14ac:dyDescent="0.25">
      <c r="A948" s="1" t="s">
        <v>42</v>
      </c>
      <c r="B948">
        <v>2018</v>
      </c>
      <c r="C948">
        <v>12141.015615329999</v>
      </c>
      <c r="D948">
        <v>11432.16964797</v>
      </c>
      <c r="E948">
        <v>708.84596736000003</v>
      </c>
      <c r="F948">
        <v>1.0322543264584181</v>
      </c>
      <c r="G948">
        <v>-0.80878281695175158</v>
      </c>
      <c r="H948">
        <v>0.2234715095066663</v>
      </c>
      <c r="I948">
        <v>3.6027928216622332E-2</v>
      </c>
      <c r="J948">
        <v>0.15174620421948321</v>
      </c>
      <c r="K948">
        <v>2.7716173788959108E-3</v>
      </c>
      <c r="L948">
        <v>-0.47368563933646979</v>
      </c>
      <c r="M948">
        <v>12532.615896523601</v>
      </c>
      <c r="N948">
        <v>-9819.4448100217996</v>
      </c>
      <c r="O948">
        <v>2713.1710865018008</v>
      </c>
      <c r="P948">
        <v>437.41563906599998</v>
      </c>
      <c r="Q948">
        <v>1842.3530349958</v>
      </c>
      <c r="R948">
        <v>31.6856000748</v>
      </c>
      <c r="S948">
        <v>-335.77015524000001</v>
      </c>
      <c r="T948">
        <v>-17192.46908646237</v>
      </c>
    </row>
    <row r="949" spans="1:20" x14ac:dyDescent="0.25">
      <c r="A949" s="1" t="s">
        <v>42</v>
      </c>
      <c r="B949">
        <v>2019</v>
      </c>
      <c r="C949">
        <v>12139.211917029999</v>
      </c>
      <c r="D949">
        <v>11430.54619727</v>
      </c>
      <c r="E949">
        <v>708.66571976</v>
      </c>
      <c r="F949">
        <v>1.0430719707467491</v>
      </c>
      <c r="G949">
        <v>-0.90189073041662626</v>
      </c>
      <c r="H949">
        <v>0.14118124033012261</v>
      </c>
      <c r="I949">
        <v>3.6496573022764628E-2</v>
      </c>
      <c r="J949">
        <v>0.15016679401921959</v>
      </c>
      <c r="K949">
        <v>2.8425268145419072E-3</v>
      </c>
      <c r="L949">
        <v>-0.47380612025894731</v>
      </c>
      <c r="M949">
        <v>12662.071697608901</v>
      </c>
      <c r="N949">
        <v>-10948.2427025324</v>
      </c>
      <c r="O949">
        <v>1713.8289950765011</v>
      </c>
      <c r="P949">
        <v>443.03963416869999</v>
      </c>
      <c r="Q949">
        <v>1822.9065355002999</v>
      </c>
      <c r="R949">
        <v>32.4916340706</v>
      </c>
      <c r="S949">
        <v>-335.77015524000001</v>
      </c>
      <c r="T949">
        <v>-13480.4876931136</v>
      </c>
    </row>
    <row r="950" spans="1:20" x14ac:dyDescent="0.25">
      <c r="A950" s="1" t="s">
        <v>42</v>
      </c>
      <c r="B950">
        <v>2020</v>
      </c>
      <c r="C950">
        <v>12137.84973118</v>
      </c>
      <c r="D950">
        <v>11429.13894952</v>
      </c>
      <c r="E950">
        <v>708.71078165999995</v>
      </c>
      <c r="F950">
        <v>1.043189030844752</v>
      </c>
      <c r="G950">
        <v>-0.74712917224345032</v>
      </c>
      <c r="H950">
        <v>0.29605985860130191</v>
      </c>
      <c r="I950">
        <v>3.2184566594442597E-2</v>
      </c>
      <c r="J950">
        <v>0.1438033518091521</v>
      </c>
      <c r="K950">
        <v>2.7406584139757538E-3</v>
      </c>
      <c r="L950">
        <v>-0.47582590758126891</v>
      </c>
      <c r="M950">
        <v>12662.071697608901</v>
      </c>
      <c r="N950">
        <v>-9068.5416224718992</v>
      </c>
      <c r="O950">
        <v>3593.5300751370009</v>
      </c>
      <c r="P950">
        <v>390.65143298650003</v>
      </c>
      <c r="Q950">
        <v>1745.4634750995001</v>
      </c>
      <c r="R950">
        <v>31.323365826500002</v>
      </c>
      <c r="S950">
        <v>-337.22295089599999</v>
      </c>
      <c r="T950">
        <v>-19887.066459897978</v>
      </c>
    </row>
    <row r="951" spans="1:20" x14ac:dyDescent="0.25">
      <c r="A951" s="1" t="s">
        <v>42</v>
      </c>
      <c r="B951">
        <v>2021</v>
      </c>
      <c r="C951">
        <v>12137.217909999999</v>
      </c>
      <c r="D951">
        <v>11428.37194264</v>
      </c>
      <c r="E951">
        <v>708.84596736000003</v>
      </c>
      <c r="F951">
        <v>1.0432433356227759</v>
      </c>
      <c r="G951">
        <v>-0.85079296941985949</v>
      </c>
      <c r="H951">
        <v>0.19245036620291681</v>
      </c>
      <c r="I951">
        <v>3.0028239490066139E-2</v>
      </c>
      <c r="J951">
        <v>0.13711068745962721</v>
      </c>
      <c r="K951">
        <v>2.6799018916709369E-3</v>
      </c>
      <c r="L951">
        <v>-0.48201595600313862</v>
      </c>
      <c r="M951">
        <v>12662.071697608901</v>
      </c>
      <c r="N951">
        <v>-10326.259666144801</v>
      </c>
      <c r="O951">
        <v>2335.8120314641001</v>
      </c>
      <c r="P951">
        <v>364.45928614460001</v>
      </c>
      <c r="Q951">
        <v>1664.1422914873999</v>
      </c>
      <c r="R951">
        <v>30.626915587799999</v>
      </c>
      <c r="S951">
        <v>-341.67506661599998</v>
      </c>
      <c r="T951">
        <v>-14862.34001291698</v>
      </c>
    </row>
    <row r="952" spans="1:20" x14ac:dyDescent="0.25">
      <c r="A952" s="1" t="s">
        <v>42</v>
      </c>
      <c r="B952">
        <v>2022</v>
      </c>
      <c r="C952">
        <v>12136.342754560001</v>
      </c>
      <c r="D952">
        <v>11427.2714777</v>
      </c>
      <c r="E952">
        <v>709.07127686000001</v>
      </c>
      <c r="F952">
        <v>1.0433185642232601</v>
      </c>
      <c r="G952">
        <v>-0.88946027724190302</v>
      </c>
      <c r="H952">
        <v>0.1538582869813567</v>
      </c>
      <c r="I952">
        <v>2.886519686022173E-2</v>
      </c>
      <c r="J952">
        <v>0.13700550181999879</v>
      </c>
      <c r="K952">
        <v>2.601901980662874E-3</v>
      </c>
      <c r="L952">
        <v>-0.47260982768896642</v>
      </c>
      <c r="M952">
        <v>12662.071697608901</v>
      </c>
      <c r="N952">
        <v>-10794.794791173699</v>
      </c>
      <c r="O952">
        <v>1867.276906435201</v>
      </c>
      <c r="P952">
        <v>350.31792277350002</v>
      </c>
      <c r="Q952">
        <v>1662.7457293479999</v>
      </c>
      <c r="R952">
        <v>29.732640291399999</v>
      </c>
      <c r="S952">
        <v>-335.11405397599998</v>
      </c>
      <c r="T952">
        <v>-13108.1835311989</v>
      </c>
    </row>
    <row r="953" spans="1:20" x14ac:dyDescent="0.25">
      <c r="A953" s="1" t="s">
        <v>42</v>
      </c>
      <c r="B953">
        <v>2023</v>
      </c>
      <c r="C953">
        <v>12135.33311874</v>
      </c>
      <c r="D953">
        <v>11425.982458099999</v>
      </c>
      <c r="E953">
        <v>709.35066064</v>
      </c>
      <c r="F953">
        <v>1.043405366273422</v>
      </c>
      <c r="G953">
        <v>-0.73719153138189752</v>
      </c>
      <c r="H953">
        <v>0.30621383489152459</v>
      </c>
      <c r="I953">
        <v>2.6175957900188378E-2</v>
      </c>
      <c r="J953">
        <v>0.13194646544470409</v>
      </c>
      <c r="K953">
        <v>2.5231214963193568E-3</v>
      </c>
      <c r="L953">
        <v>-0.47209335336892511</v>
      </c>
      <c r="M953">
        <v>12662.071697608901</v>
      </c>
      <c r="N953">
        <v>-8946.0648056333994</v>
      </c>
      <c r="O953">
        <v>3716.0068919755008</v>
      </c>
      <c r="P953">
        <v>317.65396882089999</v>
      </c>
      <c r="Q953">
        <v>1601.2143120118001</v>
      </c>
      <c r="R953">
        <v>28.829141956600001</v>
      </c>
      <c r="S953">
        <v>-334.879732096</v>
      </c>
      <c r="T953">
        <v>-19539.023469787378</v>
      </c>
    </row>
    <row r="954" spans="1:20" x14ac:dyDescent="0.25">
      <c r="A954" s="1" t="s">
        <v>43</v>
      </c>
      <c r="B954">
        <v>1990</v>
      </c>
      <c r="C954">
        <v>8690.7240000000002</v>
      </c>
      <c r="D954">
        <v>8376.2780000000002</v>
      </c>
      <c r="E954">
        <v>314.44600000000003</v>
      </c>
      <c r="F954">
        <v>1.034360528150388</v>
      </c>
      <c r="G954">
        <v>-9.5498808844924777E-3</v>
      </c>
      <c r="H954">
        <v>1.024810647265896</v>
      </c>
      <c r="I954" t="s">
        <v>96</v>
      </c>
      <c r="J954" t="s">
        <v>96</v>
      </c>
      <c r="K954">
        <v>6.8698655100725634E-2</v>
      </c>
      <c r="L954">
        <v>-0.67999999999999994</v>
      </c>
      <c r="M954">
        <v>8989.3418666492544</v>
      </c>
      <c r="N954">
        <v>-82.995379</v>
      </c>
      <c r="O954">
        <v>8906.3464876492544</v>
      </c>
      <c r="P954" t="s">
        <v>96</v>
      </c>
      <c r="Q954" t="s">
        <v>96</v>
      </c>
      <c r="R954">
        <v>575.43903334979598</v>
      </c>
      <c r="S954">
        <v>-213.82328000000001</v>
      </c>
      <c r="T954">
        <v>-33982.528216999614</v>
      </c>
    </row>
    <row r="955" spans="1:20" x14ac:dyDescent="0.25">
      <c r="A955" s="1" t="s">
        <v>43</v>
      </c>
      <c r="B955">
        <v>1991</v>
      </c>
      <c r="C955">
        <v>8703.1239999999998</v>
      </c>
      <c r="D955">
        <v>8387.3760000000002</v>
      </c>
      <c r="E955">
        <v>315.74799999999988</v>
      </c>
      <c r="F955">
        <v>0.79843597773020925</v>
      </c>
      <c r="G955">
        <v>-7.598409145957245E-3</v>
      </c>
      <c r="H955">
        <v>0.79083756858425203</v>
      </c>
      <c r="I955" t="s">
        <v>96</v>
      </c>
      <c r="J955" t="s">
        <v>96</v>
      </c>
      <c r="K955">
        <v>6.6993078978760071E-2</v>
      </c>
      <c r="L955">
        <v>-0.68</v>
      </c>
      <c r="M955">
        <v>6948.8873202472496</v>
      </c>
      <c r="N955">
        <v>-66.129897</v>
      </c>
      <c r="O955">
        <v>6882.7574232472498</v>
      </c>
      <c r="P955" t="s">
        <v>96</v>
      </c>
      <c r="Q955" t="s">
        <v>96</v>
      </c>
      <c r="R955">
        <v>561.8961427925567</v>
      </c>
      <c r="S955">
        <v>-214.70864</v>
      </c>
      <c r="T955">
        <v>-26509.798062148369</v>
      </c>
    </row>
    <row r="956" spans="1:20" x14ac:dyDescent="0.25">
      <c r="A956" s="1" t="s">
        <v>43</v>
      </c>
      <c r="B956">
        <v>1992</v>
      </c>
      <c r="C956">
        <v>8715.0239999999994</v>
      </c>
      <c r="D956">
        <v>8397.9740000000002</v>
      </c>
      <c r="E956">
        <v>317.04999999999978</v>
      </c>
      <c r="F956">
        <v>0.13796849889162399</v>
      </c>
      <c r="G956">
        <v>-7.3923709217553514E-3</v>
      </c>
      <c r="H956">
        <v>0.13057612796986859</v>
      </c>
      <c r="I956" t="s">
        <v>96</v>
      </c>
      <c r="J956" t="s">
        <v>96</v>
      </c>
      <c r="K956">
        <v>6.7791079381251493E-2</v>
      </c>
      <c r="L956">
        <v>-0.68000000000000016</v>
      </c>
      <c r="M956">
        <v>1202.398779084476</v>
      </c>
      <c r="N956">
        <v>-64.424689999999998</v>
      </c>
      <c r="O956">
        <v>1137.974089084476</v>
      </c>
      <c r="P956" t="s">
        <v>96</v>
      </c>
      <c r="Q956" t="s">
        <v>96</v>
      </c>
      <c r="R956">
        <v>569.30772207568612</v>
      </c>
      <c r="S956">
        <v>-215.59399999999991</v>
      </c>
      <c r="T956">
        <v>-5469.5219742544268</v>
      </c>
    </row>
    <row r="957" spans="1:20" x14ac:dyDescent="0.25">
      <c r="A957" s="1" t="s">
        <v>43</v>
      </c>
      <c r="B957">
        <v>1993</v>
      </c>
      <c r="C957">
        <v>8715.0240000000013</v>
      </c>
      <c r="D957">
        <v>8396.6720000000005</v>
      </c>
      <c r="E957">
        <v>318.35199999999992</v>
      </c>
      <c r="F957">
        <v>0.35570601276354619</v>
      </c>
      <c r="G957">
        <v>-3.4017990082414002E-4</v>
      </c>
      <c r="H957">
        <v>0.35536583286272211</v>
      </c>
      <c r="I957" t="s">
        <v>96</v>
      </c>
      <c r="J957" t="s">
        <v>96</v>
      </c>
      <c r="K957">
        <v>6.3788463110601629E-2</v>
      </c>
      <c r="L957">
        <v>-0.67999999999999994</v>
      </c>
      <c r="M957">
        <v>3099.9864381786119</v>
      </c>
      <c r="N957">
        <v>-2.9646759999999999</v>
      </c>
      <c r="O957">
        <v>3097.0217621786119</v>
      </c>
      <c r="P957" t="s">
        <v>96</v>
      </c>
      <c r="Q957" t="s">
        <v>96</v>
      </c>
      <c r="R957">
        <v>535.6108021238216</v>
      </c>
      <c r="S957">
        <v>-216.4793599999999</v>
      </c>
      <c r="T957">
        <v>-12525.8950824434</v>
      </c>
    </row>
    <row r="958" spans="1:20" x14ac:dyDescent="0.25">
      <c r="A958" s="1" t="s">
        <v>43</v>
      </c>
      <c r="B958">
        <v>1994</v>
      </c>
      <c r="C958">
        <v>8724.2170000000006</v>
      </c>
      <c r="D958">
        <v>8404.5630000000001</v>
      </c>
      <c r="E958">
        <v>319.65399999999983</v>
      </c>
      <c r="F958">
        <v>0.33290736252045489</v>
      </c>
      <c r="G958">
        <v>-5.8613257785770341E-3</v>
      </c>
      <c r="H958">
        <v>0.32704603674187788</v>
      </c>
      <c r="I958" t="s">
        <v>96</v>
      </c>
      <c r="J958" t="s">
        <v>96</v>
      </c>
      <c r="K958">
        <v>6.4573708987567022E-2</v>
      </c>
      <c r="L958">
        <v>-0.68</v>
      </c>
      <c r="M958">
        <v>2904.356071526116</v>
      </c>
      <c r="N958">
        <v>-51.135477999999999</v>
      </c>
      <c r="O958">
        <v>2853.2205935261159</v>
      </c>
      <c r="P958" t="s">
        <v>96</v>
      </c>
      <c r="Q958" t="s">
        <v>96</v>
      </c>
      <c r="R958">
        <v>542.71380532967328</v>
      </c>
      <c r="S958">
        <v>-217.36471999999989</v>
      </c>
      <c r="T958">
        <v>-11654.75548913895</v>
      </c>
    </row>
    <row r="959" spans="1:20" x14ac:dyDescent="0.25">
      <c r="A959" s="1" t="s">
        <v>43</v>
      </c>
      <c r="B959">
        <v>1995</v>
      </c>
      <c r="C959">
        <v>8741.5300000000007</v>
      </c>
      <c r="D959">
        <v>8420.5740000000005</v>
      </c>
      <c r="E959">
        <v>320.95599999999968</v>
      </c>
      <c r="F959">
        <v>0.66780853214670677</v>
      </c>
      <c r="G959">
        <v>-1.050352112273252E-2</v>
      </c>
      <c r="H959">
        <v>0.65730501102397421</v>
      </c>
      <c r="I959" t="s">
        <v>96</v>
      </c>
      <c r="J959" t="s">
        <v>96</v>
      </c>
      <c r="K959">
        <v>6.55755144731201E-2</v>
      </c>
      <c r="L959">
        <v>-0.68000000000000016</v>
      </c>
      <c r="M959">
        <v>5837.6683180164018</v>
      </c>
      <c r="N959">
        <v>-91.816845000000001</v>
      </c>
      <c r="O959">
        <v>5745.8514730164025</v>
      </c>
      <c r="P959" t="s">
        <v>96</v>
      </c>
      <c r="Q959" t="s">
        <v>96</v>
      </c>
      <c r="R959">
        <v>552.18347220897886</v>
      </c>
      <c r="S959">
        <v>-218.2500799999998</v>
      </c>
      <c r="T959">
        <v>-22292.54450582842</v>
      </c>
    </row>
    <row r="960" spans="1:20" x14ac:dyDescent="0.25">
      <c r="A960" s="1" t="s">
        <v>43</v>
      </c>
      <c r="B960">
        <v>1996</v>
      </c>
      <c r="C960">
        <v>8778.7060000000001</v>
      </c>
      <c r="D960">
        <v>8456.4480000000003</v>
      </c>
      <c r="E960">
        <v>322.25799999999958</v>
      </c>
      <c r="F960">
        <v>1.214077868101918</v>
      </c>
      <c r="G960">
        <v>-2.219512978336443E-2</v>
      </c>
      <c r="H960">
        <v>1.191882738318554</v>
      </c>
      <c r="I960" t="s">
        <v>96</v>
      </c>
      <c r="J960" t="s">
        <v>96</v>
      </c>
      <c r="K960">
        <v>7.2211863513231098E-2</v>
      </c>
      <c r="L960">
        <v>-0.68000000000000027</v>
      </c>
      <c r="M960">
        <v>10658.032665173519</v>
      </c>
      <c r="N960">
        <v>-194.84451899999999</v>
      </c>
      <c r="O960">
        <v>10463.188146173519</v>
      </c>
      <c r="P960" t="s">
        <v>96</v>
      </c>
      <c r="Q960" t="s">
        <v>96</v>
      </c>
      <c r="R960">
        <v>610.65586878273609</v>
      </c>
      <c r="S960">
        <v>-219.13543999999979</v>
      </c>
      <c r="T960">
        <v>-39800.598108176549</v>
      </c>
    </row>
    <row r="961" spans="1:20" x14ac:dyDescent="0.25">
      <c r="A961" s="1" t="s">
        <v>43</v>
      </c>
      <c r="B961">
        <v>1997</v>
      </c>
      <c r="C961">
        <v>8809.4290000000001</v>
      </c>
      <c r="D961">
        <v>8485.8690000000006</v>
      </c>
      <c r="E961">
        <v>323.5599999999996</v>
      </c>
      <c r="F961">
        <v>1.1864443012852799</v>
      </c>
      <c r="G961">
        <v>-1.8417022147519439E-2</v>
      </c>
      <c r="H961">
        <v>1.1680272791377599</v>
      </c>
      <c r="I961" t="s">
        <v>96</v>
      </c>
      <c r="J961" t="s">
        <v>96</v>
      </c>
      <c r="K961">
        <v>7.7494405389319176E-2</v>
      </c>
      <c r="L961">
        <v>-0.68</v>
      </c>
      <c r="M961">
        <v>10451.89683462728</v>
      </c>
      <c r="N961">
        <v>-162.243449</v>
      </c>
      <c r="O961">
        <v>10289.65338562728</v>
      </c>
      <c r="P961" t="s">
        <v>96</v>
      </c>
      <c r="Q961" t="s">
        <v>96</v>
      </c>
      <c r="R961">
        <v>657.60737236665659</v>
      </c>
      <c r="S961">
        <v>-220.02079999999981</v>
      </c>
      <c r="T961">
        <v>-39333.213179314676</v>
      </c>
    </row>
    <row r="962" spans="1:20" x14ac:dyDescent="0.25">
      <c r="A962" s="1" t="s">
        <v>43</v>
      </c>
      <c r="B962">
        <v>1998</v>
      </c>
      <c r="C962">
        <v>8861.2450000000008</v>
      </c>
      <c r="D962">
        <v>8535.5045000000009</v>
      </c>
      <c r="E962">
        <v>325.74049999999949</v>
      </c>
      <c r="F962">
        <v>1.332214685102171</v>
      </c>
      <c r="G962">
        <v>-3.0591196045250971E-2</v>
      </c>
      <c r="H962">
        <v>1.30162348905692</v>
      </c>
      <c r="I962" t="s">
        <v>96</v>
      </c>
      <c r="J962" t="s">
        <v>96</v>
      </c>
      <c r="K962">
        <v>9.0723354138060847E-2</v>
      </c>
      <c r="L962">
        <v>-0.67999999999999994</v>
      </c>
      <c r="M962">
        <v>11805.08071728819</v>
      </c>
      <c r="N962">
        <v>-271.07608299999998</v>
      </c>
      <c r="O962">
        <v>11534.004634288191</v>
      </c>
      <c r="P962" t="s">
        <v>96</v>
      </c>
      <c r="Q962" t="s">
        <v>96</v>
      </c>
      <c r="R962">
        <v>774.3695975005121</v>
      </c>
      <c r="S962">
        <v>-221.5035399999997</v>
      </c>
      <c r="T962">
        <v>-44318.525869895937</v>
      </c>
    </row>
    <row r="963" spans="1:20" x14ac:dyDescent="0.25">
      <c r="A963" s="1" t="s">
        <v>43</v>
      </c>
      <c r="B963">
        <v>1999</v>
      </c>
      <c r="C963">
        <v>8877.1419999999998</v>
      </c>
      <c r="D963">
        <v>8549.2209999999995</v>
      </c>
      <c r="E963">
        <v>327.92099999999948</v>
      </c>
      <c r="F963">
        <v>1.2099969525992491</v>
      </c>
      <c r="G963">
        <v>-9.5157353571678812E-3</v>
      </c>
      <c r="H963">
        <v>1.2004812172420809</v>
      </c>
      <c r="I963" t="s">
        <v>96</v>
      </c>
      <c r="J963" t="s">
        <v>96</v>
      </c>
      <c r="K963">
        <v>8.7486708900672491E-2</v>
      </c>
      <c r="L963">
        <v>-0.68</v>
      </c>
      <c r="M963">
        <v>10741.3147677908</v>
      </c>
      <c r="N963">
        <v>-84.472533999999996</v>
      </c>
      <c r="O963">
        <v>10656.8422337908</v>
      </c>
      <c r="P963" t="s">
        <v>96</v>
      </c>
      <c r="Q963" t="s">
        <v>96</v>
      </c>
      <c r="R963">
        <v>747.94320895451619</v>
      </c>
      <c r="S963">
        <v>-222.98627999999971</v>
      </c>
      <c r="T963">
        <v>-40999.930263403228</v>
      </c>
    </row>
    <row r="964" spans="1:20" x14ac:dyDescent="0.25">
      <c r="A964" s="1" t="s">
        <v>43</v>
      </c>
      <c r="B964">
        <v>2000</v>
      </c>
      <c r="C964">
        <v>8903.5549999999985</v>
      </c>
      <c r="D964">
        <v>8573.4534999999996</v>
      </c>
      <c r="E964">
        <v>330.10149999999942</v>
      </c>
      <c r="F964">
        <v>1.0955850197836201</v>
      </c>
      <c r="G964">
        <v>-1.579368836380525E-2</v>
      </c>
      <c r="H964">
        <v>1.079791331419814</v>
      </c>
      <c r="I964" t="s">
        <v>96</v>
      </c>
      <c r="J964" t="s">
        <v>96</v>
      </c>
      <c r="K964">
        <v>8.9598376995120493E-2</v>
      </c>
      <c r="L964">
        <v>-0.67999999999999994</v>
      </c>
      <c r="M964">
        <v>9754.6014808195432</v>
      </c>
      <c r="N964">
        <v>-140.61997299999999</v>
      </c>
      <c r="O964">
        <v>9613.9815078195425</v>
      </c>
      <c r="P964" t="s">
        <v>96</v>
      </c>
      <c r="Q964" t="s">
        <v>96</v>
      </c>
      <c r="R964">
        <v>768.16751884313521</v>
      </c>
      <c r="S964">
        <v>-224.4690199999996</v>
      </c>
      <c r="T964">
        <v>-37244.826691099857</v>
      </c>
    </row>
    <row r="965" spans="1:20" x14ac:dyDescent="0.25">
      <c r="A965" s="1" t="s">
        <v>43</v>
      </c>
      <c r="B965">
        <v>2001</v>
      </c>
      <c r="C965">
        <v>8915.628999999999</v>
      </c>
      <c r="D965">
        <v>8584.9793200000004</v>
      </c>
      <c r="E965">
        <v>330.64967999999942</v>
      </c>
      <c r="F965">
        <v>0.83959252463218592</v>
      </c>
      <c r="G965">
        <v>-7.3242860374741941E-3</v>
      </c>
      <c r="H965">
        <v>0.83226823859471177</v>
      </c>
      <c r="I965" t="s">
        <v>96</v>
      </c>
      <c r="J965" t="s">
        <v>96</v>
      </c>
      <c r="K965">
        <v>9.3391797553513914E-2</v>
      </c>
      <c r="L965">
        <v>-0.68</v>
      </c>
      <c r="M965">
        <v>7485.4954607939308</v>
      </c>
      <c r="N965">
        <v>-65.300617000000003</v>
      </c>
      <c r="O965">
        <v>7420.1948437939309</v>
      </c>
      <c r="P965" t="s">
        <v>96</v>
      </c>
      <c r="Q965" t="s">
        <v>96</v>
      </c>
      <c r="R965">
        <v>801.76665065454358</v>
      </c>
      <c r="S965">
        <v>-224.8417823999996</v>
      </c>
      <c r="T965">
        <v>-29322.772277513741</v>
      </c>
    </row>
    <row r="966" spans="1:20" x14ac:dyDescent="0.25">
      <c r="A966" s="1" t="s">
        <v>43</v>
      </c>
      <c r="B966">
        <v>2002</v>
      </c>
      <c r="C966">
        <v>8968.1570000000011</v>
      </c>
      <c r="D966">
        <v>8636.9591400000008</v>
      </c>
      <c r="E966">
        <v>331.19785999999942</v>
      </c>
      <c r="F966">
        <v>1.1054929378675959</v>
      </c>
      <c r="G966">
        <v>-3.0598120884815019E-2</v>
      </c>
      <c r="H966">
        <v>1.074894816982781</v>
      </c>
      <c r="I966" t="s">
        <v>96</v>
      </c>
      <c r="J966" t="s">
        <v>96</v>
      </c>
      <c r="K966">
        <v>0.1032765122571228</v>
      </c>
      <c r="L966">
        <v>-0.68</v>
      </c>
      <c r="M966">
        <v>9914.2342291878504</v>
      </c>
      <c r="N966">
        <v>-274.40875199999999</v>
      </c>
      <c r="O966">
        <v>9639.825477187851</v>
      </c>
      <c r="P966" t="s">
        <v>96</v>
      </c>
      <c r="Q966" t="s">
        <v>96</v>
      </c>
      <c r="R966">
        <v>891.99501648647856</v>
      </c>
      <c r="S966">
        <v>-225.2145447999996</v>
      </c>
      <c r="T966">
        <v>-37790.888479209323</v>
      </c>
    </row>
    <row r="967" spans="1:20" x14ac:dyDescent="0.25">
      <c r="A967" s="1" t="s">
        <v>43</v>
      </c>
      <c r="B967">
        <v>2003</v>
      </c>
      <c r="C967">
        <v>9031.0889999999999</v>
      </c>
      <c r="D967">
        <v>8699.3429599999999</v>
      </c>
      <c r="E967">
        <v>331.74603999999943</v>
      </c>
      <c r="F967">
        <v>1.1507640207145939</v>
      </c>
      <c r="G967">
        <v>-3.6512500651914741E-2</v>
      </c>
      <c r="H967">
        <v>1.114251520062679</v>
      </c>
      <c r="I967" t="s">
        <v>96</v>
      </c>
      <c r="J967" t="s">
        <v>96</v>
      </c>
      <c r="K967">
        <v>0.11551487727312031</v>
      </c>
      <c r="L967">
        <v>-0.67999999999999994</v>
      </c>
      <c r="M967">
        <v>10392.65228907134</v>
      </c>
      <c r="N967">
        <v>-329.74764299999998</v>
      </c>
      <c r="O967">
        <v>10062.90464607134</v>
      </c>
      <c r="P967" t="s">
        <v>96</v>
      </c>
      <c r="Q967" t="s">
        <v>96</v>
      </c>
      <c r="R967">
        <v>1004.903534381183</v>
      </c>
      <c r="S967">
        <v>-225.5873071999996</v>
      </c>
      <c r="T967">
        <v>-39754.809868596203</v>
      </c>
    </row>
    <row r="968" spans="1:20" x14ac:dyDescent="0.25">
      <c r="A968" s="1" t="s">
        <v>43</v>
      </c>
      <c r="B968">
        <v>2004</v>
      </c>
      <c r="C968">
        <v>9106.3649999999998</v>
      </c>
      <c r="D968">
        <v>8774.393610000001</v>
      </c>
      <c r="E968">
        <v>331.97138999999942</v>
      </c>
      <c r="F968">
        <v>1.451852408058981</v>
      </c>
      <c r="G968">
        <v>-4.321535804901297E-2</v>
      </c>
      <c r="H968">
        <v>1.408637050009969</v>
      </c>
      <c r="I968" t="s">
        <v>96</v>
      </c>
      <c r="J968" t="s">
        <v>96</v>
      </c>
      <c r="K968">
        <v>0.12558206272722139</v>
      </c>
      <c r="L968">
        <v>-0.67999999999999994</v>
      </c>
      <c r="M968">
        <v>13221.09795391403</v>
      </c>
      <c r="N968">
        <v>-393.53482400000001</v>
      </c>
      <c r="O968">
        <v>12827.56312991403</v>
      </c>
      <c r="P968" t="s">
        <v>96</v>
      </c>
      <c r="Q968" t="s">
        <v>96</v>
      </c>
      <c r="R968">
        <v>1101.90644872435</v>
      </c>
      <c r="S968">
        <v>-225.74054519999959</v>
      </c>
      <c r="T968">
        <v>-50247.00645594528</v>
      </c>
    </row>
    <row r="969" spans="1:20" x14ac:dyDescent="0.25">
      <c r="A969" s="1" t="s">
        <v>43</v>
      </c>
      <c r="B969">
        <v>2005</v>
      </c>
      <c r="C969">
        <v>9152.9049999999988</v>
      </c>
      <c r="D969">
        <v>8820.7082599999994</v>
      </c>
      <c r="E969">
        <v>332.19673999999941</v>
      </c>
      <c r="F969">
        <v>1.4202527158100491</v>
      </c>
      <c r="G969">
        <v>-2.6621405553755889E-2</v>
      </c>
      <c r="H969">
        <v>1.3936313102562929</v>
      </c>
      <c r="I969" t="s">
        <v>96</v>
      </c>
      <c r="J969" t="s">
        <v>96</v>
      </c>
      <c r="K969">
        <v>0.13088124943616139</v>
      </c>
      <c r="L969">
        <v>-0.68</v>
      </c>
      <c r="M969">
        <v>12999.43818380138</v>
      </c>
      <c r="N969">
        <v>-243.663196</v>
      </c>
      <c r="O969">
        <v>12755.77498780138</v>
      </c>
      <c r="P969" t="s">
        <v>96</v>
      </c>
      <c r="Q969" t="s">
        <v>96</v>
      </c>
      <c r="R969">
        <v>1154.4653179806701</v>
      </c>
      <c r="S969">
        <v>-225.8937831999996</v>
      </c>
      <c r="T969">
        <v>-50175.937249472066</v>
      </c>
    </row>
    <row r="970" spans="1:20" x14ac:dyDescent="0.25">
      <c r="A970" s="1" t="s">
        <v>43</v>
      </c>
      <c r="B970">
        <v>2006</v>
      </c>
      <c r="C970">
        <v>9164.0840000000007</v>
      </c>
      <c r="D970">
        <v>8831.6619100000007</v>
      </c>
      <c r="E970">
        <v>332.4220899999994</v>
      </c>
      <c r="F970">
        <v>1.217180126230212</v>
      </c>
      <c r="G970">
        <v>-6.654585226412154E-3</v>
      </c>
      <c r="H970">
        <v>1.2105255410038001</v>
      </c>
      <c r="I970" t="s">
        <v>96</v>
      </c>
      <c r="J970" t="s">
        <v>96</v>
      </c>
      <c r="K970">
        <v>0.1332300036196738</v>
      </c>
      <c r="L970">
        <v>-0.68</v>
      </c>
      <c r="M970">
        <v>11154.340919904271</v>
      </c>
      <c r="N970">
        <v>-60.983178000000002</v>
      </c>
      <c r="O970">
        <v>11093.35774190427</v>
      </c>
      <c r="P970" t="s">
        <v>96</v>
      </c>
      <c r="Q970" t="s">
        <v>96</v>
      </c>
      <c r="R970">
        <v>1176.6423482370351</v>
      </c>
      <c r="S970">
        <v>-226.04702119999959</v>
      </c>
      <c r="T970">
        <v>-44161.161252788806</v>
      </c>
    </row>
    <row r="971" spans="1:20" x14ac:dyDescent="0.25">
      <c r="A971" s="1" t="s">
        <v>43</v>
      </c>
      <c r="B971">
        <v>2007</v>
      </c>
      <c r="C971">
        <v>9224.11</v>
      </c>
      <c r="D971">
        <v>8890.4742300000016</v>
      </c>
      <c r="E971">
        <v>333.63576999999941</v>
      </c>
      <c r="F971">
        <v>1.0075704178042619</v>
      </c>
      <c r="G971">
        <v>-3.4063883561666113E-2</v>
      </c>
      <c r="H971">
        <v>0.97350653424259626</v>
      </c>
      <c r="I971" t="s">
        <v>96</v>
      </c>
      <c r="J971" t="s">
        <v>96</v>
      </c>
      <c r="K971">
        <v>0.1423188798454936</v>
      </c>
      <c r="L971">
        <v>-0.68</v>
      </c>
      <c r="M971">
        <v>9293.9403665724749</v>
      </c>
      <c r="N971">
        <v>-314.20900899999998</v>
      </c>
      <c r="O971">
        <v>8979.7313575724747</v>
      </c>
      <c r="P971" t="s">
        <v>96</v>
      </c>
      <c r="Q971" t="s">
        <v>96</v>
      </c>
      <c r="R971">
        <v>1265.2823337088271</v>
      </c>
      <c r="S971">
        <v>-226.87232359999959</v>
      </c>
      <c r="T971">
        <v>-36733.18501483478</v>
      </c>
    </row>
    <row r="972" spans="1:20" x14ac:dyDescent="0.25">
      <c r="A972" s="1" t="s">
        <v>43</v>
      </c>
      <c r="B972">
        <v>2008</v>
      </c>
      <c r="C972">
        <v>9251.4030000000002</v>
      </c>
      <c r="D972">
        <v>8916.5535500000005</v>
      </c>
      <c r="E972">
        <v>334.84944999999942</v>
      </c>
      <c r="F972">
        <v>0.99904504996563959</v>
      </c>
      <c r="G972">
        <v>-1.5638521205918719E-2</v>
      </c>
      <c r="H972">
        <v>0.9834065287597209</v>
      </c>
      <c r="I972" t="s">
        <v>96</v>
      </c>
      <c r="J972" t="s">
        <v>96</v>
      </c>
      <c r="K972">
        <v>0.1401131513911027</v>
      </c>
      <c r="L972">
        <v>-0.68</v>
      </c>
      <c r="M972">
        <v>9242.568372387268</v>
      </c>
      <c r="N972">
        <v>-144.67826199999999</v>
      </c>
      <c r="O972">
        <v>9097.8901103872686</v>
      </c>
      <c r="P972" t="s">
        <v>96</v>
      </c>
      <c r="Q972" t="s">
        <v>96</v>
      </c>
      <c r="R972">
        <v>1249.326417438024</v>
      </c>
      <c r="S972">
        <v>-227.69762599999959</v>
      </c>
      <c r="T972">
        <v>-37104.902640029453</v>
      </c>
    </row>
    <row r="973" spans="1:20" x14ac:dyDescent="0.25">
      <c r="A973" s="1" t="s">
        <v>43</v>
      </c>
      <c r="B973">
        <v>2009</v>
      </c>
      <c r="C973">
        <v>9275.7839999999997</v>
      </c>
      <c r="D973">
        <v>8939.720870000001</v>
      </c>
      <c r="E973">
        <v>336.06312999999932</v>
      </c>
      <c r="F973">
        <v>0.94701559804124757</v>
      </c>
      <c r="G973">
        <v>-1.398202125017141E-2</v>
      </c>
      <c r="H973">
        <v>0.93303357679107624</v>
      </c>
      <c r="I973">
        <v>3.6303859699769847E-2</v>
      </c>
      <c r="J973" t="s">
        <v>96</v>
      </c>
      <c r="K973">
        <v>0.14302785321416589</v>
      </c>
      <c r="L973">
        <v>-0.68</v>
      </c>
      <c r="M973">
        <v>8784.3121320614355</v>
      </c>
      <c r="N973">
        <v>-129.694209</v>
      </c>
      <c r="O973">
        <v>8654.6179230614362</v>
      </c>
      <c r="P973">
        <v>336.74676094136998</v>
      </c>
      <c r="Q973" t="s">
        <v>96</v>
      </c>
      <c r="R973">
        <v>1278.629084369976</v>
      </c>
      <c r="S973">
        <v>-228.52292839999961</v>
      </c>
      <c r="T973">
        <v>-36818.72641323688</v>
      </c>
    </row>
    <row r="974" spans="1:20" x14ac:dyDescent="0.25">
      <c r="A974" s="1" t="s">
        <v>43</v>
      </c>
      <c r="B974">
        <v>2010</v>
      </c>
      <c r="C974">
        <v>9304.7609999999986</v>
      </c>
      <c r="D974">
        <v>8969.1498599999995</v>
      </c>
      <c r="E974">
        <v>335.6111399999993</v>
      </c>
      <c r="F974">
        <v>0.8933382568912086</v>
      </c>
      <c r="G974">
        <v>-1.6447883400766559E-2</v>
      </c>
      <c r="H974">
        <v>0.87689037349044197</v>
      </c>
      <c r="I974">
        <v>3.640756149893265E-2</v>
      </c>
      <c r="J974" t="s">
        <v>96</v>
      </c>
      <c r="K974">
        <v>0.14067468851466189</v>
      </c>
      <c r="L974">
        <v>-0.68000000000000016</v>
      </c>
      <c r="M974">
        <v>8312.2989725292973</v>
      </c>
      <c r="N974">
        <v>-153.04362399999999</v>
      </c>
      <c r="O974">
        <v>8159.2553485292974</v>
      </c>
      <c r="P974">
        <v>338.76365834037</v>
      </c>
      <c r="Q974" t="s">
        <v>96</v>
      </c>
      <c r="R974">
        <v>1261.7323627968231</v>
      </c>
      <c r="S974">
        <v>-228.21557519999959</v>
      </c>
      <c r="T974">
        <v>-34948.96457971364</v>
      </c>
    </row>
    <row r="975" spans="1:20" x14ac:dyDescent="0.25">
      <c r="A975" s="1" t="s">
        <v>43</v>
      </c>
      <c r="B975">
        <v>2011</v>
      </c>
      <c r="C975">
        <v>9329.1749999999993</v>
      </c>
      <c r="D975">
        <v>8994.0158499999998</v>
      </c>
      <c r="E975">
        <v>335.15914999999939</v>
      </c>
      <c r="F975">
        <v>1.0896876937635911</v>
      </c>
      <c r="G975">
        <v>-1.3899224100737739E-2</v>
      </c>
      <c r="H975">
        <v>1.075788469662853</v>
      </c>
      <c r="I975">
        <v>-3.8752337784948832E-3</v>
      </c>
      <c r="J975" t="s">
        <v>96</v>
      </c>
      <c r="K975">
        <v>0.1382000459575255</v>
      </c>
      <c r="L975">
        <v>-0.68</v>
      </c>
      <c r="M975">
        <v>10165.88719046695</v>
      </c>
      <c r="N975">
        <v>-129.668294</v>
      </c>
      <c r="O975">
        <v>10036.218896466949</v>
      </c>
      <c r="P975">
        <v>-36.152734085490003</v>
      </c>
      <c r="Q975" t="s">
        <v>96</v>
      </c>
      <c r="R975">
        <v>1242.9734038127131</v>
      </c>
      <c r="S975">
        <v>-227.9082219999996</v>
      </c>
      <c r="T975">
        <v>-40388.814928715627</v>
      </c>
    </row>
    <row r="976" spans="1:20" x14ac:dyDescent="0.25">
      <c r="A976" s="1" t="s">
        <v>43</v>
      </c>
      <c r="B976">
        <v>2012</v>
      </c>
      <c r="C976">
        <v>9353.7309999999998</v>
      </c>
      <c r="D976">
        <v>9019.0238399999998</v>
      </c>
      <c r="E976">
        <v>334.70715999999942</v>
      </c>
      <c r="F976">
        <v>1.073934215625328</v>
      </c>
      <c r="G976">
        <v>-1.38810206323017E-2</v>
      </c>
      <c r="H976">
        <v>1.060053194993027</v>
      </c>
      <c r="I976">
        <v>2.2448460201048119E-2</v>
      </c>
      <c r="J976" t="s">
        <v>96</v>
      </c>
      <c r="K976">
        <v>0.1382964418287273</v>
      </c>
      <c r="L976">
        <v>-0.67999999999999994</v>
      </c>
      <c r="M976">
        <v>10045.29176465532</v>
      </c>
      <c r="N976">
        <v>-129.83933300000001</v>
      </c>
      <c r="O976">
        <v>9915.4524316553197</v>
      </c>
      <c r="P976">
        <v>209.97685808481</v>
      </c>
      <c r="Q976" t="s">
        <v>96</v>
      </c>
      <c r="R976">
        <v>1247.2989058404651</v>
      </c>
      <c r="S976">
        <v>-227.60086879999949</v>
      </c>
      <c r="T976">
        <v>-40865.466864865899</v>
      </c>
    </row>
    <row r="977" spans="1:20" x14ac:dyDescent="0.25">
      <c r="A977" s="1" t="s">
        <v>43</v>
      </c>
      <c r="B977">
        <v>2013</v>
      </c>
      <c r="C977">
        <v>9369.4030000000002</v>
      </c>
      <c r="D977">
        <v>9034.6395000000011</v>
      </c>
      <c r="E977">
        <v>334.7634999999994</v>
      </c>
      <c r="F977">
        <v>1.1274976472384459</v>
      </c>
      <c r="G977">
        <v>-8.9444254879419739E-3</v>
      </c>
      <c r="H977">
        <v>1.1185532217505041</v>
      </c>
      <c r="I977">
        <v>2.347613211747003E-2</v>
      </c>
      <c r="J977" t="s">
        <v>96</v>
      </c>
      <c r="K977">
        <v>0.1437066608826556</v>
      </c>
      <c r="L977">
        <v>-0.68</v>
      </c>
      <c r="M977">
        <v>10563.97983852884</v>
      </c>
      <c r="N977">
        <v>-83.803927000000002</v>
      </c>
      <c r="O977">
        <v>10480.175911528841</v>
      </c>
      <c r="P977">
        <v>219.95734268982011</v>
      </c>
      <c r="Q977" t="s">
        <v>96</v>
      </c>
      <c r="R977">
        <v>1298.337874823545</v>
      </c>
      <c r="S977">
        <v>-227.63917999999961</v>
      </c>
      <c r="T977">
        <v>-43159.717146492003</v>
      </c>
    </row>
    <row r="978" spans="1:20" x14ac:dyDescent="0.25">
      <c r="A978" s="1" t="s">
        <v>43</v>
      </c>
      <c r="B978">
        <v>2014</v>
      </c>
      <c r="C978">
        <v>9382.5780000000013</v>
      </c>
      <c r="D978">
        <v>9047.7581600000012</v>
      </c>
      <c r="E978">
        <v>334.81983999999937</v>
      </c>
      <c r="F978">
        <v>0.91159969208842484</v>
      </c>
      <c r="G978">
        <v>-7.7055226186235814E-3</v>
      </c>
      <c r="H978">
        <v>0.90389416946980117</v>
      </c>
      <c r="I978">
        <v>4.2368630276109598E-2</v>
      </c>
      <c r="J978" t="s">
        <v>96</v>
      </c>
      <c r="K978">
        <v>0.14421539513218229</v>
      </c>
      <c r="L978">
        <v>-0.68</v>
      </c>
      <c r="M978">
        <v>8553.1552157956303</v>
      </c>
      <c r="N978">
        <v>-72.297667000000004</v>
      </c>
      <c r="O978">
        <v>8480.8575487956296</v>
      </c>
      <c r="P978">
        <v>397.52697831875997</v>
      </c>
      <c r="Q978" t="s">
        <v>96</v>
      </c>
      <c r="R978">
        <v>1304.826018104827</v>
      </c>
      <c r="S978">
        <v>-227.67749119999959</v>
      </c>
      <c r="T978">
        <v>-36503.621198073772</v>
      </c>
    </row>
    <row r="979" spans="1:20" x14ac:dyDescent="0.25">
      <c r="A979" s="1" t="s">
        <v>43</v>
      </c>
      <c r="B979">
        <v>2015</v>
      </c>
      <c r="C979">
        <v>9395.1710000000003</v>
      </c>
      <c r="D979">
        <v>9060.294820000001</v>
      </c>
      <c r="E979">
        <v>334.87617999999952</v>
      </c>
      <c r="F979">
        <v>0.79146082455137579</v>
      </c>
      <c r="G979">
        <v>-7.3542645471806733E-3</v>
      </c>
      <c r="H979">
        <v>0.7841065600041951</v>
      </c>
      <c r="I979">
        <v>4.1817683122809569E-2</v>
      </c>
      <c r="J979" t="s">
        <v>96</v>
      </c>
      <c r="K979">
        <v>0.14451357671203979</v>
      </c>
      <c r="L979">
        <v>-0.67999999999999994</v>
      </c>
      <c r="M979">
        <v>7435.909786461174</v>
      </c>
      <c r="N979">
        <v>-69.094572999999997</v>
      </c>
      <c r="O979">
        <v>7366.8152134611737</v>
      </c>
      <c r="P979">
        <v>392.88428376260993</v>
      </c>
      <c r="Q979" t="s">
        <v>96</v>
      </c>
      <c r="R979">
        <v>1309.3356105037669</v>
      </c>
      <c r="S979">
        <v>-227.7158023999996</v>
      </c>
      <c r="T979">
        <v>-32418.170786203958</v>
      </c>
    </row>
    <row r="980" spans="1:20" x14ac:dyDescent="0.25">
      <c r="A980" s="1" t="s">
        <v>43</v>
      </c>
      <c r="B980">
        <v>2016</v>
      </c>
      <c r="C980">
        <v>9381.9790000000012</v>
      </c>
      <c r="D980">
        <v>9047.0464800000009</v>
      </c>
      <c r="E980">
        <v>334.93251999999939</v>
      </c>
      <c r="F980">
        <v>0.97066032448439254</v>
      </c>
      <c r="G980">
        <v>-2.4693608565953942E-4</v>
      </c>
      <c r="H980">
        <v>0.97041338839873303</v>
      </c>
      <c r="I980">
        <v>0.17517164670673641</v>
      </c>
      <c r="J980" t="s">
        <v>96</v>
      </c>
      <c r="K980">
        <v>0.14069294542018251</v>
      </c>
      <c r="L980">
        <v>-0.67999999999999994</v>
      </c>
      <c r="M980">
        <v>9106.7147804457582</v>
      </c>
      <c r="N980">
        <v>-2.31674917</v>
      </c>
      <c r="O980">
        <v>9104.3980312757576</v>
      </c>
      <c r="P980">
        <v>1643.4567107980199</v>
      </c>
      <c r="Q980" t="s">
        <v>96</v>
      </c>
      <c r="R980">
        <v>1272.8556166244939</v>
      </c>
      <c r="S980">
        <v>-227.75411359999961</v>
      </c>
      <c r="T980">
        <v>-43240.839565364273</v>
      </c>
    </row>
    <row r="981" spans="1:20" x14ac:dyDescent="0.25">
      <c r="A981" s="1" t="s">
        <v>43</v>
      </c>
      <c r="B981">
        <v>2017</v>
      </c>
      <c r="C981">
        <v>9425.7299999999977</v>
      </c>
      <c r="D981">
        <v>9091.619639999999</v>
      </c>
      <c r="E981">
        <v>334.11035999999939</v>
      </c>
      <c r="F981">
        <v>0.96301425060029622</v>
      </c>
      <c r="G981">
        <v>-2.465872160564752E-2</v>
      </c>
      <c r="H981">
        <v>0.9383555289946488</v>
      </c>
      <c r="I981">
        <v>0.1328082995126659</v>
      </c>
      <c r="J981" t="s">
        <v>96</v>
      </c>
      <c r="K981">
        <v>0.14113990137254259</v>
      </c>
      <c r="L981">
        <v>-0.68</v>
      </c>
      <c r="M981">
        <v>9077.1123123107282</v>
      </c>
      <c r="N981">
        <v>-232.42645200000001</v>
      </c>
      <c r="O981">
        <v>8844.6858603107285</v>
      </c>
      <c r="P981">
        <v>1251.8151729655201</v>
      </c>
      <c r="Q981" t="s">
        <v>96</v>
      </c>
      <c r="R981">
        <v>1283.1902993062711</v>
      </c>
      <c r="S981">
        <v>-227.19504479999961</v>
      </c>
      <c r="T981">
        <v>-40892.486388539633</v>
      </c>
    </row>
    <row r="982" spans="1:20" x14ac:dyDescent="0.25">
      <c r="A982" s="1" t="s">
        <v>43</v>
      </c>
      <c r="B982">
        <v>2018</v>
      </c>
      <c r="C982">
        <v>9434.0779999999995</v>
      </c>
      <c r="D982">
        <v>9100.7898000000005</v>
      </c>
      <c r="E982">
        <v>333.28819999999951</v>
      </c>
      <c r="F982">
        <v>0.96795720080109637</v>
      </c>
      <c r="G982">
        <v>-4.8593656953016514E-3</v>
      </c>
      <c r="H982">
        <v>0.96309783510579483</v>
      </c>
      <c r="I982">
        <v>8.0467924570452987E-2</v>
      </c>
      <c r="J982" t="s">
        <v>96</v>
      </c>
      <c r="K982">
        <v>0.12606452580527561</v>
      </c>
      <c r="L982">
        <v>-0.67999999999999994</v>
      </c>
      <c r="M982">
        <v>9131.7837330192051</v>
      </c>
      <c r="N982">
        <v>-45.843635000000013</v>
      </c>
      <c r="O982">
        <v>9085.9400980192058</v>
      </c>
      <c r="P982">
        <v>759.14067689576996</v>
      </c>
      <c r="Q982" t="s">
        <v>96</v>
      </c>
      <c r="R982">
        <v>1147.286750590489</v>
      </c>
      <c r="S982">
        <v>-226.6359759999996</v>
      </c>
      <c r="T982">
        <v>-39474.349014856962</v>
      </c>
    </row>
    <row r="983" spans="1:20" x14ac:dyDescent="0.25">
      <c r="A983" s="1" t="s">
        <v>43</v>
      </c>
      <c r="B983">
        <v>2019</v>
      </c>
      <c r="C983">
        <v>9439.1219999999994</v>
      </c>
      <c r="D983">
        <v>9106.6559600000001</v>
      </c>
      <c r="E983">
        <v>332.46603999999951</v>
      </c>
      <c r="F983">
        <v>0.40265781514332522</v>
      </c>
      <c r="G983">
        <v>-3.058474082653027E-3</v>
      </c>
      <c r="H983">
        <v>0.39959934106067208</v>
      </c>
      <c r="I983">
        <v>0.1230455642143559</v>
      </c>
      <c r="J983" t="s">
        <v>96</v>
      </c>
      <c r="K983">
        <v>0.12399031365471511</v>
      </c>
      <c r="L983">
        <v>-0.68</v>
      </c>
      <c r="M983">
        <v>3800.7362413912929</v>
      </c>
      <c r="N983">
        <v>-28.869309999999999</v>
      </c>
      <c r="O983">
        <v>3771.8669313912928</v>
      </c>
      <c r="P983">
        <v>1161.44209217814</v>
      </c>
      <c r="Q983" t="s">
        <v>96</v>
      </c>
      <c r="R983">
        <v>1129.13712882598</v>
      </c>
      <c r="S983">
        <v>-226.07690719999971</v>
      </c>
      <c r="T983">
        <v>-21400.02056571846</v>
      </c>
    </row>
    <row r="984" spans="1:20" x14ac:dyDescent="0.25">
      <c r="A984" s="1" t="s">
        <v>43</v>
      </c>
      <c r="B984">
        <v>2020</v>
      </c>
      <c r="C984">
        <v>9442.8739999999998</v>
      </c>
      <c r="D984">
        <v>9110.3516199999995</v>
      </c>
      <c r="E984">
        <v>332.5223799999996</v>
      </c>
      <c r="F984">
        <v>0.42284437192603141</v>
      </c>
      <c r="G984">
        <v>-2.2509548470095011E-3</v>
      </c>
      <c r="H984">
        <v>0.42059341707902193</v>
      </c>
      <c r="I984">
        <v>0.1296294936115297</v>
      </c>
      <c r="J984">
        <v>3.1769988670822042E-4</v>
      </c>
      <c r="K984">
        <v>0.1175584362009824</v>
      </c>
      <c r="L984">
        <v>-0.67999999999999994</v>
      </c>
      <c r="M984">
        <v>3992.8661257066519</v>
      </c>
      <c r="N984">
        <v>-21.255483000000002</v>
      </c>
      <c r="O984">
        <v>3971.610642706652</v>
      </c>
      <c r="P984">
        <v>1224.0749748574799</v>
      </c>
      <c r="Q984">
        <v>3</v>
      </c>
      <c r="R984">
        <v>1070.998689688287</v>
      </c>
      <c r="S984">
        <v>-226.11521839999969</v>
      </c>
      <c r="T984">
        <v>-22159.75332579422</v>
      </c>
    </row>
    <row r="985" spans="1:20" x14ac:dyDescent="0.25">
      <c r="A985" s="1" t="s">
        <v>43</v>
      </c>
      <c r="B985">
        <v>2021</v>
      </c>
      <c r="C985">
        <v>9450.1119999999992</v>
      </c>
      <c r="D985">
        <v>9115.15128</v>
      </c>
      <c r="E985">
        <v>334.96071999999958</v>
      </c>
      <c r="F985">
        <v>0.43143216025001419</v>
      </c>
      <c r="G985">
        <v>-4.2077782781833701E-3</v>
      </c>
      <c r="H985">
        <v>0.42722438197183082</v>
      </c>
      <c r="I985">
        <v>0.12809355198195749</v>
      </c>
      <c r="J985" t="s">
        <v>96</v>
      </c>
      <c r="K985">
        <v>0.11179764243155289</v>
      </c>
      <c r="L985">
        <v>-0.67999999999999994</v>
      </c>
      <c r="M985">
        <v>4077.0822347645822</v>
      </c>
      <c r="N985">
        <v>-39.763976</v>
      </c>
      <c r="O985">
        <v>4037.318258764582</v>
      </c>
      <c r="P985">
        <v>1210.4984127073201</v>
      </c>
      <c r="Q985" t="s">
        <v>96</v>
      </c>
      <c r="R985">
        <v>1019.0524235109521</v>
      </c>
      <c r="S985">
        <v>-227.77328959999971</v>
      </c>
      <c r="T985">
        <v>-22143.35128640581</v>
      </c>
    </row>
    <row r="986" spans="1:20" x14ac:dyDescent="0.25">
      <c r="A986" s="1" t="s">
        <v>43</v>
      </c>
      <c r="B986">
        <v>2022</v>
      </c>
      <c r="C986">
        <v>9464.0629999999983</v>
      </c>
      <c r="D986">
        <v>9126.6639399999985</v>
      </c>
      <c r="E986">
        <v>337.39905999999962</v>
      </c>
      <c r="F986">
        <v>0.76685344666281352</v>
      </c>
      <c r="G986">
        <v>-8.1627325388683499E-3</v>
      </c>
      <c r="H986">
        <v>0.75869071412394518</v>
      </c>
      <c r="I986">
        <v>0.1592856669929554</v>
      </c>
      <c r="J986" t="s">
        <v>96</v>
      </c>
      <c r="K986">
        <v>0.1054961176358061</v>
      </c>
      <c r="L986">
        <v>-0.67999999999999994</v>
      </c>
      <c r="M986">
        <v>7257.5493309840058</v>
      </c>
      <c r="N986">
        <v>-77.252614999999992</v>
      </c>
      <c r="O986">
        <v>7180.2967159840045</v>
      </c>
      <c r="P986">
        <v>1507.4895874183501</v>
      </c>
      <c r="Q986" t="s">
        <v>96</v>
      </c>
      <c r="R986">
        <v>962.82761263670966</v>
      </c>
      <c r="S986">
        <v>-229.43136079999971</v>
      </c>
      <c r="T986">
        <v>-34544.336035879707</v>
      </c>
    </row>
    <row r="987" spans="1:20" x14ac:dyDescent="0.25">
      <c r="A987" s="1" t="s">
        <v>43</v>
      </c>
      <c r="B987">
        <v>2023</v>
      </c>
      <c r="C987">
        <v>9434.9319145664304</v>
      </c>
      <c r="D987">
        <v>9095.09451456643</v>
      </c>
      <c r="E987">
        <v>339.83739999999972</v>
      </c>
      <c r="F987">
        <v>1.02029081758623</v>
      </c>
      <c r="G987">
        <v>-3.5166647836403289E-4</v>
      </c>
      <c r="H987">
        <v>1.019939151107865</v>
      </c>
      <c r="I987">
        <v>8.1882963679069845E-2</v>
      </c>
      <c r="J987" t="s">
        <v>96</v>
      </c>
      <c r="K987">
        <v>9.0895480620385397E-2</v>
      </c>
      <c r="L987">
        <v>-0.67999999999999994</v>
      </c>
      <c r="M987">
        <v>9626.3743969833922</v>
      </c>
      <c r="N987">
        <v>-3.3179492800000001</v>
      </c>
      <c r="O987">
        <v>9623.0564477033913</v>
      </c>
      <c r="P987">
        <v>772.56018727493995</v>
      </c>
      <c r="Q987" t="s">
        <v>96</v>
      </c>
      <c r="R987">
        <v>826.70298718934646</v>
      </c>
      <c r="S987">
        <v>-231.08943199999979</v>
      </c>
      <c r="T987">
        <v>-40301.177363951807</v>
      </c>
    </row>
    <row r="988" spans="1:20" x14ac:dyDescent="0.25">
      <c r="A988" s="1" t="s">
        <v>44</v>
      </c>
      <c r="B988">
        <v>1990</v>
      </c>
      <c r="C988">
        <v>4147.9945877601631</v>
      </c>
      <c r="D988">
        <v>4147.9945877601631</v>
      </c>
      <c r="E988" t="s">
        <v>96</v>
      </c>
      <c r="F988">
        <v>1.474501001095927</v>
      </c>
      <c r="G988">
        <v>-1.4633964013125691</v>
      </c>
      <c r="H988">
        <v>1.1104599783358151E-2</v>
      </c>
      <c r="I988" t="s">
        <v>96</v>
      </c>
      <c r="J988">
        <v>3.0890832058952651E-3</v>
      </c>
      <c r="K988">
        <v>0.1060220737103096</v>
      </c>
      <c r="L988" t="s">
        <v>96</v>
      </c>
      <c r="M988">
        <v>6116.2221721928463</v>
      </c>
      <c r="N988">
        <v>-6070.160352392234</v>
      </c>
      <c r="O988">
        <v>46.061819800612277</v>
      </c>
      <c r="P988" t="s">
        <v>96</v>
      </c>
      <c r="Q988">
        <v>12.813500419194369</v>
      </c>
      <c r="R988">
        <v>439.77898793347322</v>
      </c>
      <c r="S988" t="s">
        <v>96</v>
      </c>
      <c r="T988">
        <v>-1828.3991298955259</v>
      </c>
    </row>
    <row r="989" spans="1:20" x14ac:dyDescent="0.25">
      <c r="A989" s="1" t="s">
        <v>44</v>
      </c>
      <c r="B989">
        <v>1991</v>
      </c>
      <c r="C989">
        <v>4156.8622523663744</v>
      </c>
      <c r="D989">
        <v>4156.8622523663744</v>
      </c>
      <c r="E989" t="s">
        <v>96</v>
      </c>
      <c r="F989">
        <v>1.4881509700503319</v>
      </c>
      <c r="G989">
        <v>-1.430958261964457</v>
      </c>
      <c r="H989">
        <v>5.7192708085875683E-2</v>
      </c>
      <c r="I989" t="s">
        <v>96</v>
      </c>
      <c r="J989">
        <v>3.0843911086654882E-3</v>
      </c>
      <c r="K989">
        <v>0.10583450433574031</v>
      </c>
      <c r="L989" t="s">
        <v>96</v>
      </c>
      <c r="M989">
        <v>6186.0385932246299</v>
      </c>
      <c r="N989">
        <v>-5948.2963838718442</v>
      </c>
      <c r="O989">
        <v>237.74220935278569</v>
      </c>
      <c r="P989" t="s">
        <v>96</v>
      </c>
      <c r="Q989">
        <v>12.821388971146041</v>
      </c>
      <c r="R989">
        <v>439.93945607114438</v>
      </c>
      <c r="S989" t="s">
        <v>96</v>
      </c>
      <c r="T989">
        <v>-2531.844532782176</v>
      </c>
    </row>
    <row r="990" spans="1:20" x14ac:dyDescent="0.25">
      <c r="A990" s="1" t="s">
        <v>44</v>
      </c>
      <c r="B990">
        <v>1992</v>
      </c>
      <c r="C990">
        <v>4165.7299169725957</v>
      </c>
      <c r="D990">
        <v>4165.7299169725957</v>
      </c>
      <c r="E990" t="s">
        <v>96</v>
      </c>
      <c r="F990">
        <v>1.5017428251332201</v>
      </c>
      <c r="G990">
        <v>-1.3823132109143621</v>
      </c>
      <c r="H990">
        <v>0.1194296142188582</v>
      </c>
      <c r="I990" t="s">
        <v>96</v>
      </c>
      <c r="J990">
        <v>3.0797189877401531E-3</v>
      </c>
      <c r="K990">
        <v>0.10564773352580981</v>
      </c>
      <c r="L990" t="s">
        <v>96</v>
      </c>
      <c r="M990">
        <v>6255.8550142564009</v>
      </c>
      <c r="N990">
        <v>-5758.3434973324074</v>
      </c>
      <c r="O990">
        <v>497.51151692399338</v>
      </c>
      <c r="P990" t="s">
        <v>96</v>
      </c>
      <c r="Q990">
        <v>12.82927752309771</v>
      </c>
      <c r="R990">
        <v>440.09992420881463</v>
      </c>
      <c r="S990" t="s">
        <v>96</v>
      </c>
      <c r="T990">
        <v>-3484.949301738638</v>
      </c>
    </row>
    <row r="991" spans="1:20" x14ac:dyDescent="0.25">
      <c r="A991" s="1" t="s">
        <v>44</v>
      </c>
      <c r="B991">
        <v>1993</v>
      </c>
      <c r="C991">
        <v>4174.597581578817</v>
      </c>
      <c r="D991">
        <v>4174.597581578817</v>
      </c>
      <c r="E991" t="s">
        <v>96</v>
      </c>
      <c r="F991">
        <v>1.5152769366804071</v>
      </c>
      <c r="G991">
        <v>-1.3732528276408911</v>
      </c>
      <c r="H991">
        <v>0.14202410903951551</v>
      </c>
      <c r="I991" t="s">
        <v>96</v>
      </c>
      <c r="J991">
        <v>3.0750667158184909E-3</v>
      </c>
      <c r="K991">
        <v>0.1054617561915947</v>
      </c>
      <c r="L991" t="s">
        <v>96</v>
      </c>
      <c r="M991">
        <v>6325.6714352881836</v>
      </c>
      <c r="N991">
        <v>-5732.7779331659358</v>
      </c>
      <c r="O991">
        <v>592.89350212224781</v>
      </c>
      <c r="P991" t="s">
        <v>96</v>
      </c>
      <c r="Q991">
        <v>12.837166075049391</v>
      </c>
      <c r="R991">
        <v>440.2603923464859</v>
      </c>
      <c r="S991" t="s">
        <v>96</v>
      </c>
      <c r="T991">
        <v>-3835.300555327553</v>
      </c>
    </row>
    <row r="992" spans="1:20" x14ac:dyDescent="0.25">
      <c r="A992" s="1" t="s">
        <v>44</v>
      </c>
      <c r="B992">
        <v>1994</v>
      </c>
      <c r="C992">
        <v>4183.4652461850274</v>
      </c>
      <c r="D992">
        <v>4183.4652461850274</v>
      </c>
      <c r="E992" t="s">
        <v>96</v>
      </c>
      <c r="F992">
        <v>1.5287536718877039</v>
      </c>
      <c r="G992">
        <v>-1.336429466544087</v>
      </c>
      <c r="H992">
        <v>0.19232420534361661</v>
      </c>
      <c r="I992" t="s">
        <v>96</v>
      </c>
      <c r="J992">
        <v>3.070434166679091E-3</v>
      </c>
      <c r="K992">
        <v>0.10527656728731841</v>
      </c>
      <c r="L992" t="s">
        <v>96</v>
      </c>
      <c r="M992">
        <v>6395.4878563199563</v>
      </c>
      <c r="N992">
        <v>-5590.9062272647834</v>
      </c>
      <c r="O992">
        <v>804.58162905517293</v>
      </c>
      <c r="P992" t="s">
        <v>96</v>
      </c>
      <c r="Q992">
        <v>12.84505462700106</v>
      </c>
      <c r="R992">
        <v>440.42086048415621</v>
      </c>
      <c r="S992" t="s">
        <v>96</v>
      </c>
      <c r="T992">
        <v>-4612.1076619436299</v>
      </c>
    </row>
    <row r="993" spans="1:20" x14ac:dyDescent="0.25">
      <c r="A993" s="1" t="s">
        <v>44</v>
      </c>
      <c r="B993">
        <v>1995</v>
      </c>
      <c r="C993">
        <v>4192.3329107912487</v>
      </c>
      <c r="D993">
        <v>4192.3329107912487</v>
      </c>
      <c r="E993" t="s">
        <v>96</v>
      </c>
      <c r="F993">
        <v>1.542173394844137</v>
      </c>
      <c r="G993">
        <v>-1.2903512016941669</v>
      </c>
      <c r="H993">
        <v>0.25182219314996979</v>
      </c>
      <c r="I993" t="s">
        <v>96</v>
      </c>
      <c r="J993">
        <v>3.0658212151684571E-3</v>
      </c>
      <c r="K993">
        <v>0.10509216180989631</v>
      </c>
      <c r="L993" t="s">
        <v>96</v>
      </c>
      <c r="M993">
        <v>6465.3042773517409</v>
      </c>
      <c r="N993">
        <v>-5409.5818093414919</v>
      </c>
      <c r="O993">
        <v>1055.722468010249</v>
      </c>
      <c r="P993" t="s">
        <v>96</v>
      </c>
      <c r="Q993">
        <v>12.85294317895274</v>
      </c>
      <c r="R993">
        <v>440.58132862182742</v>
      </c>
      <c r="S993" t="s">
        <v>96</v>
      </c>
      <c r="T993">
        <v>-5533.5747126409433</v>
      </c>
    </row>
    <row r="994" spans="1:20" x14ac:dyDescent="0.25">
      <c r="A994" s="1" t="s">
        <v>44</v>
      </c>
      <c r="B994">
        <v>1996</v>
      </c>
      <c r="C994">
        <v>4204.36160494466</v>
      </c>
      <c r="D994">
        <v>4204.36160494466</v>
      </c>
      <c r="E994" t="s">
        <v>96</v>
      </c>
      <c r="F994">
        <v>1.5506016254756301</v>
      </c>
      <c r="G994">
        <v>-1.3983967808989779</v>
      </c>
      <c r="H994">
        <v>0.15220484457665179</v>
      </c>
      <c r="I994" t="s">
        <v>96</v>
      </c>
      <c r="J994">
        <v>3.2742710586031892E-3</v>
      </c>
      <c r="K994">
        <v>0.1022969206447958</v>
      </c>
      <c r="L994" t="s">
        <v>96</v>
      </c>
      <c r="M994">
        <v>6519.2899387145189</v>
      </c>
      <c r="N994">
        <v>-5879.3657340898744</v>
      </c>
      <c r="O994">
        <v>639.92420462464452</v>
      </c>
      <c r="P994" t="s">
        <v>96</v>
      </c>
      <c r="Q994">
        <v>13.76621952297276</v>
      </c>
      <c r="R994">
        <v>430.09324546305038</v>
      </c>
      <c r="S994" t="s">
        <v>96</v>
      </c>
      <c r="T994">
        <v>-3973.8734552394758</v>
      </c>
    </row>
    <row r="995" spans="1:20" x14ac:dyDescent="0.25">
      <c r="A995" s="1" t="s">
        <v>44</v>
      </c>
      <c r="B995">
        <v>1997</v>
      </c>
      <c r="C995">
        <v>4216.3902990980723</v>
      </c>
      <c r="D995">
        <v>4216.3902990980723</v>
      </c>
      <c r="E995" t="s">
        <v>96</v>
      </c>
      <c r="F995">
        <v>1.5589817672911821</v>
      </c>
      <c r="G995">
        <v>-1.3934321027368</v>
      </c>
      <c r="H995">
        <v>0.16554966455438161</v>
      </c>
      <c r="I995" t="s">
        <v>96</v>
      </c>
      <c r="J995">
        <v>3.481531553218154E-3</v>
      </c>
      <c r="K995">
        <v>9.9517628240922515E-2</v>
      </c>
      <c r="L995" t="s">
        <v>96</v>
      </c>
      <c r="M995">
        <v>6573.275600077307</v>
      </c>
      <c r="N995">
        <v>-5875.2536004312724</v>
      </c>
      <c r="O995">
        <v>698.0219996460346</v>
      </c>
      <c r="P995" t="s">
        <v>96</v>
      </c>
      <c r="Q995">
        <v>14.67949586699287</v>
      </c>
      <c r="R995">
        <v>419.60516230427407</v>
      </c>
      <c r="S995" t="s">
        <v>96</v>
      </c>
      <c r="T995">
        <v>-4151.7910786638167</v>
      </c>
    </row>
    <row r="996" spans="1:20" x14ac:dyDescent="0.25">
      <c r="A996" s="1" t="s">
        <v>44</v>
      </c>
      <c r="B996">
        <v>1998</v>
      </c>
      <c r="C996">
        <v>4228.4189932514728</v>
      </c>
      <c r="D996">
        <v>4228.4189932514728</v>
      </c>
      <c r="E996" t="s">
        <v>96</v>
      </c>
      <c r="F996">
        <v>1.56731423068933</v>
      </c>
      <c r="G996">
        <v>-1.3488908333864209</v>
      </c>
      <c r="H996">
        <v>0.21842339730290941</v>
      </c>
      <c r="I996" t="s">
        <v>96</v>
      </c>
      <c r="J996">
        <v>3.6876128491284462E-3</v>
      </c>
      <c r="K996">
        <v>9.6754148488701106E-2</v>
      </c>
      <c r="L996" t="s">
        <v>96</v>
      </c>
      <c r="M996">
        <v>6627.2612614400841</v>
      </c>
      <c r="N996">
        <v>-5703.6756197139493</v>
      </c>
      <c r="O996">
        <v>923.58564172613478</v>
      </c>
      <c r="P996" t="s">
        <v>96</v>
      </c>
      <c r="Q996">
        <v>15.5927722110129</v>
      </c>
      <c r="R996">
        <v>409.11707914549697</v>
      </c>
      <c r="S996" t="s">
        <v>96</v>
      </c>
      <c r="T996">
        <v>-4943.7501413034797</v>
      </c>
    </row>
    <row r="997" spans="1:20" x14ac:dyDescent="0.25">
      <c r="A997" s="1" t="s">
        <v>44</v>
      </c>
      <c r="B997">
        <v>1999</v>
      </c>
      <c r="C997">
        <v>4240.4476874048842</v>
      </c>
      <c r="D997">
        <v>4240.4476874048842</v>
      </c>
      <c r="E997" t="s">
        <v>96</v>
      </c>
      <c r="F997">
        <v>1.575599421411972</v>
      </c>
      <c r="G997">
        <v>-1.3836965694968639</v>
      </c>
      <c r="H997">
        <v>0.19190285191510831</v>
      </c>
      <c r="I997" t="s">
        <v>96</v>
      </c>
      <c r="J997">
        <v>3.892524981279644E-3</v>
      </c>
      <c r="K997">
        <v>9.4006346822940595E-2</v>
      </c>
      <c r="L997" t="s">
        <v>96</v>
      </c>
      <c r="M997">
        <v>6681.2469228028713</v>
      </c>
      <c r="N997">
        <v>-5867.4929181930484</v>
      </c>
      <c r="O997">
        <v>813.75400460982291</v>
      </c>
      <c r="P997" t="s">
        <v>96</v>
      </c>
      <c r="Q997">
        <v>16.506048555033001</v>
      </c>
      <c r="R997">
        <v>398.62899598671987</v>
      </c>
      <c r="S997" t="s">
        <v>96</v>
      </c>
      <c r="T997">
        <v>-4505.9265135561873</v>
      </c>
    </row>
    <row r="998" spans="1:20" x14ac:dyDescent="0.25">
      <c r="A998" s="1" t="s">
        <v>44</v>
      </c>
      <c r="B998">
        <v>2000</v>
      </c>
      <c r="C998">
        <v>4252.4763815582965</v>
      </c>
      <c r="D998">
        <v>4252.4763815582965</v>
      </c>
      <c r="E998" t="s">
        <v>96</v>
      </c>
      <c r="F998">
        <v>1.5838377406102311</v>
      </c>
      <c r="G998">
        <v>-1.5400436610507879</v>
      </c>
      <c r="H998">
        <v>4.3794079559442242E-2</v>
      </c>
      <c r="I998" t="s">
        <v>96</v>
      </c>
      <c r="J998">
        <v>4.0962778710765743E-3</v>
      </c>
      <c r="K998">
        <v>9.1274090200992933E-2</v>
      </c>
      <c r="L998" t="s">
        <v>96</v>
      </c>
      <c r="M998">
        <v>6735.2325841656602</v>
      </c>
      <c r="N998">
        <v>-6548.9992951870472</v>
      </c>
      <c r="O998">
        <v>186.23328897861299</v>
      </c>
      <c r="P998" t="s">
        <v>96</v>
      </c>
      <c r="Q998">
        <v>17.419324899053031</v>
      </c>
      <c r="R998">
        <v>388.14091282794391</v>
      </c>
      <c r="S998" t="s">
        <v>96</v>
      </c>
      <c r="T998">
        <v>-2169.9095979207668</v>
      </c>
    </row>
    <row r="999" spans="1:20" x14ac:dyDescent="0.25">
      <c r="A999" s="1" t="s">
        <v>44</v>
      </c>
      <c r="B999">
        <v>2001</v>
      </c>
      <c r="C999">
        <v>4264.4820979475326</v>
      </c>
      <c r="D999">
        <v>4264.4820979475326</v>
      </c>
      <c r="E999" t="s">
        <v>96</v>
      </c>
      <c r="F999">
        <v>1.5920708760693041</v>
      </c>
      <c r="G999">
        <v>-1.375214639804851</v>
      </c>
      <c r="H999">
        <v>0.2168562362644533</v>
      </c>
      <c r="I999" t="s">
        <v>96</v>
      </c>
      <c r="J999">
        <v>4.2995022520349851E-3</v>
      </c>
      <c r="K999">
        <v>8.8548109679584014E-2</v>
      </c>
      <c r="L999" t="s">
        <v>96</v>
      </c>
      <c r="M999">
        <v>6789.3577496611933</v>
      </c>
      <c r="N999">
        <v>-5864.5782122831524</v>
      </c>
      <c r="O999">
        <v>924.77953737804182</v>
      </c>
      <c r="P999" t="s">
        <v>96</v>
      </c>
      <c r="Q999">
        <v>18.335150383888301</v>
      </c>
      <c r="R999">
        <v>377.61182853568067</v>
      </c>
      <c r="S999" t="s">
        <v>96</v>
      </c>
      <c r="T999">
        <v>-4842.6638930916806</v>
      </c>
    </row>
    <row r="1000" spans="1:20" x14ac:dyDescent="0.25">
      <c r="A1000" s="1" t="s">
        <v>44</v>
      </c>
      <c r="B1000">
        <v>2002</v>
      </c>
      <c r="C1000">
        <v>4276.4878143367596</v>
      </c>
      <c r="D1000">
        <v>4276.4878143367596</v>
      </c>
      <c r="E1000" t="s">
        <v>96</v>
      </c>
      <c r="F1000">
        <v>1.600257784487124</v>
      </c>
      <c r="G1000">
        <v>-1.358271856085848</v>
      </c>
      <c r="H1000">
        <v>0.24198592840127611</v>
      </c>
      <c r="I1000" t="s">
        <v>96</v>
      </c>
      <c r="J1000">
        <v>4.5015855778158453E-3</v>
      </c>
      <c r="K1000">
        <v>8.5837434871856133E-2</v>
      </c>
      <c r="L1000" t="s">
        <v>96</v>
      </c>
      <c r="M1000">
        <v>6843.4829151567264</v>
      </c>
      <c r="N1000">
        <v>-5808.6330411077024</v>
      </c>
      <c r="O1000">
        <v>1034.8498740490249</v>
      </c>
      <c r="P1000" t="s">
        <v>96</v>
      </c>
      <c r="Q1000">
        <v>19.250975868723561</v>
      </c>
      <c r="R1000">
        <v>367.08274424341801</v>
      </c>
      <c r="S1000" t="s">
        <v>96</v>
      </c>
      <c r="T1000">
        <v>-5211.0065119247511</v>
      </c>
    </row>
    <row r="1001" spans="1:20" x14ac:dyDescent="0.25">
      <c r="A1001" s="1" t="s">
        <v>44</v>
      </c>
      <c r="B1001">
        <v>2003</v>
      </c>
      <c r="C1001">
        <v>4288.4935307259984</v>
      </c>
      <c r="D1001">
        <v>4288.4935307259984</v>
      </c>
      <c r="E1001" t="s">
        <v>96</v>
      </c>
      <c r="F1001">
        <v>1.608398854104037</v>
      </c>
      <c r="G1001">
        <v>-1.4352844184093181</v>
      </c>
      <c r="H1001">
        <v>0.17311443569471921</v>
      </c>
      <c r="I1001" t="s">
        <v>96</v>
      </c>
      <c r="J1001">
        <v>4.7025374316339019E-3</v>
      </c>
      <c r="K1001">
        <v>8.3141937231929433E-2</v>
      </c>
      <c r="L1001" t="s">
        <v>96</v>
      </c>
      <c r="M1001">
        <v>6897.6080806522696</v>
      </c>
      <c r="N1001">
        <v>-6155.2079431001848</v>
      </c>
      <c r="O1001">
        <v>742.40013755208474</v>
      </c>
      <c r="P1001" t="s">
        <v>96</v>
      </c>
      <c r="Q1001">
        <v>20.166801353558839</v>
      </c>
      <c r="R1001">
        <v>356.55365995115631</v>
      </c>
      <c r="S1001" t="s">
        <v>96</v>
      </c>
      <c r="T1001">
        <v>-4103.4421958086396</v>
      </c>
    </row>
    <row r="1002" spans="1:20" x14ac:dyDescent="0.25">
      <c r="A1002" s="1" t="s">
        <v>44</v>
      </c>
      <c r="B1002">
        <v>2004</v>
      </c>
      <c r="C1002">
        <v>4300.4992471152354</v>
      </c>
      <c r="D1002">
        <v>4300.4992471152354</v>
      </c>
      <c r="E1002" t="s">
        <v>96</v>
      </c>
      <c r="F1002">
        <v>1.61649446882499</v>
      </c>
      <c r="G1002">
        <v>-1.527987477845393</v>
      </c>
      <c r="H1002">
        <v>8.8506990979597938E-2</v>
      </c>
      <c r="I1002" t="s">
        <v>96</v>
      </c>
      <c r="J1002">
        <v>4.9023672896899486E-3</v>
      </c>
      <c r="K1002">
        <v>8.0461489649371762E-2</v>
      </c>
      <c r="L1002" t="s">
        <v>96</v>
      </c>
      <c r="M1002">
        <v>6951.7332461478127</v>
      </c>
      <c r="N1002">
        <v>-6571.1089980756169</v>
      </c>
      <c r="O1002">
        <v>380.62424807219583</v>
      </c>
      <c r="P1002" t="s">
        <v>96</v>
      </c>
      <c r="Q1002">
        <v>21.082626838393981</v>
      </c>
      <c r="R1002">
        <v>346.02457565889353</v>
      </c>
      <c r="S1002" t="s">
        <v>96</v>
      </c>
      <c r="T1002">
        <v>-2741.6819854216878</v>
      </c>
    </row>
    <row r="1003" spans="1:20" x14ac:dyDescent="0.25">
      <c r="A1003" s="1" t="s">
        <v>44</v>
      </c>
      <c r="B1003">
        <v>2005</v>
      </c>
      <c r="C1003">
        <v>4312.5049635044606</v>
      </c>
      <c r="D1003">
        <v>4312.5049635044606</v>
      </c>
      <c r="E1003" t="s">
        <v>96</v>
      </c>
      <c r="F1003">
        <v>1.6245450082798729</v>
      </c>
      <c r="G1003">
        <v>-1.5181312808837579</v>
      </c>
      <c r="H1003">
        <v>0.1064137273961149</v>
      </c>
      <c r="I1003" t="s">
        <v>96</v>
      </c>
      <c r="J1003">
        <v>5.1010845226605534E-3</v>
      </c>
      <c r="K1003">
        <v>7.7795966429218447E-2</v>
      </c>
      <c r="L1003" t="s">
        <v>96</v>
      </c>
      <c r="M1003">
        <v>7005.8584116433458</v>
      </c>
      <c r="N1003">
        <v>-6546.9486840625896</v>
      </c>
      <c r="O1003">
        <v>458.90972758075623</v>
      </c>
      <c r="P1003" t="s">
        <v>96</v>
      </c>
      <c r="Q1003">
        <v>21.998452323229419</v>
      </c>
      <c r="R1003">
        <v>335.49549136663092</v>
      </c>
      <c r="S1003" t="s">
        <v>96</v>
      </c>
      <c r="T1003">
        <v>-2993.4801279925332</v>
      </c>
    </row>
    <row r="1004" spans="1:20" x14ac:dyDescent="0.25">
      <c r="A1004" s="1" t="s">
        <v>44</v>
      </c>
      <c r="B1004">
        <v>2006</v>
      </c>
      <c r="C1004">
        <v>4324.5106798936977</v>
      </c>
      <c r="D1004">
        <v>4324.5106798936977</v>
      </c>
      <c r="E1004" t="s">
        <v>96</v>
      </c>
      <c r="F1004">
        <v>1.6325508478828481</v>
      </c>
      <c r="G1004">
        <v>-1.6441681361812941</v>
      </c>
      <c r="H1004">
        <v>-1.1617288298446009E-2</v>
      </c>
      <c r="I1004" t="s">
        <v>96</v>
      </c>
      <c r="J1004">
        <v>5.2986983971624272E-3</v>
      </c>
      <c r="K1004">
        <v>7.5145243272322401E-2</v>
      </c>
      <c r="L1004" t="s">
        <v>96</v>
      </c>
      <c r="M1004">
        <v>7059.983577138888</v>
      </c>
      <c r="N1004">
        <v>-7110.2226644569218</v>
      </c>
      <c r="O1004">
        <v>-50.239087318033853</v>
      </c>
      <c r="P1004" t="s">
        <v>96</v>
      </c>
      <c r="Q1004">
        <v>22.914277808064529</v>
      </c>
      <c r="R1004">
        <v>324.96640707436819</v>
      </c>
      <c r="S1004" t="s">
        <v>96</v>
      </c>
      <c r="T1004">
        <v>-1091.3525244028949</v>
      </c>
    </row>
    <row r="1005" spans="1:20" x14ac:dyDescent="0.25">
      <c r="A1005" s="1" t="s">
        <v>44</v>
      </c>
      <c r="B1005">
        <v>2007</v>
      </c>
      <c r="C1005">
        <v>4336.6664890641214</v>
      </c>
      <c r="D1005">
        <v>4336.6664890641214</v>
      </c>
      <c r="E1005" t="s">
        <v>96</v>
      </c>
      <c r="F1005">
        <v>1.64057705111162</v>
      </c>
      <c r="G1005">
        <v>-1.63893508964074</v>
      </c>
      <c r="H1005">
        <v>1.6419614708802601E-3</v>
      </c>
      <c r="I1005" t="s">
        <v>96</v>
      </c>
      <c r="J1005">
        <v>5.4975241869403011E-3</v>
      </c>
      <c r="K1005">
        <v>7.2514774749286845E-2</v>
      </c>
      <c r="L1005" t="s">
        <v>96</v>
      </c>
      <c r="M1005">
        <v>7114.6355202834002</v>
      </c>
      <c r="N1005">
        <v>-7107.5148809962993</v>
      </c>
      <c r="O1005">
        <v>7.1206392871008566</v>
      </c>
      <c r="P1005" t="s">
        <v>96</v>
      </c>
      <c r="Q1005">
        <v>23.840928914323481</v>
      </c>
      <c r="R1005">
        <v>314.47239361726542</v>
      </c>
      <c r="S1005" t="s">
        <v>96</v>
      </c>
      <c r="T1005">
        <v>-1266.5911933353109</v>
      </c>
    </row>
    <row r="1006" spans="1:20" x14ac:dyDescent="0.25">
      <c r="A1006" s="1" t="s">
        <v>44</v>
      </c>
      <c r="B1006">
        <v>2008</v>
      </c>
      <c r="C1006">
        <v>4336.7441988095761</v>
      </c>
      <c r="D1006">
        <v>4336.7441988095761</v>
      </c>
      <c r="E1006" t="s">
        <v>96</v>
      </c>
      <c r="F1006">
        <v>1.643644296023886</v>
      </c>
      <c r="G1006">
        <v>-1.4873876362187251</v>
      </c>
      <c r="H1006">
        <v>0.15625665980516051</v>
      </c>
      <c r="I1006" t="s">
        <v>96</v>
      </c>
      <c r="J1006">
        <v>5.3898988114234308E-3</v>
      </c>
      <c r="K1006">
        <v>6.7684411620295967E-2</v>
      </c>
      <c r="L1006" t="s">
        <v>96</v>
      </c>
      <c r="M1006">
        <v>7128.0648656880348</v>
      </c>
      <c r="N1006">
        <v>-6450.4197027526434</v>
      </c>
      <c r="O1006">
        <v>677.64516293539145</v>
      </c>
      <c r="P1006" t="s">
        <v>96</v>
      </c>
      <c r="Q1006">
        <v>23.374612402611191</v>
      </c>
      <c r="R1006">
        <v>293.52997944415802</v>
      </c>
      <c r="S1006" t="s">
        <v>96</v>
      </c>
      <c r="T1006">
        <v>-3646.682434201588</v>
      </c>
    </row>
    <row r="1007" spans="1:20" x14ac:dyDescent="0.25">
      <c r="A1007" s="1" t="s">
        <v>44</v>
      </c>
      <c r="B1007">
        <v>2009</v>
      </c>
      <c r="C1007">
        <v>4336.8219085550309</v>
      </c>
      <c r="D1007">
        <v>4336.8219085550309</v>
      </c>
      <c r="E1007" t="s">
        <v>96</v>
      </c>
      <c r="F1007">
        <v>1.6467114310147259</v>
      </c>
      <c r="G1007">
        <v>-1.4307794791772339</v>
      </c>
      <c r="H1007">
        <v>0.21593195183749181</v>
      </c>
      <c r="I1007" t="s">
        <v>96</v>
      </c>
      <c r="J1007">
        <v>5.2822772928970982E-3</v>
      </c>
      <c r="K1007">
        <v>6.2854221597924004E-2</v>
      </c>
      <c r="L1007" t="s">
        <v>96</v>
      </c>
      <c r="M1007">
        <v>7141.4942110926704</v>
      </c>
      <c r="N1007">
        <v>-6205.0357916067851</v>
      </c>
      <c r="O1007">
        <v>936.45841948588441</v>
      </c>
      <c r="P1007" t="s">
        <v>96</v>
      </c>
      <c r="Q1007">
        <v>22.908295890898891</v>
      </c>
      <c r="R1007">
        <v>272.58756527104958</v>
      </c>
      <c r="S1007" t="s">
        <v>96</v>
      </c>
      <c r="T1007">
        <v>-4517.1656957091318</v>
      </c>
    </row>
    <row r="1008" spans="1:20" x14ac:dyDescent="0.25">
      <c r="A1008" s="1" t="s">
        <v>44</v>
      </c>
      <c r="B1008">
        <v>2010</v>
      </c>
      <c r="C1008">
        <v>4336.8996183004856</v>
      </c>
      <c r="D1008">
        <v>4336.8996183004856</v>
      </c>
      <c r="E1008" t="s">
        <v>96</v>
      </c>
      <c r="F1008">
        <v>1.649778456090053</v>
      </c>
      <c r="G1008">
        <v>-1.432361278660329</v>
      </c>
      <c r="H1008">
        <v>0.21741717742972391</v>
      </c>
      <c r="I1008" t="s">
        <v>96</v>
      </c>
      <c r="J1008">
        <v>5.1746596311539484E-3</v>
      </c>
      <c r="K1008">
        <v>5.8024204672866113E-2</v>
      </c>
      <c r="L1008" t="s">
        <v>96</v>
      </c>
      <c r="M1008">
        <v>7154.9235564973151</v>
      </c>
      <c r="N1008">
        <v>-6212.0070826903766</v>
      </c>
      <c r="O1008">
        <v>942.91647380693848</v>
      </c>
      <c r="P1008" t="s">
        <v>96</v>
      </c>
      <c r="Q1008">
        <v>22.441979379186488</v>
      </c>
      <c r="R1008">
        <v>251.64515109794229</v>
      </c>
      <c r="S1008" t="s">
        <v>96</v>
      </c>
      <c r="T1008">
        <v>-4462.3465490419858</v>
      </c>
    </row>
    <row r="1009" spans="1:20" x14ac:dyDescent="0.25">
      <c r="A1009" s="1" t="s">
        <v>44</v>
      </c>
      <c r="B1009">
        <v>2011</v>
      </c>
      <c r="C1009">
        <v>4338.7470063251549</v>
      </c>
      <c r="D1009">
        <v>4338.7470063251549</v>
      </c>
      <c r="E1009" t="s">
        <v>96</v>
      </c>
      <c r="F1009">
        <v>1.6531198727844769</v>
      </c>
      <c r="G1009">
        <v>-1.550423963432827</v>
      </c>
      <c r="H1009">
        <v>0.1026959093516501</v>
      </c>
      <c r="I1009" t="s">
        <v>96</v>
      </c>
      <c r="J1009">
        <v>5.0527589533993162E-3</v>
      </c>
      <c r="K1009">
        <v>5.2787268831967653E-2</v>
      </c>
      <c r="L1009" t="s">
        <v>96</v>
      </c>
      <c r="M1009">
        <v>7172.4688991402691</v>
      </c>
      <c r="N1009">
        <v>-6726.8973298789579</v>
      </c>
      <c r="O1009">
        <v>445.5715692613112</v>
      </c>
      <c r="P1009" t="s">
        <v>96</v>
      </c>
      <c r="Q1009">
        <v>21.92264278274391</v>
      </c>
      <c r="R1009">
        <v>229.03060461678081</v>
      </c>
      <c r="S1009" t="s">
        <v>96</v>
      </c>
      <c r="T1009">
        <v>-2553.9243277566311</v>
      </c>
    </row>
    <row r="1010" spans="1:20" x14ac:dyDescent="0.25">
      <c r="A1010" s="1" t="s">
        <v>44</v>
      </c>
      <c r="B1010">
        <v>2012</v>
      </c>
      <c r="C1010">
        <v>4340.5943943498351</v>
      </c>
      <c r="D1010">
        <v>4340.5943943498351</v>
      </c>
      <c r="E1010" t="s">
        <v>96</v>
      </c>
      <c r="F1010">
        <v>1.656458445217202</v>
      </c>
      <c r="G1010">
        <v>-1.5338287025752571</v>
      </c>
      <c r="H1010">
        <v>0.12262974264194521</v>
      </c>
      <c r="I1010" t="s">
        <v>96</v>
      </c>
      <c r="J1010">
        <v>4.930962039245629E-3</v>
      </c>
      <c r="K1010">
        <v>4.7554790745781658E-2</v>
      </c>
      <c r="L1010" t="s">
        <v>96</v>
      </c>
      <c r="M1010">
        <v>7190.0142417832312</v>
      </c>
      <c r="N1010">
        <v>-6657.7282682910409</v>
      </c>
      <c r="O1010">
        <v>532.28597349219035</v>
      </c>
      <c r="P1010" t="s">
        <v>96</v>
      </c>
      <c r="Q1010">
        <v>21.40330618630141</v>
      </c>
      <c r="R1010">
        <v>206.41605813561929</v>
      </c>
      <c r="S1010" t="s">
        <v>96</v>
      </c>
      <c r="T1010">
        <v>-2787.0529053186601</v>
      </c>
    </row>
    <row r="1011" spans="1:20" x14ac:dyDescent="0.25">
      <c r="A1011" s="1" t="s">
        <v>44</v>
      </c>
      <c r="B1011">
        <v>2013</v>
      </c>
      <c r="C1011">
        <v>4341.5779528594039</v>
      </c>
      <c r="D1011">
        <v>4341.5779528594039</v>
      </c>
      <c r="E1011" t="s">
        <v>96</v>
      </c>
      <c r="F1011">
        <v>1.659533857045062</v>
      </c>
      <c r="G1011">
        <v>-1.5253361493242541</v>
      </c>
      <c r="H1011">
        <v>0.1341977077208085</v>
      </c>
      <c r="I1011" t="s">
        <v>96</v>
      </c>
      <c r="J1011">
        <v>4.8057578271009987E-3</v>
      </c>
      <c r="K1011">
        <v>4.2308074782359137E-2</v>
      </c>
      <c r="L1011" t="s">
        <v>96</v>
      </c>
      <c r="M1011">
        <v>7204.9956057705731</v>
      </c>
      <c r="N1011">
        <v>-6622.3657966056408</v>
      </c>
      <c r="O1011">
        <v>582.62980916493234</v>
      </c>
      <c r="P1011" t="s">
        <v>96</v>
      </c>
      <c r="Q1011">
        <v>20.864572228923208</v>
      </c>
      <c r="R1011">
        <v>183.68380470301739</v>
      </c>
      <c r="S1011" t="s">
        <v>96</v>
      </c>
      <c r="T1011">
        <v>-2886.320015688797</v>
      </c>
    </row>
    <row r="1012" spans="1:20" x14ac:dyDescent="0.25">
      <c r="A1012" s="1" t="s">
        <v>44</v>
      </c>
      <c r="B1012">
        <v>2014</v>
      </c>
      <c r="C1012">
        <v>4342.5615113689737</v>
      </c>
      <c r="D1012">
        <v>4342.5615113689737</v>
      </c>
      <c r="E1012" t="s">
        <v>96</v>
      </c>
      <c r="F1012">
        <v>1.6626078757562259</v>
      </c>
      <c r="G1012">
        <v>-1.57968026653225</v>
      </c>
      <c r="H1012">
        <v>8.2927609223975851E-2</v>
      </c>
      <c r="I1012" t="s">
        <v>96</v>
      </c>
      <c r="J1012">
        <v>4.6806103306380777E-3</v>
      </c>
      <c r="K1012">
        <v>3.7063735504733283E-2</v>
      </c>
      <c r="L1012" t="s">
        <v>96</v>
      </c>
      <c r="M1012">
        <v>7219.976969757915</v>
      </c>
      <c r="N1012">
        <v>-6859.8587257120307</v>
      </c>
      <c r="O1012">
        <v>360.11824404588418</v>
      </c>
      <c r="P1012" t="s">
        <v>96</v>
      </c>
      <c r="Q1012">
        <v>20.325838271544921</v>
      </c>
      <c r="R1012">
        <v>160.95155127041451</v>
      </c>
      <c r="S1012" t="s">
        <v>96</v>
      </c>
      <c r="T1012">
        <v>-1985.117323155607</v>
      </c>
    </row>
    <row r="1013" spans="1:20" x14ac:dyDescent="0.25">
      <c r="A1013" s="1" t="s">
        <v>44</v>
      </c>
      <c r="B1013">
        <v>2015</v>
      </c>
      <c r="C1013">
        <v>4343.5450698785426</v>
      </c>
      <c r="D1013">
        <v>4343.5450698785426</v>
      </c>
      <c r="E1013" t="s">
        <v>96</v>
      </c>
      <c r="F1013">
        <v>1.665680502297068</v>
      </c>
      <c r="G1013">
        <v>-1.599972675604391</v>
      </c>
      <c r="H1013">
        <v>6.5707826692677301E-2</v>
      </c>
      <c r="I1013" t="s">
        <v>96</v>
      </c>
      <c r="J1013">
        <v>4.5555195113285707E-3</v>
      </c>
      <c r="K1013">
        <v>3.1821771298363777E-2</v>
      </c>
      <c r="L1013" t="s">
        <v>96</v>
      </c>
      <c r="M1013">
        <v>7234.9583337452477</v>
      </c>
      <c r="N1013">
        <v>-6949.5534270618346</v>
      </c>
      <c r="O1013">
        <v>285.40490668341232</v>
      </c>
      <c r="P1013" t="s">
        <v>96</v>
      </c>
      <c r="Q1013">
        <v>19.787104314166729</v>
      </c>
      <c r="R1013">
        <v>138.2192978378105</v>
      </c>
      <c r="S1013" t="s">
        <v>96</v>
      </c>
      <c r="T1013">
        <v>-1625.841465729909</v>
      </c>
    </row>
    <row r="1014" spans="1:20" x14ac:dyDescent="0.25">
      <c r="A1014" s="1" t="s">
        <v>44</v>
      </c>
      <c r="B1014">
        <v>2016</v>
      </c>
      <c r="C1014">
        <v>4343.0023420320204</v>
      </c>
      <c r="D1014">
        <v>4343.0023420320204</v>
      </c>
      <c r="E1014" t="s">
        <v>96</v>
      </c>
      <c r="F1014">
        <v>1.6686328029247059</v>
      </c>
      <c r="G1014">
        <v>-1.5869177121750271</v>
      </c>
      <c r="H1014">
        <v>8.1715090749679017E-2</v>
      </c>
      <c r="I1014" t="s">
        <v>96</v>
      </c>
      <c r="J1014">
        <v>4.1967192007464297E-3</v>
      </c>
      <c r="K1014">
        <v>2.9218196511586851E-2</v>
      </c>
      <c r="L1014" t="s">
        <v>96</v>
      </c>
      <c r="M1014">
        <v>7246.8761710934523</v>
      </c>
      <c r="N1014">
        <v>-6891.9873405882372</v>
      </c>
      <c r="O1014">
        <v>354.88883050521508</v>
      </c>
      <c r="P1014" t="s">
        <v>96</v>
      </c>
      <c r="Q1014">
        <v>18.22636131769249</v>
      </c>
      <c r="R1014">
        <v>126.89469587977349</v>
      </c>
      <c r="S1014" t="s">
        <v>96</v>
      </c>
      <c r="T1014">
        <v>-1833.369588243331</v>
      </c>
    </row>
    <row r="1015" spans="1:20" x14ac:dyDescent="0.25">
      <c r="A1015" s="1" t="s">
        <v>44</v>
      </c>
      <c r="B1015">
        <v>2017</v>
      </c>
      <c r="C1015">
        <v>4342.4596141855072</v>
      </c>
      <c r="D1015">
        <v>4342.4596141855072</v>
      </c>
      <c r="E1015" t="s">
        <v>96</v>
      </c>
      <c r="F1015">
        <v>1.671585841519255</v>
      </c>
      <c r="G1015">
        <v>-1.6318058937383451</v>
      </c>
      <c r="H1015">
        <v>3.9779947780909652E-2</v>
      </c>
      <c r="I1015" t="s">
        <v>96</v>
      </c>
      <c r="J1015">
        <v>3.837829203241569E-3</v>
      </c>
      <c r="K1015">
        <v>2.6613970926569579E-2</v>
      </c>
      <c r="L1015" t="s">
        <v>96</v>
      </c>
      <c r="M1015">
        <v>7258.7940084416587</v>
      </c>
      <c r="N1015">
        <v>-7086.0511917486501</v>
      </c>
      <c r="O1015">
        <v>172.74281669300851</v>
      </c>
      <c r="P1015" t="s">
        <v>96</v>
      </c>
      <c r="Q1015">
        <v>16.66561832121825</v>
      </c>
      <c r="R1015">
        <v>115.57009392173561</v>
      </c>
      <c r="S1015" t="s">
        <v>96</v>
      </c>
      <c r="T1015">
        <v>-1118.254606098631</v>
      </c>
    </row>
    <row r="1016" spans="1:20" x14ac:dyDescent="0.25">
      <c r="A1016" s="1" t="s">
        <v>44</v>
      </c>
      <c r="B1016">
        <v>2018</v>
      </c>
      <c r="C1016">
        <v>4341.916886338995</v>
      </c>
      <c r="D1016">
        <v>4341.916886338995</v>
      </c>
      <c r="E1016" t="s">
        <v>96</v>
      </c>
      <c r="F1016">
        <v>1.674539618357447</v>
      </c>
      <c r="G1016">
        <v>-1.583541566333595</v>
      </c>
      <c r="H1016">
        <v>9.0998052023851667E-2</v>
      </c>
      <c r="I1016" t="s">
        <v>96</v>
      </c>
      <c r="J1016">
        <v>3.478849485182164E-3</v>
      </c>
      <c r="K1016">
        <v>2.400909429926814E-2</v>
      </c>
      <c r="L1016" t="s">
        <v>96</v>
      </c>
      <c r="M1016">
        <v>7270.711845789855</v>
      </c>
      <c r="N1016">
        <v>-6875.6058670835391</v>
      </c>
      <c r="O1016">
        <v>395.10597870631591</v>
      </c>
      <c r="P1016" t="s">
        <v>96</v>
      </c>
      <c r="Q1016">
        <v>15.10487532474415</v>
      </c>
      <c r="R1016">
        <v>104.2454919636976</v>
      </c>
      <c r="S1016" t="s">
        <v>96</v>
      </c>
      <c r="T1016">
        <v>-1886.3399353142829</v>
      </c>
    </row>
    <row r="1017" spans="1:20" x14ac:dyDescent="0.25">
      <c r="A1017" s="1" t="s">
        <v>44</v>
      </c>
      <c r="B1017">
        <v>2019</v>
      </c>
      <c r="C1017">
        <v>4341.3741584924819</v>
      </c>
      <c r="D1017">
        <v>4341.3741584924819</v>
      </c>
      <c r="E1017" t="s">
        <v>96</v>
      </c>
      <c r="F1017">
        <v>1.677494133716158</v>
      </c>
      <c r="G1017">
        <v>-1.5995250787470541</v>
      </c>
      <c r="H1017">
        <v>7.7969054969103974E-2</v>
      </c>
      <c r="I1017" t="s">
        <v>96</v>
      </c>
      <c r="J1017">
        <v>3.119780012919481E-3</v>
      </c>
      <c r="K1017">
        <v>2.140356638551651E-2</v>
      </c>
      <c r="L1017" t="s">
        <v>96</v>
      </c>
      <c r="M1017">
        <v>7282.6296831380596</v>
      </c>
      <c r="N1017">
        <v>-6944.1368427331126</v>
      </c>
      <c r="O1017">
        <v>338.49284040494791</v>
      </c>
      <c r="P1017" t="s">
        <v>96</v>
      </c>
      <c r="Q1017">
        <v>13.544132328269971</v>
      </c>
      <c r="R1017">
        <v>92.9208900056597</v>
      </c>
      <c r="S1017" t="s">
        <v>96</v>
      </c>
      <c r="T1017">
        <v>-1631.512163376033</v>
      </c>
    </row>
    <row r="1018" spans="1:20" x14ac:dyDescent="0.25">
      <c r="A1018" s="1" t="s">
        <v>44</v>
      </c>
      <c r="B1018">
        <v>2020</v>
      </c>
      <c r="C1018">
        <v>4340.8314306459588</v>
      </c>
      <c r="D1018">
        <v>4340.8314306459588</v>
      </c>
      <c r="E1018" t="s">
        <v>96</v>
      </c>
      <c r="F1018">
        <v>1.6804493878723981</v>
      </c>
      <c r="G1018">
        <v>-1.5110667608373141</v>
      </c>
      <c r="H1018">
        <v>0.16938262703508369</v>
      </c>
      <c r="I1018" t="s">
        <v>96</v>
      </c>
      <c r="J1018">
        <v>2.760620752788039E-3</v>
      </c>
      <c r="K1018">
        <v>1.8797386941026721E-2</v>
      </c>
      <c r="L1018" t="s">
        <v>96</v>
      </c>
      <c r="M1018">
        <v>7294.547520486266</v>
      </c>
      <c r="N1018">
        <v>-6559.2860892469926</v>
      </c>
      <c r="O1018">
        <v>735.26143123927341</v>
      </c>
      <c r="P1018" t="s">
        <v>96</v>
      </c>
      <c r="Q1018">
        <v>11.983389331795831</v>
      </c>
      <c r="R1018">
        <v>81.596288047622707</v>
      </c>
      <c r="S1018" t="s">
        <v>96</v>
      </c>
      <c r="T1018">
        <v>-3039.08406493548</v>
      </c>
    </row>
    <row r="1019" spans="1:20" x14ac:dyDescent="0.25">
      <c r="A1019" s="1" t="s">
        <v>44</v>
      </c>
      <c r="B1019">
        <v>2021</v>
      </c>
      <c r="C1019">
        <v>4340.2887027994511</v>
      </c>
      <c r="D1019">
        <v>4340.2887027994511</v>
      </c>
      <c r="E1019" t="s">
        <v>96</v>
      </c>
      <c r="F1019">
        <v>1.6834053811033021</v>
      </c>
      <c r="G1019">
        <v>-1.6107391891964229</v>
      </c>
      <c r="H1019">
        <v>7.2666191906879438E-2</v>
      </c>
      <c r="I1019" t="s">
        <v>96</v>
      </c>
      <c r="J1019">
        <v>2.4007843505399898E-3</v>
      </c>
      <c r="K1019">
        <v>1.6200002358764579E-2</v>
      </c>
      <c r="L1019" t="s">
        <v>96</v>
      </c>
      <c r="M1019">
        <v>7306.4653578344669</v>
      </c>
      <c r="N1019">
        <v>-6991.0731060255812</v>
      </c>
      <c r="O1019">
        <v>315.3922518088857</v>
      </c>
      <c r="P1019" t="s">
        <v>96</v>
      </c>
      <c r="Q1019">
        <v>10.42009719450644</v>
      </c>
      <c r="R1019">
        <v>70.312687223070384</v>
      </c>
      <c r="S1019" t="s">
        <v>96</v>
      </c>
      <c r="T1019">
        <v>-1452.458466163828</v>
      </c>
    </row>
    <row r="1020" spans="1:20" x14ac:dyDescent="0.25">
      <c r="A1020" s="1" t="s">
        <v>44</v>
      </c>
      <c r="B1020">
        <v>2022</v>
      </c>
      <c r="C1020">
        <v>4339.7459749529326</v>
      </c>
      <c r="D1020">
        <v>4339.7459749529326</v>
      </c>
      <c r="E1020" t="s">
        <v>96</v>
      </c>
      <c r="F1020">
        <v>1.686362113686168</v>
      </c>
      <c r="G1020">
        <v>-1.6164604506926969</v>
      </c>
      <c r="H1020">
        <v>6.9901662993470878E-2</v>
      </c>
      <c r="I1020" t="s">
        <v>96</v>
      </c>
      <c r="J1020">
        <v>2.040857946141228E-3</v>
      </c>
      <c r="K1020">
        <v>1.3601968119610799E-2</v>
      </c>
      <c r="L1020" t="s">
        <v>96</v>
      </c>
      <c r="M1020">
        <v>7318.3831951826687</v>
      </c>
      <c r="N1020">
        <v>-7015.0277345642371</v>
      </c>
      <c r="O1020">
        <v>303.35546061843161</v>
      </c>
      <c r="P1020" t="s">
        <v>96</v>
      </c>
      <c r="Q1020">
        <v>8.8568050572171018</v>
      </c>
      <c r="R1020">
        <v>59.02908639851907</v>
      </c>
      <c r="S1020" t="s">
        <v>96</v>
      </c>
      <c r="T1020">
        <v>-1361.2182909387391</v>
      </c>
    </row>
    <row r="1021" spans="1:20" x14ac:dyDescent="0.25">
      <c r="A1021" s="1" t="s">
        <v>44</v>
      </c>
      <c r="B1021">
        <v>2023</v>
      </c>
      <c r="C1021">
        <v>4339.203247106414</v>
      </c>
      <c r="D1021">
        <v>4339.203247106414</v>
      </c>
      <c r="E1021" t="s">
        <v>96</v>
      </c>
      <c r="F1021">
        <v>1.6893195858984189</v>
      </c>
      <c r="G1021">
        <v>-1.611674860245168</v>
      </c>
      <c r="H1021">
        <v>7.7644725653250035E-2</v>
      </c>
      <c r="I1021" t="s">
        <v>96</v>
      </c>
      <c r="J1021">
        <v>1.680841505820543E-3</v>
      </c>
      <c r="K1021">
        <v>1.1003283979796479E-2</v>
      </c>
      <c r="L1021" t="s">
        <v>96</v>
      </c>
      <c r="M1021">
        <v>7330.3010325308805</v>
      </c>
      <c r="N1021">
        <v>-6993.3847868556113</v>
      </c>
      <c r="O1021">
        <v>336.91624567526918</v>
      </c>
      <c r="P1021" t="s">
        <v>96</v>
      </c>
      <c r="Q1021">
        <v>7.2935129199277364</v>
      </c>
      <c r="R1021">
        <v>47.74548557396686</v>
      </c>
      <c r="S1021" t="s">
        <v>96</v>
      </c>
      <c r="T1021">
        <v>-1437.1692286203979</v>
      </c>
    </row>
    <row r="1022" spans="1:20" x14ac:dyDescent="0.25">
      <c r="A1022" s="1" t="s">
        <v>45</v>
      </c>
      <c r="B1022">
        <v>1990</v>
      </c>
      <c r="C1022">
        <v>6869.2343749999973</v>
      </c>
      <c r="D1022">
        <v>6866.688374999997</v>
      </c>
      <c r="E1022">
        <v>2.5459999999999998</v>
      </c>
      <c r="F1022">
        <v>1.6314585897218841</v>
      </c>
      <c r="G1022">
        <v>-0.8432581585957678</v>
      </c>
      <c r="H1022">
        <v>0.78820043112611571</v>
      </c>
      <c r="I1022">
        <v>0.1649743863431902</v>
      </c>
      <c r="J1022">
        <v>2.7313981217999071E-2</v>
      </c>
      <c r="K1022">
        <v>0.1046026773396868</v>
      </c>
      <c r="L1022">
        <v>-2.6</v>
      </c>
      <c r="M1022">
        <v>11206.87142590658</v>
      </c>
      <c r="N1022">
        <v>-5792.537930025248</v>
      </c>
      <c r="O1022">
        <v>5414.3334958813321</v>
      </c>
      <c r="P1022">
        <v>1133.2477256631721</v>
      </c>
      <c r="Q1022">
        <v>187.62613870078351</v>
      </c>
      <c r="R1022">
        <v>718.27398848230268</v>
      </c>
      <c r="S1022">
        <v>-6.6196000000000002</v>
      </c>
      <c r="T1022">
        <v>-27305.15974533698</v>
      </c>
    </row>
    <row r="1023" spans="1:20" x14ac:dyDescent="0.25">
      <c r="A1023" s="1" t="s">
        <v>45</v>
      </c>
      <c r="B1023">
        <v>1991</v>
      </c>
      <c r="C1023">
        <v>6874.2428124999979</v>
      </c>
      <c r="D1023">
        <v>6871.6968124999976</v>
      </c>
      <c r="E1023">
        <v>2.5459999999999998</v>
      </c>
      <c r="F1023">
        <v>1.6341956978885981</v>
      </c>
      <c r="G1023">
        <v>-0.80372948221362239</v>
      </c>
      <c r="H1023">
        <v>0.83046621567497525</v>
      </c>
      <c r="I1023">
        <v>0.16678275727199771</v>
      </c>
      <c r="J1023">
        <v>2.76368970753227E-2</v>
      </c>
      <c r="K1023">
        <v>0.1039723703458546</v>
      </c>
      <c r="L1023">
        <v>-2.6</v>
      </c>
      <c r="M1023">
        <v>11233.85803042911</v>
      </c>
      <c r="N1023">
        <v>-5525.0316163013395</v>
      </c>
      <c r="O1023">
        <v>5708.8264141277714</v>
      </c>
      <c r="P1023">
        <v>1146.505170425962</v>
      </c>
      <c r="Q1023">
        <v>189.98274107983929</v>
      </c>
      <c r="R1023">
        <v>714.46660589367821</v>
      </c>
      <c r="S1023">
        <v>-6.6196000000000002</v>
      </c>
      <c r="T1023">
        <v>-28428.258215602498</v>
      </c>
    </row>
    <row r="1024" spans="1:20" x14ac:dyDescent="0.25">
      <c r="A1024" s="1" t="s">
        <v>45</v>
      </c>
      <c r="B1024">
        <v>1992</v>
      </c>
      <c r="C1024">
        <v>6879.2512499999984</v>
      </c>
      <c r="D1024">
        <v>6876.7052499999982</v>
      </c>
      <c r="E1024">
        <v>2.5459999999999998</v>
      </c>
      <c r="F1024">
        <v>1.6369721875004051</v>
      </c>
      <c r="G1024">
        <v>-0.77494227511734259</v>
      </c>
      <c r="H1024">
        <v>0.86202991238306204</v>
      </c>
      <c r="I1024">
        <v>0.16858794004082739</v>
      </c>
      <c r="J1024">
        <v>2.79601387452914E-2</v>
      </c>
      <c r="K1024">
        <v>0.10334428990775819</v>
      </c>
      <c r="L1024">
        <v>-2.6</v>
      </c>
      <c r="M1024">
        <v>11261.14296707739</v>
      </c>
      <c r="N1024">
        <v>-5331.0226147788217</v>
      </c>
      <c r="O1024">
        <v>5930.1203522985688</v>
      </c>
      <c r="P1024">
        <v>1159.758797260786</v>
      </c>
      <c r="Q1024">
        <v>192.34481941371931</v>
      </c>
      <c r="R1024">
        <v>710.66822096620285</v>
      </c>
      <c r="S1024">
        <v>-6.6196000000000002</v>
      </c>
      <c r="T1024">
        <v>-29282.999496446679</v>
      </c>
    </row>
    <row r="1025" spans="1:20" x14ac:dyDescent="0.25">
      <c r="A1025" s="1" t="s">
        <v>45</v>
      </c>
      <c r="B1025">
        <v>1993</v>
      </c>
      <c r="C1025">
        <v>6884.259687499999</v>
      </c>
      <c r="D1025">
        <v>6881.7136874999987</v>
      </c>
      <c r="E1025">
        <v>2.5459999999999998</v>
      </c>
      <c r="F1025">
        <v>1.639696253946924</v>
      </c>
      <c r="G1025">
        <v>-0.74083471994161298</v>
      </c>
      <c r="H1025">
        <v>0.89886153400531155</v>
      </c>
      <c r="I1025">
        <v>0.1704058038800772</v>
      </c>
      <c r="J1025">
        <v>2.8283705516799412E-2</v>
      </c>
      <c r="K1025">
        <v>0.1027179252035508</v>
      </c>
      <c r="L1025">
        <v>-2.6</v>
      </c>
      <c r="M1025">
        <v>11288.09482079157</v>
      </c>
      <c r="N1025">
        <v>-5100.0985975943977</v>
      </c>
      <c r="O1025">
        <v>6187.9962231971758</v>
      </c>
      <c r="P1025">
        <v>1173.117806167646</v>
      </c>
      <c r="Q1025">
        <v>194.71237370242349</v>
      </c>
      <c r="R1025">
        <v>706.87535182487647</v>
      </c>
      <c r="S1025">
        <v>-6.6196000000000002</v>
      </c>
      <c r="T1025">
        <v>-30272.301234607199</v>
      </c>
    </row>
    <row r="1026" spans="1:20" x14ac:dyDescent="0.25">
      <c r="A1026" s="1" t="s">
        <v>45</v>
      </c>
      <c r="B1026">
        <v>1994</v>
      </c>
      <c r="C1026">
        <v>6889.2681249999996</v>
      </c>
      <c r="D1026">
        <v>6886.7221249999993</v>
      </c>
      <c r="E1026">
        <v>2.5459999999999998</v>
      </c>
      <c r="F1026">
        <v>1.642380462813082</v>
      </c>
      <c r="G1026">
        <v>-0.72113606288069787</v>
      </c>
      <c r="H1026">
        <v>0.92124439993238438</v>
      </c>
      <c r="I1026">
        <v>0.17224688829287541</v>
      </c>
      <c r="J1026">
        <v>2.8607596680808822E-2</v>
      </c>
      <c r="K1026">
        <v>0.1020942836748621</v>
      </c>
      <c r="L1026">
        <v>-2.6</v>
      </c>
      <c r="M1026">
        <v>11314.799371580921</v>
      </c>
      <c r="N1026">
        <v>-4968.0996917919874</v>
      </c>
      <c r="O1026">
        <v>6346.6996797889278</v>
      </c>
      <c r="P1026">
        <v>1186.654997146542</v>
      </c>
      <c r="Q1026">
        <v>197.08540394595201</v>
      </c>
      <c r="R1026">
        <v>703.09496221969903</v>
      </c>
      <c r="S1026">
        <v>-6.6196000000000002</v>
      </c>
      <c r="T1026">
        <v>-30898.68995804025</v>
      </c>
    </row>
    <row r="1027" spans="1:20" x14ac:dyDescent="0.25">
      <c r="A1027" s="1" t="s">
        <v>45</v>
      </c>
      <c r="B1027">
        <v>1995</v>
      </c>
      <c r="C1027">
        <v>6894.2765625000002</v>
      </c>
      <c r="D1027">
        <v>6891.7305624999999</v>
      </c>
      <c r="E1027">
        <v>2.5459999999999998</v>
      </c>
      <c r="F1027">
        <v>1.64507844165687</v>
      </c>
      <c r="G1027">
        <v>-0.74572911805246156</v>
      </c>
      <c r="H1027">
        <v>0.89934932360440856</v>
      </c>
      <c r="I1027">
        <v>0.17410586293077429</v>
      </c>
      <c r="J1027">
        <v>2.8931811530342109E-2</v>
      </c>
      <c r="K1027">
        <v>0.10147285415957839</v>
      </c>
      <c r="L1027">
        <v>-2.6</v>
      </c>
      <c r="M1027">
        <v>11341.62574378898</v>
      </c>
      <c r="N1027">
        <v>-5141.2627805628817</v>
      </c>
      <c r="O1027">
        <v>6200.3629632261018</v>
      </c>
      <c r="P1027">
        <v>1200.3339701974751</v>
      </c>
      <c r="Q1027">
        <v>199.46391014430489</v>
      </c>
      <c r="R1027">
        <v>699.32357027567139</v>
      </c>
      <c r="S1027">
        <v>-6.6196000000000002</v>
      </c>
      <c r="T1027">
        <v>-30407.170984095788</v>
      </c>
    </row>
    <row r="1028" spans="1:20" x14ac:dyDescent="0.25">
      <c r="A1028" s="1" t="s">
        <v>45</v>
      </c>
      <c r="B1028">
        <v>1996</v>
      </c>
      <c r="C1028">
        <v>6899.2850000000008</v>
      </c>
      <c r="D1028">
        <v>6896.7389999999996</v>
      </c>
      <c r="E1028">
        <v>2.5459999999999998</v>
      </c>
      <c r="F1028">
        <v>1.647773532131751</v>
      </c>
      <c r="G1028">
        <v>-0.77554582795209681</v>
      </c>
      <c r="H1028">
        <v>0.8722277041796539</v>
      </c>
      <c r="I1028">
        <v>0.1759879647413379</v>
      </c>
      <c r="J1028">
        <v>2.9256349360474582E-2</v>
      </c>
      <c r="K1028">
        <v>0.1008536318385823</v>
      </c>
      <c r="L1028">
        <v>-2.6</v>
      </c>
      <c r="M1028">
        <v>11368.45921363361</v>
      </c>
      <c r="N1028">
        <v>-5350.7116976024827</v>
      </c>
      <c r="O1028">
        <v>6017.7475160311242</v>
      </c>
      <c r="P1028">
        <v>1214.1911253204421</v>
      </c>
      <c r="Q1028">
        <v>201.84789229748191</v>
      </c>
      <c r="R1028">
        <v>695.56117599279241</v>
      </c>
      <c r="S1028">
        <v>-6.6196000000000002</v>
      </c>
      <c r="T1028">
        <v>-29783.336402022789</v>
      </c>
    </row>
    <row r="1029" spans="1:20" x14ac:dyDescent="0.25">
      <c r="A1029" s="1" t="s">
        <v>45</v>
      </c>
      <c r="B1029">
        <v>1997</v>
      </c>
      <c r="C1029">
        <v>6904.2934375000013</v>
      </c>
      <c r="D1029">
        <v>6901.7474375000011</v>
      </c>
      <c r="E1029">
        <v>2.5459999999999998</v>
      </c>
      <c r="F1029">
        <v>1.6504864200019811</v>
      </c>
      <c r="G1029">
        <v>-0.76336704234282349</v>
      </c>
      <c r="H1029">
        <v>0.88711937765915716</v>
      </c>
      <c r="I1029">
        <v>0.17788787131274711</v>
      </c>
      <c r="J1029">
        <v>2.958120946832701E-2</v>
      </c>
      <c r="K1029">
        <v>0.1002366119067454</v>
      </c>
      <c r="L1029">
        <v>-2.6</v>
      </c>
      <c r="M1029">
        <v>11395.44255830255</v>
      </c>
      <c r="N1029">
        <v>-5270.5100608513421</v>
      </c>
      <c r="O1029">
        <v>6124.9324974512037</v>
      </c>
      <c r="P1029">
        <v>1228.190062515444</v>
      </c>
      <c r="Q1029">
        <v>204.23735040548311</v>
      </c>
      <c r="R1029">
        <v>691.80777937106245</v>
      </c>
      <c r="S1029">
        <v>-6.6196000000000002</v>
      </c>
      <c r="T1029">
        <v>-30222.67632906112</v>
      </c>
    </row>
    <row r="1030" spans="1:20" x14ac:dyDescent="0.25">
      <c r="A1030" s="1" t="s">
        <v>45</v>
      </c>
      <c r="B1030">
        <v>1998</v>
      </c>
      <c r="C1030">
        <v>6909.3018750000019</v>
      </c>
      <c r="D1030">
        <v>6906.7558750000017</v>
      </c>
      <c r="E1030">
        <v>2.5459999999999998</v>
      </c>
      <c r="F1030">
        <v>1.653177598277999</v>
      </c>
      <c r="G1030">
        <v>-0.69903642865931459</v>
      </c>
      <c r="H1030">
        <v>0.954141169618685</v>
      </c>
      <c r="I1030">
        <v>0.17980027566569201</v>
      </c>
      <c r="J1030">
        <v>2.990639115305823E-2</v>
      </c>
      <c r="K1030">
        <v>9.962178957287697E-2</v>
      </c>
      <c r="L1030">
        <v>-2.6</v>
      </c>
      <c r="M1030">
        <v>11422.303079490181</v>
      </c>
      <c r="N1030">
        <v>-4829.8537072291074</v>
      </c>
      <c r="O1030">
        <v>6592.449372261075</v>
      </c>
      <c r="P1030">
        <v>1242.294381782483</v>
      </c>
      <c r="Q1030">
        <v>206.63228446830871</v>
      </c>
      <c r="R1030">
        <v>688.06338041048195</v>
      </c>
      <c r="S1030">
        <v>-6.6196000000000002</v>
      </c>
      <c r="T1030">
        <v>-31983.67266938485</v>
      </c>
    </row>
    <row r="1031" spans="1:20" x14ac:dyDescent="0.25">
      <c r="A1031" s="1" t="s">
        <v>45</v>
      </c>
      <c r="B1031">
        <v>1999</v>
      </c>
      <c r="C1031">
        <v>6914.3103125000034</v>
      </c>
      <c r="D1031">
        <v>6911.7643125000022</v>
      </c>
      <c r="E1031">
        <v>2.5459999999999998</v>
      </c>
      <c r="F1031">
        <v>1.655845702708131</v>
      </c>
      <c r="G1031">
        <v>-0.73624866298649627</v>
      </c>
      <c r="H1031">
        <v>0.91959703972163465</v>
      </c>
      <c r="I1031">
        <v>0.1817198861974792</v>
      </c>
      <c r="J1031">
        <v>3.023189371585764E-2</v>
      </c>
      <c r="K1031">
        <v>9.9009160059673307E-2</v>
      </c>
      <c r="L1031">
        <v>-2.6</v>
      </c>
      <c r="M1031">
        <v>11449.03101814364</v>
      </c>
      <c r="N1031">
        <v>-5090.6517230518702</v>
      </c>
      <c r="O1031">
        <v>6358.3792950917732</v>
      </c>
      <c r="P1031">
        <v>1256.467683121557</v>
      </c>
      <c r="Q1031">
        <v>209.0326944859585</v>
      </c>
      <c r="R1031">
        <v>684.32797911105058</v>
      </c>
      <c r="S1031">
        <v>-6.6196000000000002</v>
      </c>
      <c r="T1031">
        <v>-31172.48952330742</v>
      </c>
    </row>
    <row r="1032" spans="1:20" x14ac:dyDescent="0.25">
      <c r="A1032" s="1" t="s">
        <v>45</v>
      </c>
      <c r="B1032">
        <v>2000</v>
      </c>
      <c r="C1032">
        <v>6919.3187500000022</v>
      </c>
      <c r="D1032">
        <v>6916.7727500000019</v>
      </c>
      <c r="E1032">
        <v>2.5459999999999998</v>
      </c>
      <c r="F1032">
        <v>1.6581148118439419</v>
      </c>
      <c r="G1032">
        <v>-0.7534316609847902</v>
      </c>
      <c r="H1032">
        <v>0.9046831508591523</v>
      </c>
      <c r="I1032">
        <v>0.18363569222796489</v>
      </c>
      <c r="J1032">
        <v>3.0555363342680691E-2</v>
      </c>
      <c r="K1032">
        <v>9.8562449019337181E-2</v>
      </c>
      <c r="L1032">
        <v>-2.6</v>
      </c>
      <c r="M1032">
        <v>11473.02490724452</v>
      </c>
      <c r="N1032">
        <v>-5213.233818695704</v>
      </c>
      <c r="O1032">
        <v>6259.7910885488127</v>
      </c>
      <c r="P1032">
        <v>1270.633888402187</v>
      </c>
      <c r="Q1032">
        <v>211.42229849007319</v>
      </c>
      <c r="R1032">
        <v>681.73406155021587</v>
      </c>
      <c r="S1032">
        <v>-6.6196000000000002</v>
      </c>
      <c r="T1032">
        <v>-30862.193035637541</v>
      </c>
    </row>
    <row r="1033" spans="1:20" x14ac:dyDescent="0.25">
      <c r="A1033" s="1" t="s">
        <v>45</v>
      </c>
      <c r="B1033">
        <v>2001</v>
      </c>
      <c r="C1033">
        <v>6924.3271875000019</v>
      </c>
      <c r="D1033">
        <v>6921.7811875000016</v>
      </c>
      <c r="E1033">
        <v>2.5459999999999998</v>
      </c>
      <c r="F1033">
        <v>1.6607402172578869</v>
      </c>
      <c r="G1033">
        <v>-0.72541549542465089</v>
      </c>
      <c r="H1033">
        <v>0.93532472183323589</v>
      </c>
      <c r="I1033">
        <v>0.1855584061696888</v>
      </c>
      <c r="J1033">
        <v>3.0879108310361031E-2</v>
      </c>
      <c r="K1033">
        <v>9.8117606184867007E-2</v>
      </c>
      <c r="L1033">
        <v>-2.6</v>
      </c>
      <c r="M1033">
        <v>11499.508637733439</v>
      </c>
      <c r="N1033">
        <v>-5023.014237202693</v>
      </c>
      <c r="O1033">
        <v>6476.4944005307516</v>
      </c>
      <c r="P1033">
        <v>1284.867116709944</v>
      </c>
      <c r="Q1033">
        <v>213.81704919919011</v>
      </c>
      <c r="R1033">
        <v>679.14860065294624</v>
      </c>
      <c r="S1033">
        <v>-6.6196000000000002</v>
      </c>
      <c r="T1033">
        <v>-31708.261079343269</v>
      </c>
    </row>
    <row r="1034" spans="1:20" x14ac:dyDescent="0.25">
      <c r="A1034" s="1" t="s">
        <v>45</v>
      </c>
      <c r="B1034">
        <v>2002</v>
      </c>
      <c r="C1034">
        <v>6929.3356250000024</v>
      </c>
      <c r="D1034">
        <v>6926.7896250000013</v>
      </c>
      <c r="E1034">
        <v>2.5459999999999998</v>
      </c>
      <c r="F1034">
        <v>1.6633849878642351</v>
      </c>
      <c r="G1034">
        <v>-0.8118372465666629</v>
      </c>
      <c r="H1034">
        <v>0.85154774129757271</v>
      </c>
      <c r="I1034">
        <v>0.1874857617457123</v>
      </c>
      <c r="J1034">
        <v>3.1203128021859809E-2</v>
      </c>
      <c r="K1034">
        <v>9.7674627503825828E-2</v>
      </c>
      <c r="L1034">
        <v>-2.6</v>
      </c>
      <c r="M1034">
        <v>11526.152854497839</v>
      </c>
      <c r="N1034">
        <v>-5625.4927543362874</v>
      </c>
      <c r="O1034">
        <v>5900.6601001615554</v>
      </c>
      <c r="P1034">
        <v>1299.151768044826</v>
      </c>
      <c r="Q1034">
        <v>216.21694661330901</v>
      </c>
      <c r="R1034">
        <v>676.57159641924056</v>
      </c>
      <c r="S1034">
        <v>-6.6196000000000002</v>
      </c>
      <c r="T1034">
        <v>-29648.596307878779</v>
      </c>
    </row>
    <row r="1035" spans="1:20" x14ac:dyDescent="0.25">
      <c r="A1035" s="1" t="s">
        <v>45</v>
      </c>
      <c r="B1035">
        <v>2003</v>
      </c>
      <c r="C1035">
        <v>6934.3440625000012</v>
      </c>
      <c r="D1035">
        <v>6931.7980625000009</v>
      </c>
      <c r="E1035">
        <v>2.5459999999999998</v>
      </c>
      <c r="F1035">
        <v>1.6660370892904179</v>
      </c>
      <c r="G1035">
        <v>-0.82442916298662738</v>
      </c>
      <c r="H1035">
        <v>0.84160792630379044</v>
      </c>
      <c r="I1035">
        <v>0.18941849878924069</v>
      </c>
      <c r="J1035">
        <v>3.152742188186311E-2</v>
      </c>
      <c r="K1035">
        <v>9.7233508935489085E-2</v>
      </c>
      <c r="L1035">
        <v>-2.6</v>
      </c>
      <c r="M1035">
        <v>11552.87439802579</v>
      </c>
      <c r="N1035">
        <v>-5716.8754713081653</v>
      </c>
      <c r="O1035">
        <v>5835.9989267176279</v>
      </c>
      <c r="P1035">
        <v>1313.493042406835</v>
      </c>
      <c r="Q1035">
        <v>218.62199073243011</v>
      </c>
      <c r="R1035">
        <v>674.00304884909974</v>
      </c>
      <c r="S1035">
        <v>-6.6196000000000002</v>
      </c>
      <c r="T1035">
        <v>-29463.49049859132</v>
      </c>
    </row>
    <row r="1036" spans="1:20" x14ac:dyDescent="0.25">
      <c r="A1036" s="1" t="s">
        <v>45</v>
      </c>
      <c r="B1036">
        <v>2004</v>
      </c>
      <c r="C1036">
        <v>6939.3525000000009</v>
      </c>
      <c r="D1036">
        <v>6936.8065000000006</v>
      </c>
      <c r="E1036">
        <v>2.5459999999999998</v>
      </c>
      <c r="F1036">
        <v>1.668902062561515</v>
      </c>
      <c r="G1036">
        <v>-0.84829169107188684</v>
      </c>
      <c r="H1036">
        <v>0.8206103714896279</v>
      </c>
      <c r="I1036">
        <v>0.19135660564814511</v>
      </c>
      <c r="J1036">
        <v>3.1851989296775629E-2</v>
      </c>
      <c r="K1036">
        <v>9.679424645080173E-2</v>
      </c>
      <c r="L1036">
        <v>-2.6</v>
      </c>
      <c r="M1036">
        <v>11581.099700091399</v>
      </c>
      <c r="N1036">
        <v>-5886.5950671689261</v>
      </c>
      <c r="O1036">
        <v>5694.5046329224788</v>
      </c>
      <c r="P1036">
        <v>1327.8909397959701</v>
      </c>
      <c r="Q1036">
        <v>221.03218155655321</v>
      </c>
      <c r="R1036">
        <v>671.44295794252344</v>
      </c>
      <c r="S1036">
        <v>-6.6196000000000002</v>
      </c>
      <c r="T1036">
        <v>-28996.920744800231</v>
      </c>
    </row>
    <row r="1037" spans="1:20" x14ac:dyDescent="0.25">
      <c r="A1037" s="1" t="s">
        <v>45</v>
      </c>
      <c r="B1037">
        <v>2005</v>
      </c>
      <c r="C1037">
        <v>6944.3609375000005</v>
      </c>
      <c r="D1037">
        <v>6941.8149375000003</v>
      </c>
      <c r="E1037">
        <v>2.5459999999999998</v>
      </c>
      <c r="F1037">
        <v>1.671992128216873</v>
      </c>
      <c r="G1037">
        <v>-0.79795975754014747</v>
      </c>
      <c r="H1037">
        <v>0.87403237067672557</v>
      </c>
      <c r="I1037">
        <v>0.19329677914018331</v>
      </c>
      <c r="J1037">
        <v>3.2176450726560821E-2</v>
      </c>
      <c r="K1037">
        <v>9.6379200176512539E-2</v>
      </c>
      <c r="L1037">
        <v>-2.6</v>
      </c>
      <c r="M1037">
        <v>11610.916822996751</v>
      </c>
      <c r="N1037">
        <v>-5541.3205699587716</v>
      </c>
      <c r="O1037">
        <v>6069.5962530379738</v>
      </c>
      <c r="P1037">
        <v>1342.3226024056539</v>
      </c>
      <c r="Q1037">
        <v>223.44488753292251</v>
      </c>
      <c r="R1037">
        <v>669.04657144961743</v>
      </c>
      <c r="S1037">
        <v>-6.6196000000000002</v>
      </c>
      <c r="T1037">
        <v>-30425.23261956538</v>
      </c>
    </row>
    <row r="1038" spans="1:20" x14ac:dyDescent="0.25">
      <c r="A1038" s="1" t="s">
        <v>45</v>
      </c>
      <c r="B1038">
        <v>2006</v>
      </c>
      <c r="C1038">
        <v>6949.3693750000002</v>
      </c>
      <c r="D1038">
        <v>6946.8233749999999</v>
      </c>
      <c r="E1038">
        <v>2.5459999999999998</v>
      </c>
      <c r="F1038">
        <v>1.6747246972381451</v>
      </c>
      <c r="G1038">
        <v>-0.8019679145139319</v>
      </c>
      <c r="H1038">
        <v>0.87275678272421309</v>
      </c>
      <c r="I1038">
        <v>0.19514100152353531</v>
      </c>
      <c r="J1038">
        <v>3.2483782247607888E-2</v>
      </c>
      <c r="K1038">
        <v>9.6967405004325186E-2</v>
      </c>
      <c r="L1038">
        <v>-2.6</v>
      </c>
      <c r="M1038">
        <v>11638.280522542909</v>
      </c>
      <c r="N1038">
        <v>-5573.1712648557368</v>
      </c>
      <c r="O1038">
        <v>6065.1092576871761</v>
      </c>
      <c r="P1038">
        <v>1356.106899794484</v>
      </c>
      <c r="Q1038">
        <v>225.74180153569489</v>
      </c>
      <c r="R1038">
        <v>673.6154356971382</v>
      </c>
      <c r="S1038">
        <v>-6.6196000000000002</v>
      </c>
      <c r="T1038">
        <v>-30484.49724728924</v>
      </c>
    </row>
    <row r="1039" spans="1:20" x14ac:dyDescent="0.25">
      <c r="A1039" s="1" t="s">
        <v>45</v>
      </c>
      <c r="B1039">
        <v>2007</v>
      </c>
      <c r="C1039">
        <v>6954.3778124999999</v>
      </c>
      <c r="D1039">
        <v>6951.8318124999996</v>
      </c>
      <c r="E1039">
        <v>2.5459999999999998</v>
      </c>
      <c r="F1039">
        <v>1.6779486111631461</v>
      </c>
      <c r="G1039">
        <v>-0.83992757076656155</v>
      </c>
      <c r="H1039">
        <v>0.83802104039658476</v>
      </c>
      <c r="I1039">
        <v>0.19698392040798421</v>
      </c>
      <c r="J1039">
        <v>3.2791072471071027E-2</v>
      </c>
      <c r="K1039">
        <v>9.7555422036432402E-2</v>
      </c>
      <c r="L1039">
        <v>-2.6</v>
      </c>
      <c r="M1039">
        <v>11669.088591988169</v>
      </c>
      <c r="N1039">
        <v>-5841.1736622459994</v>
      </c>
      <c r="O1039">
        <v>5827.9149297421754</v>
      </c>
      <c r="P1039">
        <v>1369.9006055045511</v>
      </c>
      <c r="Q1039">
        <v>228.04150684089589</v>
      </c>
      <c r="R1039">
        <v>678.18888639473425</v>
      </c>
      <c r="S1039">
        <v>-6.6196000000000002</v>
      </c>
      <c r="T1039">
        <v>-29690.563204438011</v>
      </c>
    </row>
    <row r="1040" spans="1:20" x14ac:dyDescent="0.25">
      <c r="A1040" s="1" t="s">
        <v>45</v>
      </c>
      <c r="B1040">
        <v>2008</v>
      </c>
      <c r="C1040">
        <v>6959.3862499999996</v>
      </c>
      <c r="D1040">
        <v>6956.8402499999993</v>
      </c>
      <c r="E1040">
        <v>2.5459999999999998</v>
      </c>
      <c r="F1040">
        <v>1.6809849611040419</v>
      </c>
      <c r="G1040">
        <v>-0.82922421476817221</v>
      </c>
      <c r="H1040">
        <v>0.85176074633587007</v>
      </c>
      <c r="I1040">
        <v>0.20776212578459069</v>
      </c>
      <c r="J1040">
        <v>3.3098321486111693E-2</v>
      </c>
      <c r="K1040">
        <v>9.8143251678433366E-2</v>
      </c>
      <c r="L1040">
        <v>-2.6</v>
      </c>
      <c r="M1040">
        <v>11698.623624764259</v>
      </c>
      <c r="N1040">
        <v>-5770.8915984246642</v>
      </c>
      <c r="O1040">
        <v>5927.7320263395914</v>
      </c>
      <c r="P1040">
        <v>1445.896881456051</v>
      </c>
      <c r="Q1040">
        <v>230.3440034485252</v>
      </c>
      <c r="R1040">
        <v>682.76692354240527</v>
      </c>
      <c r="S1040">
        <v>-6.6196000000000002</v>
      </c>
      <c r="T1040">
        <v>-30360.440860886862</v>
      </c>
    </row>
    <row r="1041" spans="1:20" x14ac:dyDescent="0.25">
      <c r="A1041" s="1" t="s">
        <v>45</v>
      </c>
      <c r="B1041">
        <v>2009</v>
      </c>
      <c r="C1041">
        <v>6964.3946874999992</v>
      </c>
      <c r="D1041">
        <v>6961.848687499999</v>
      </c>
      <c r="E1041">
        <v>2.5459999999999998</v>
      </c>
      <c r="F1041">
        <v>1.684160332052788</v>
      </c>
      <c r="G1041">
        <v>-0.82446815439718624</v>
      </c>
      <c r="H1041">
        <v>0.85969217765560135</v>
      </c>
      <c r="I1041">
        <v>0.2077577420589887</v>
      </c>
      <c r="J1041">
        <v>3.3405529381634852E-2</v>
      </c>
      <c r="K1041">
        <v>9.8730894334760233E-2</v>
      </c>
      <c r="L1041">
        <v>-2.6</v>
      </c>
      <c r="M1041">
        <v>11729.15726944667</v>
      </c>
      <c r="N1041">
        <v>-5741.9216344966926</v>
      </c>
      <c r="O1041">
        <v>5987.235634949976</v>
      </c>
      <c r="P1041">
        <v>1446.906915082616</v>
      </c>
      <c r="Q1041">
        <v>232.6492913585829</v>
      </c>
      <c r="R1041">
        <v>687.34954714015157</v>
      </c>
      <c r="S1041">
        <v>-6.6196000000000002</v>
      </c>
      <c r="T1041">
        <v>-30607.579891284309</v>
      </c>
    </row>
    <row r="1042" spans="1:20" x14ac:dyDescent="0.25">
      <c r="A1042" s="1" t="s">
        <v>45</v>
      </c>
      <c r="B1042">
        <v>2010</v>
      </c>
      <c r="C1042">
        <v>6969.4031249999989</v>
      </c>
      <c r="D1042">
        <v>6966.8571249999986</v>
      </c>
      <c r="E1042">
        <v>2.5459999999999998</v>
      </c>
      <c r="F1042">
        <v>1.687054222097629</v>
      </c>
      <c r="G1042">
        <v>-0.84026213166204822</v>
      </c>
      <c r="H1042">
        <v>0.84679209043558079</v>
      </c>
      <c r="I1042">
        <v>0.2077507245226515</v>
      </c>
      <c r="J1042">
        <v>3.3712696246289947E-2</v>
      </c>
      <c r="K1042">
        <v>9.9364466414828795E-2</v>
      </c>
      <c r="L1042">
        <v>-2.6</v>
      </c>
      <c r="M1042">
        <v>11757.76096753166</v>
      </c>
      <c r="N1042">
        <v>-5856.1255262246405</v>
      </c>
      <c r="O1042">
        <v>5901.6354413070176</v>
      </c>
      <c r="P1042">
        <v>1447.8985487091809</v>
      </c>
      <c r="Q1042">
        <v>234.95737057106891</v>
      </c>
      <c r="R1042">
        <v>692.25804081397303</v>
      </c>
      <c r="S1042">
        <v>-6.6196000000000002</v>
      </c>
      <c r="T1042">
        <v>-30323.809271807309</v>
      </c>
    </row>
    <row r="1043" spans="1:20" x14ac:dyDescent="0.25">
      <c r="A1043" s="1" t="s">
        <v>45</v>
      </c>
      <c r="B1043">
        <v>2011</v>
      </c>
      <c r="C1043">
        <v>6974.4115624999986</v>
      </c>
      <c r="D1043">
        <v>6971.8655624999983</v>
      </c>
      <c r="E1043">
        <v>2.5459999999999998</v>
      </c>
      <c r="F1043">
        <v>1.689959500312211</v>
      </c>
      <c r="G1043">
        <v>-0.89669950256158149</v>
      </c>
      <c r="H1043">
        <v>0.79325999775062983</v>
      </c>
      <c r="I1043">
        <v>0.20774159502230369</v>
      </c>
      <c r="J1043">
        <v>3.401982216847179E-2</v>
      </c>
      <c r="K1043">
        <v>9.9997786057118898E-2</v>
      </c>
      <c r="L1043">
        <v>-2.6</v>
      </c>
      <c r="M1043">
        <v>11786.47307913421</v>
      </c>
      <c r="N1043">
        <v>-6253.9513787534906</v>
      </c>
      <c r="O1043">
        <v>5532.5217003807156</v>
      </c>
      <c r="P1043">
        <v>1448.875382335747</v>
      </c>
      <c r="Q1043">
        <v>237.26824108598339</v>
      </c>
      <c r="R1043">
        <v>697.17112093786977</v>
      </c>
      <c r="S1043">
        <v>-6.6196000000000002</v>
      </c>
      <c r="T1043">
        <v>-29000.461764050458</v>
      </c>
    </row>
    <row r="1044" spans="1:20" x14ac:dyDescent="0.25">
      <c r="A1044" s="1" t="s">
        <v>45</v>
      </c>
      <c r="B1044">
        <v>2012</v>
      </c>
      <c r="C1044">
        <v>6979.4199999999983</v>
      </c>
      <c r="D1044">
        <v>6976.873999999998</v>
      </c>
      <c r="E1044">
        <v>2.5459999999999998</v>
      </c>
      <c r="F1044">
        <v>1.6942872679212291</v>
      </c>
      <c r="G1044">
        <v>-0.9214818286872074</v>
      </c>
      <c r="H1044">
        <v>0.77280543923402123</v>
      </c>
      <c r="I1044">
        <v>0.2077603205930515</v>
      </c>
      <c r="J1044">
        <v>3.4332994235236503E-2</v>
      </c>
      <c r="K1044">
        <v>0.1002547128583758</v>
      </c>
      <c r="L1044">
        <v>-2.6</v>
      </c>
      <c r="M1044">
        <v>11825.142443474781</v>
      </c>
      <c r="N1044">
        <v>-6431.4087047760677</v>
      </c>
      <c r="O1044">
        <v>5393.733738698711</v>
      </c>
      <c r="P1044">
        <v>1450.0465367535551</v>
      </c>
      <c r="Q1044">
        <v>239.62438662529431</v>
      </c>
      <c r="R1044">
        <v>699.46449951906789</v>
      </c>
      <c r="S1044">
        <v>-6.6196000000000002</v>
      </c>
      <c r="T1044">
        <v>-28512.915059190229</v>
      </c>
    </row>
    <row r="1045" spans="1:20" x14ac:dyDescent="0.25">
      <c r="A1045" s="1" t="s">
        <v>45</v>
      </c>
      <c r="B1045">
        <v>2013</v>
      </c>
      <c r="C1045">
        <v>6980.6759999999977</v>
      </c>
      <c r="D1045">
        <v>6978.1299999999974</v>
      </c>
      <c r="E1045">
        <v>2.5459999999999998</v>
      </c>
      <c r="F1045">
        <v>1.6950521861769161</v>
      </c>
      <c r="G1045">
        <v>-0.92551151538835308</v>
      </c>
      <c r="H1045">
        <v>0.76954067078856314</v>
      </c>
      <c r="I1045">
        <v>0.20786800499999769</v>
      </c>
      <c r="J1045">
        <v>3.4737509091766212E-2</v>
      </c>
      <c r="K1045">
        <v>9.9651656579213696E-2</v>
      </c>
      <c r="L1045">
        <v>-2.6</v>
      </c>
      <c r="M1045">
        <v>11832.610114792729</v>
      </c>
      <c r="N1045">
        <v>-6460.6960231951052</v>
      </c>
      <c r="O1045">
        <v>5371.9140915976222</v>
      </c>
      <c r="P1045">
        <v>1451.0591936713629</v>
      </c>
      <c r="Q1045">
        <v>242.49129601667411</v>
      </c>
      <c r="R1045">
        <v>695.38221432510818</v>
      </c>
      <c r="S1045">
        <v>-6.6196000000000002</v>
      </c>
      <c r="T1045">
        <v>-28432.16638390873</v>
      </c>
    </row>
    <row r="1046" spans="1:20" x14ac:dyDescent="0.25">
      <c r="A1046" s="1" t="s">
        <v>45</v>
      </c>
      <c r="B1046">
        <v>2014</v>
      </c>
      <c r="C1046">
        <v>6981.9319999999971</v>
      </c>
      <c r="D1046">
        <v>6979.3859999999968</v>
      </c>
      <c r="E1046">
        <v>2.5459999999999998</v>
      </c>
      <c r="F1046">
        <v>1.6939358324785241</v>
      </c>
      <c r="G1046">
        <v>-0.88123089530140752</v>
      </c>
      <c r="H1046">
        <v>0.81270493717711623</v>
      </c>
      <c r="I1046">
        <v>0.2079676299610439</v>
      </c>
      <c r="J1046">
        <v>3.5142507440445322E-2</v>
      </c>
      <c r="K1046">
        <v>9.9049352421829412E-2</v>
      </c>
      <c r="L1046">
        <v>-2.6</v>
      </c>
      <c r="M1046">
        <v>11826.944794728441</v>
      </c>
      <c r="N1046">
        <v>-6152.694187293544</v>
      </c>
      <c r="O1046">
        <v>5674.2506074348948</v>
      </c>
      <c r="P1046">
        <v>1452.01585058917</v>
      </c>
      <c r="Q1046">
        <v>245.36259725868319</v>
      </c>
      <c r="R1046">
        <v>691.30366360198195</v>
      </c>
      <c r="S1046">
        <v>-6.6196000000000002</v>
      </c>
      <c r="T1046">
        <v>-29539.814769246699</v>
      </c>
    </row>
    <row r="1047" spans="1:20" x14ac:dyDescent="0.25">
      <c r="A1047" s="1" t="s">
        <v>45</v>
      </c>
      <c r="B1047">
        <v>2015</v>
      </c>
      <c r="C1047">
        <v>6983.1879999999956</v>
      </c>
      <c r="D1047">
        <v>6980.6419999999962</v>
      </c>
      <c r="E1047">
        <v>2.5459999999999998</v>
      </c>
      <c r="F1047">
        <v>1.69251171503526</v>
      </c>
      <c r="G1047">
        <v>-0.89090002011276281</v>
      </c>
      <c r="H1047">
        <v>0.80161169492249673</v>
      </c>
      <c r="I1047">
        <v>0.2080265797008109</v>
      </c>
      <c r="J1047">
        <v>3.5546014627603963E-2</v>
      </c>
      <c r="K1047">
        <v>9.8549769958382674E-2</v>
      </c>
      <c r="L1047">
        <v>-2.6</v>
      </c>
      <c r="M1047">
        <v>11819.127498293639</v>
      </c>
      <c r="N1047">
        <v>-6221.3223296512006</v>
      </c>
      <c r="O1047">
        <v>5597.8051686424369</v>
      </c>
      <c r="P1047">
        <v>1452.688715047746</v>
      </c>
      <c r="Q1047">
        <v>248.22450279530841</v>
      </c>
      <c r="R1047">
        <v>687.94066326182394</v>
      </c>
      <c r="S1047">
        <v>-6.6196000000000002</v>
      </c>
      <c r="T1047">
        <v>-29260.144649076141</v>
      </c>
    </row>
    <row r="1048" spans="1:20" x14ac:dyDescent="0.25">
      <c r="A1048" s="1" t="s">
        <v>45</v>
      </c>
      <c r="B1048">
        <v>2016</v>
      </c>
      <c r="C1048">
        <v>6984.4439999999959</v>
      </c>
      <c r="D1048">
        <v>6981.8979999999956</v>
      </c>
      <c r="E1048">
        <v>2.5459999999999998</v>
      </c>
      <c r="F1048">
        <v>1.691117062919163</v>
      </c>
      <c r="G1048">
        <v>-0.86061224891195476</v>
      </c>
      <c r="H1048">
        <v>0.83050481400720866</v>
      </c>
      <c r="I1048">
        <v>0.20804963968947579</v>
      </c>
      <c r="J1048">
        <v>3.5949962966573518E-2</v>
      </c>
      <c r="K1048">
        <v>9.8051330912286114E-2</v>
      </c>
      <c r="L1048">
        <v>-2.6</v>
      </c>
      <c r="M1048">
        <v>11811.51242340337</v>
      </c>
      <c r="N1048">
        <v>-6010.8980582396052</v>
      </c>
      <c r="O1048">
        <v>5800.6143651637612</v>
      </c>
      <c r="P1048">
        <v>1453.1110576313199</v>
      </c>
      <c r="Q1048">
        <v>251.09050314210651</v>
      </c>
      <c r="R1048">
        <v>684.5843911938282</v>
      </c>
      <c r="S1048">
        <v>-6.6196000000000002</v>
      </c>
      <c r="T1048">
        <v>-30003.529296149791</v>
      </c>
    </row>
    <row r="1049" spans="1:20" x14ac:dyDescent="0.25">
      <c r="A1049" s="1" t="s">
        <v>45</v>
      </c>
      <c r="B1049">
        <v>2017</v>
      </c>
      <c r="C1049">
        <v>6985.6999999999953</v>
      </c>
      <c r="D1049">
        <v>6983.153999999995</v>
      </c>
      <c r="E1049">
        <v>2.5459999999999998</v>
      </c>
      <c r="F1049">
        <v>1.6896969942480251</v>
      </c>
      <c r="G1049">
        <v>-0.89831511130389907</v>
      </c>
      <c r="H1049">
        <v>0.79138188294412593</v>
      </c>
      <c r="I1049">
        <v>0.20804258389852071</v>
      </c>
      <c r="J1049">
        <v>3.635435221940217E-2</v>
      </c>
      <c r="K1049">
        <v>9.7554034666569797E-2</v>
      </c>
      <c r="L1049">
        <v>-2.6</v>
      </c>
      <c r="M1049">
        <v>11803.71629271842</v>
      </c>
      <c r="N1049">
        <v>-6275.3598730356434</v>
      </c>
      <c r="O1049">
        <v>5528.3564196827774</v>
      </c>
      <c r="P1049">
        <v>1453.3230783398949</v>
      </c>
      <c r="Q1049">
        <v>253.96059829907759</v>
      </c>
      <c r="R1049">
        <v>681.23484739799505</v>
      </c>
      <c r="S1049">
        <v>-6.6196000000000002</v>
      </c>
      <c r="T1049">
        <v>-29004.2695936417</v>
      </c>
    </row>
    <row r="1050" spans="1:20" x14ac:dyDescent="0.25">
      <c r="A1050" s="1" t="s">
        <v>45</v>
      </c>
      <c r="B1050">
        <v>2018</v>
      </c>
      <c r="C1050">
        <v>6986.9559999999947</v>
      </c>
      <c r="D1050">
        <v>6984.4099999999944</v>
      </c>
      <c r="E1050">
        <v>2.5459999999999998</v>
      </c>
      <c r="F1050">
        <v>1.688201011416012</v>
      </c>
      <c r="G1050">
        <v>-0.93601153650221725</v>
      </c>
      <c r="H1050">
        <v>0.75218947491379518</v>
      </c>
      <c r="I1050">
        <v>0.2201392584974928</v>
      </c>
      <c r="J1050">
        <v>3.67591821483092E-2</v>
      </c>
      <c r="K1050">
        <v>9.7057880604707422E-2</v>
      </c>
      <c r="L1050">
        <v>-2.6</v>
      </c>
      <c r="M1050">
        <v>11795.386185919169</v>
      </c>
      <c r="N1050">
        <v>-6539.871421033381</v>
      </c>
      <c r="O1050">
        <v>5255.5147648857856</v>
      </c>
      <c r="P1050">
        <v>1538.103312994607</v>
      </c>
      <c r="Q1050">
        <v>256.83478826622172</v>
      </c>
      <c r="R1050">
        <v>677.89203187432406</v>
      </c>
      <c r="S1050">
        <v>-6.6196000000000002</v>
      </c>
      <c r="T1050">
        <v>-28312.992759412689</v>
      </c>
    </row>
    <row r="1051" spans="1:20" x14ac:dyDescent="0.25">
      <c r="A1051" s="1" t="s">
        <v>45</v>
      </c>
      <c r="B1051">
        <v>2019</v>
      </c>
      <c r="C1051">
        <v>6988.2119999999941</v>
      </c>
      <c r="D1051">
        <v>6985.6659999999938</v>
      </c>
      <c r="E1051">
        <v>2.5459999999999998</v>
      </c>
      <c r="F1051">
        <v>1.688823165663879</v>
      </c>
      <c r="G1051">
        <v>-0.91719699471385518</v>
      </c>
      <c r="H1051">
        <v>0.77162617095002406</v>
      </c>
      <c r="I1051">
        <v>0.22240837072397751</v>
      </c>
      <c r="J1051">
        <v>3.7164452515684843E-2</v>
      </c>
      <c r="K1051">
        <v>9.6562868110616235E-2</v>
      </c>
      <c r="L1051">
        <v>-2.6</v>
      </c>
      <c r="M1051">
        <v>11801.854312170301</v>
      </c>
      <c r="N1051">
        <v>-6409.5670448232941</v>
      </c>
      <c r="O1051">
        <v>5392.2872673470047</v>
      </c>
      <c r="P1051">
        <v>1554.2368451937471</v>
      </c>
      <c r="Q1051">
        <v>259.71307304353871</v>
      </c>
      <c r="R1051">
        <v>674.55594462281545</v>
      </c>
      <c r="S1051">
        <v>-6.6196000000000002</v>
      </c>
      <c r="T1051">
        <v>-28871.969610762011</v>
      </c>
    </row>
    <row r="1052" spans="1:20" x14ac:dyDescent="0.25">
      <c r="A1052" s="1" t="s">
        <v>45</v>
      </c>
      <c r="B1052">
        <v>2020</v>
      </c>
      <c r="C1052">
        <v>6989.4679999999926</v>
      </c>
      <c r="D1052">
        <v>6986.9219999999932</v>
      </c>
      <c r="E1052">
        <v>2.5459999999999998</v>
      </c>
      <c r="F1052">
        <v>1.689317024628237</v>
      </c>
      <c r="G1052">
        <v>-0.93141898091137376</v>
      </c>
      <c r="H1052">
        <v>0.75789804371686342</v>
      </c>
      <c r="I1052">
        <v>0.2247155143923876</v>
      </c>
      <c r="J1052">
        <v>3.7573007846087463E-2</v>
      </c>
      <c r="K1052">
        <v>9.5907756965467314E-2</v>
      </c>
      <c r="L1052">
        <v>-2.6</v>
      </c>
      <c r="M1052">
        <v>11807.427285494259</v>
      </c>
      <c r="N1052">
        <v>-6510.1231616726518</v>
      </c>
      <c r="O1052">
        <v>5297.3041238216128</v>
      </c>
      <c r="P1052">
        <v>1570.641896949131</v>
      </c>
      <c r="Q1052">
        <v>262.61533600397689</v>
      </c>
      <c r="R1052">
        <v>670.10001711267614</v>
      </c>
      <c r="S1052">
        <v>-6.6196000000000002</v>
      </c>
      <c r="T1052">
        <v>-28578.153170923051</v>
      </c>
    </row>
    <row r="1053" spans="1:20" x14ac:dyDescent="0.25">
      <c r="A1053" s="1" t="s">
        <v>45</v>
      </c>
      <c r="B1053">
        <v>2021</v>
      </c>
      <c r="C1053">
        <v>6990.7239999999929</v>
      </c>
      <c r="D1053">
        <v>6988.1779999999926</v>
      </c>
      <c r="E1053">
        <v>2.5459999999999998</v>
      </c>
      <c r="F1053">
        <v>1.68961247773739</v>
      </c>
      <c r="G1053">
        <v>-0.94561689577721941</v>
      </c>
      <c r="H1053">
        <v>0.74399558196017113</v>
      </c>
      <c r="I1053">
        <v>0.22705286733898719</v>
      </c>
      <c r="J1053">
        <v>3.7982060263143318E-2</v>
      </c>
      <c r="K1053">
        <v>9.52539396914312E-2</v>
      </c>
      <c r="L1053">
        <v>-2.6</v>
      </c>
      <c r="M1053">
        <v>11811.61449881823</v>
      </c>
      <c r="N1053">
        <v>-6610.5467281152996</v>
      </c>
      <c r="O1053">
        <v>5201.0677707029299</v>
      </c>
      <c r="P1053">
        <v>1587.2639289754729</v>
      </c>
      <c r="Q1053">
        <v>265.52210025100197</v>
      </c>
      <c r="R1053">
        <v>665.65148576498564</v>
      </c>
      <c r="S1053">
        <v>-6.6196000000000002</v>
      </c>
      <c r="T1053">
        <v>-28280.58084754867</v>
      </c>
    </row>
    <row r="1054" spans="1:20" x14ac:dyDescent="0.25">
      <c r="A1054" s="1" t="s">
        <v>45</v>
      </c>
      <c r="B1054">
        <v>2022</v>
      </c>
      <c r="C1054">
        <v>6991.9799999999923</v>
      </c>
      <c r="D1054">
        <v>6989.433999999992</v>
      </c>
      <c r="E1054">
        <v>2.5459999999999998</v>
      </c>
      <c r="F1054">
        <v>1.689645405470583</v>
      </c>
      <c r="G1054">
        <v>-0.96286619856249878</v>
      </c>
      <c r="H1054">
        <v>0.72677920690808429</v>
      </c>
      <c r="I1054">
        <v>0.22941514662481491</v>
      </c>
      <c r="J1054">
        <v>3.8391609498970879E-2</v>
      </c>
      <c r="K1054">
        <v>9.4601415590982799E-2</v>
      </c>
      <c r="L1054">
        <v>-2.6</v>
      </c>
      <c r="M1054">
        <v>11813.966882142189</v>
      </c>
      <c r="N1054">
        <v>-6732.3412030250129</v>
      </c>
      <c r="O1054">
        <v>5081.6256791171818</v>
      </c>
      <c r="P1054">
        <v>1604.066116897772</v>
      </c>
      <c r="Q1054">
        <v>268.43336578461413</v>
      </c>
      <c r="R1054">
        <v>661.2103505797445</v>
      </c>
      <c r="S1054">
        <v>-6.6196000000000002</v>
      </c>
      <c r="T1054">
        <v>-27898.625012060009</v>
      </c>
    </row>
    <row r="1055" spans="1:20" x14ac:dyDescent="0.25">
      <c r="A1055" s="1" t="s">
        <v>45</v>
      </c>
      <c r="B1055">
        <v>2023</v>
      </c>
      <c r="C1055">
        <v>6993.2359999999899</v>
      </c>
      <c r="D1055">
        <v>6990.6899999999896</v>
      </c>
      <c r="E1055">
        <v>2.5459999999999998</v>
      </c>
      <c r="F1055">
        <v>1.646630201037147</v>
      </c>
      <c r="G1055">
        <v>-0.882609669499542</v>
      </c>
      <c r="H1055">
        <v>0.76402053153760541</v>
      </c>
      <c r="I1055">
        <v>0.23032531030593739</v>
      </c>
      <c r="J1055">
        <v>3.8801655285881018E-2</v>
      </c>
      <c r="K1055">
        <v>9.3950183967098214E-2</v>
      </c>
      <c r="L1055">
        <v>-2.6</v>
      </c>
      <c r="M1055">
        <v>11515.2736005802</v>
      </c>
      <c r="N1055">
        <v>-6172.2977146922904</v>
      </c>
      <c r="O1055">
        <v>5342.9758858879086</v>
      </c>
      <c r="P1055">
        <v>1610.7192517426499</v>
      </c>
      <c r="Q1055">
        <v>271.34913260481301</v>
      </c>
      <c r="R1055">
        <v>656.77661155695284</v>
      </c>
      <c r="S1055">
        <v>-6.6196000000000002</v>
      </c>
      <c r="T1055">
        <v>-28875.738033241149</v>
      </c>
    </row>
    <row r="1056" spans="1:20" x14ac:dyDescent="0.25">
      <c r="A1056" s="1" t="s">
        <v>106</v>
      </c>
      <c r="B1056">
        <v>1990</v>
      </c>
      <c r="C1056">
        <v>778537.5</v>
      </c>
      <c r="D1056">
        <v>778537.5</v>
      </c>
      <c r="E1056" t="s">
        <v>96</v>
      </c>
      <c r="F1056">
        <v>0.51177659401309394</v>
      </c>
      <c r="G1056">
        <v>-0.25990611154189958</v>
      </c>
      <c r="H1056">
        <v>0.25187048247119442</v>
      </c>
      <c r="I1056">
        <v>2.7013530379938609E-2</v>
      </c>
      <c r="J1056">
        <v>1.0461840561644569E-3</v>
      </c>
      <c r="K1056">
        <v>-1.3272494543200531E-4</v>
      </c>
      <c r="L1056" t="s">
        <v>96</v>
      </c>
      <c r="M1056">
        <v>398437.27006146911</v>
      </c>
      <c r="N1056">
        <v>-202346.65431455159</v>
      </c>
      <c r="O1056">
        <v>196090.61574691749</v>
      </c>
      <c r="P1056">
        <v>21031.04640817146</v>
      </c>
      <c r="Q1056">
        <v>814.49351962613628</v>
      </c>
      <c r="R1056">
        <v>-103.3313472042698</v>
      </c>
      <c r="S1056" t="s">
        <v>96</v>
      </c>
      <c r="T1056">
        <v>-798720.35586761218</v>
      </c>
    </row>
    <row r="1057" spans="1:20" x14ac:dyDescent="0.25">
      <c r="A1057" s="1" t="s">
        <v>106</v>
      </c>
      <c r="B1057">
        <v>1991</v>
      </c>
      <c r="C1057">
        <v>786448.33333333326</v>
      </c>
      <c r="D1057">
        <v>786448.33333333326</v>
      </c>
      <c r="E1057" t="s">
        <v>96</v>
      </c>
      <c r="F1057">
        <v>0.50744594405977472</v>
      </c>
      <c r="G1057">
        <v>-0.19365654539126109</v>
      </c>
      <c r="H1057">
        <v>0.31378939866851357</v>
      </c>
      <c r="I1057">
        <v>3.3294267075429991E-2</v>
      </c>
      <c r="J1057">
        <v>3.0603022713016951E-3</v>
      </c>
      <c r="K1057">
        <v>1.1719372199708851E-2</v>
      </c>
      <c r="L1057" t="s">
        <v>96</v>
      </c>
      <c r="M1057">
        <v>399080.01696256967</v>
      </c>
      <c r="N1057">
        <v>-152300.8673620483</v>
      </c>
      <c r="O1057">
        <v>246779.1496005214</v>
      </c>
      <c r="P1057">
        <v>26184.220851026788</v>
      </c>
      <c r="Q1057">
        <v>2406.7696207614322</v>
      </c>
      <c r="R1057">
        <v>9216.6807341740277</v>
      </c>
      <c r="S1057" t="s">
        <v>96</v>
      </c>
      <c r="T1057">
        <v>-1043485.009623868</v>
      </c>
    </row>
    <row r="1058" spans="1:20" x14ac:dyDescent="0.25">
      <c r="A1058" s="1" t="s">
        <v>106</v>
      </c>
      <c r="B1058">
        <v>1992</v>
      </c>
      <c r="C1058">
        <v>794359.16666666651</v>
      </c>
      <c r="D1058">
        <v>794359.16666666651</v>
      </c>
      <c r="E1058" t="s">
        <v>96</v>
      </c>
      <c r="F1058">
        <v>0.50901255875513651</v>
      </c>
      <c r="G1058">
        <v>-0.18024598477131551</v>
      </c>
      <c r="H1058">
        <v>0.32876657398382098</v>
      </c>
      <c r="I1058">
        <v>3.3747154823746822E-2</v>
      </c>
      <c r="J1058">
        <v>3.5790001683797001E-3</v>
      </c>
      <c r="K1058">
        <v>1.424449544465084E-2</v>
      </c>
      <c r="L1058" t="s">
        <v>96</v>
      </c>
      <c r="M1058">
        <v>404338.79199559783</v>
      </c>
      <c r="N1058">
        <v>-143180.0502579548</v>
      </c>
      <c r="O1058">
        <v>261158.74173764299</v>
      </c>
      <c r="P1058">
        <v>26807.361783162491</v>
      </c>
      <c r="Q1058">
        <v>2843.0115912539568</v>
      </c>
      <c r="R1058">
        <v>11315.24553099997</v>
      </c>
      <c r="S1058" t="s">
        <v>96</v>
      </c>
      <c r="T1058">
        <v>-1107789.322357985</v>
      </c>
    </row>
    <row r="1059" spans="1:20" x14ac:dyDescent="0.25">
      <c r="A1059" s="1" t="s">
        <v>106</v>
      </c>
      <c r="B1059">
        <v>1993</v>
      </c>
      <c r="C1059">
        <v>802270</v>
      </c>
      <c r="D1059">
        <v>802270</v>
      </c>
      <c r="E1059" t="s">
        <v>96</v>
      </c>
      <c r="F1059">
        <v>0.51605634865812799</v>
      </c>
      <c r="G1059">
        <v>-0.1489095856635953</v>
      </c>
      <c r="H1059">
        <v>0.36714676299453258</v>
      </c>
      <c r="I1059">
        <v>3.6295541433877261E-2</v>
      </c>
      <c r="J1059">
        <v>4.459329700669078E-3</v>
      </c>
      <c r="K1059">
        <v>1.6760194449946191E-2</v>
      </c>
      <c r="L1059" t="s">
        <v>96</v>
      </c>
      <c r="M1059">
        <v>414016.52683795628</v>
      </c>
      <c r="N1059">
        <v>-119465.69329033259</v>
      </c>
      <c r="O1059">
        <v>294550.83354762371</v>
      </c>
      <c r="P1059">
        <v>29118.824026156712</v>
      </c>
      <c r="Q1059">
        <v>3577.586438955781</v>
      </c>
      <c r="R1059">
        <v>13446.20120135833</v>
      </c>
      <c r="S1059" t="s">
        <v>96</v>
      </c>
      <c r="T1059">
        <v>-1249209.2991184599</v>
      </c>
    </row>
    <row r="1060" spans="1:20" x14ac:dyDescent="0.25">
      <c r="A1060" s="1" t="s">
        <v>106</v>
      </c>
      <c r="B1060">
        <v>1994</v>
      </c>
      <c r="C1060">
        <v>810180.83333333337</v>
      </c>
      <c r="D1060">
        <v>810180.83333333337</v>
      </c>
      <c r="E1060" t="s">
        <v>96</v>
      </c>
      <c r="F1060">
        <v>0.51972009995757662</v>
      </c>
      <c r="G1060">
        <v>-0.10710598324007049</v>
      </c>
      <c r="H1060">
        <v>0.41261411671750609</v>
      </c>
      <c r="I1060">
        <v>3.971277270013264E-2</v>
      </c>
      <c r="J1060">
        <v>5.5495172440864701E-3</v>
      </c>
      <c r="K1060">
        <v>2.1545746655875619E-2</v>
      </c>
      <c r="L1060" t="s">
        <v>96</v>
      </c>
      <c r="M1060">
        <v>421067.26368371281</v>
      </c>
      <c r="N1060">
        <v>-86775.214756426387</v>
      </c>
      <c r="O1060">
        <v>334292.04892728629</v>
      </c>
      <c r="P1060">
        <v>32174.527280170711</v>
      </c>
      <c r="Q1060">
        <v>4496.1125054116801</v>
      </c>
      <c r="R1060">
        <v>17455.950980446189</v>
      </c>
      <c r="S1060" t="s">
        <v>96</v>
      </c>
      <c r="T1060">
        <v>-1424201.678875617</v>
      </c>
    </row>
    <row r="1061" spans="1:20" x14ac:dyDescent="0.25">
      <c r="A1061" s="1" t="s">
        <v>106</v>
      </c>
      <c r="B1061">
        <v>1995</v>
      </c>
      <c r="C1061">
        <v>818091.66666666674</v>
      </c>
      <c r="D1061">
        <v>818091.66666666674</v>
      </c>
      <c r="E1061" t="s">
        <v>96</v>
      </c>
      <c r="F1061">
        <v>0.52337466525812204</v>
      </c>
      <c r="G1061">
        <v>-9.2302349588528634E-2</v>
      </c>
      <c r="H1061">
        <v>0.43107231566959342</v>
      </c>
      <c r="I1061">
        <v>4.1330951431257777E-2</v>
      </c>
      <c r="J1061">
        <v>6.0412992551806969E-3</v>
      </c>
      <c r="K1061">
        <v>2.4705717838039841E-2</v>
      </c>
      <c r="L1061" t="s">
        <v>96</v>
      </c>
      <c r="M1061">
        <v>428168.4521921259</v>
      </c>
      <c r="N1061">
        <v>-75511.783012128712</v>
      </c>
      <c r="O1061">
        <v>352656.66917999717</v>
      </c>
      <c r="P1061">
        <v>33812.506941316729</v>
      </c>
      <c r="Q1061">
        <v>4942.3365765028684</v>
      </c>
      <c r="R1061">
        <v>20211.541882318412</v>
      </c>
      <c r="S1061" t="s">
        <v>96</v>
      </c>
      <c r="T1061">
        <v>-1509284.5334606329</v>
      </c>
    </row>
    <row r="1062" spans="1:20" x14ac:dyDescent="0.25">
      <c r="A1062" s="1" t="s">
        <v>106</v>
      </c>
      <c r="B1062">
        <v>1996</v>
      </c>
      <c r="C1062">
        <v>826002.5</v>
      </c>
      <c r="D1062">
        <v>826002.5</v>
      </c>
      <c r="E1062" t="s">
        <v>96</v>
      </c>
      <c r="F1062">
        <v>0.52682502640495232</v>
      </c>
      <c r="G1062">
        <v>-0.1497355074601027</v>
      </c>
      <c r="H1062">
        <v>0.37708951894484971</v>
      </c>
      <c r="I1062">
        <v>3.45115163321318E-2</v>
      </c>
      <c r="J1062">
        <v>4.1162563308693523E-3</v>
      </c>
      <c r="K1062">
        <v>1.098179342077113E-2</v>
      </c>
      <c r="L1062" t="s">
        <v>96</v>
      </c>
      <c r="M1062">
        <v>435158.78887305659</v>
      </c>
      <c r="N1062">
        <v>-123681.9035008135</v>
      </c>
      <c r="O1062">
        <v>311476.88537224318</v>
      </c>
      <c r="P1062">
        <v>28506.598769131699</v>
      </c>
      <c r="Q1062">
        <v>3400.0380199389119</v>
      </c>
      <c r="R1062">
        <v>9070.9888200405076</v>
      </c>
      <c r="S1062" t="s">
        <v>96</v>
      </c>
      <c r="T1062">
        <v>-1292333.2069317501</v>
      </c>
    </row>
    <row r="1063" spans="1:20" x14ac:dyDescent="0.25">
      <c r="A1063" s="1" t="s">
        <v>106</v>
      </c>
      <c r="B1063">
        <v>1997</v>
      </c>
      <c r="C1063">
        <v>833913.33333333326</v>
      </c>
      <c r="D1063">
        <v>833913.33333333326</v>
      </c>
      <c r="E1063" t="s">
        <v>96</v>
      </c>
      <c r="F1063">
        <v>0.53029085960393696</v>
      </c>
      <c r="G1063">
        <v>-0.1050635291896424</v>
      </c>
      <c r="H1063">
        <v>0.42522733041429461</v>
      </c>
      <c r="I1063">
        <v>4.0701009168653712E-2</v>
      </c>
      <c r="J1063">
        <v>5.9266760011583109E-3</v>
      </c>
      <c r="K1063">
        <v>2.278147282121851E-2</v>
      </c>
      <c r="L1063" t="s">
        <v>96</v>
      </c>
      <c r="M1063">
        <v>442216.61836851772</v>
      </c>
      <c r="N1063">
        <v>-87613.877838298693</v>
      </c>
      <c r="O1063">
        <v>354602.74053021899</v>
      </c>
      <c r="P1063">
        <v>33941.11422586257</v>
      </c>
      <c r="Q1063">
        <v>4942.3341397125969</v>
      </c>
      <c r="R1063">
        <v>18997.773938585069</v>
      </c>
      <c r="S1063" t="s">
        <v>96</v>
      </c>
      <c r="T1063">
        <v>-1512441.197059528</v>
      </c>
    </row>
    <row r="1064" spans="1:20" x14ac:dyDescent="0.25">
      <c r="A1064" s="1" t="s">
        <v>106</v>
      </c>
      <c r="B1064">
        <v>1998</v>
      </c>
      <c r="C1064">
        <v>841824.16666666686</v>
      </c>
      <c r="D1064">
        <v>841824.16666666686</v>
      </c>
      <c r="E1064" t="s">
        <v>96</v>
      </c>
      <c r="F1064">
        <v>0.53211279262822087</v>
      </c>
      <c r="G1064">
        <v>-0.18216107976648321</v>
      </c>
      <c r="H1064">
        <v>0.3499517128617376</v>
      </c>
      <c r="I1064">
        <v>3.1164700216569578E-2</v>
      </c>
      <c r="J1064">
        <v>3.3431698961427061E-3</v>
      </c>
      <c r="K1064">
        <v>5.7078402173144759E-3</v>
      </c>
      <c r="L1064" t="s">
        <v>96</v>
      </c>
      <c r="M1064">
        <v>447945.40822692489</v>
      </c>
      <c r="N1064">
        <v>-153347.59917351999</v>
      </c>
      <c r="O1064">
        <v>294597.80905340501</v>
      </c>
      <c r="P1064">
        <v>26235.19778923018</v>
      </c>
      <c r="Q1064">
        <v>2814.3612118454212</v>
      </c>
      <c r="R1064">
        <v>4804.9978344072451</v>
      </c>
      <c r="S1064" t="s">
        <v>96</v>
      </c>
      <c r="T1064">
        <v>-1204325.3415926979</v>
      </c>
    </row>
    <row r="1065" spans="1:20" x14ac:dyDescent="0.25">
      <c r="A1065" s="1" t="s">
        <v>106</v>
      </c>
      <c r="B1065">
        <v>1999</v>
      </c>
      <c r="C1065">
        <v>849735</v>
      </c>
      <c r="D1065">
        <v>849735</v>
      </c>
      <c r="E1065" t="s">
        <v>96</v>
      </c>
      <c r="F1065">
        <v>0.5350833361987174</v>
      </c>
      <c r="G1065">
        <v>-0.1116112210020036</v>
      </c>
      <c r="H1065">
        <v>0.42347211519671379</v>
      </c>
      <c r="I1065">
        <v>3.9119297766369347E-2</v>
      </c>
      <c r="J1065">
        <v>5.7040984602445069E-3</v>
      </c>
      <c r="K1065">
        <v>2.1937325011576001E-2</v>
      </c>
      <c r="L1065" t="s">
        <v>96</v>
      </c>
      <c r="M1065">
        <v>454679.03868481709</v>
      </c>
      <c r="N1065">
        <v>-94839.960878137528</v>
      </c>
      <c r="O1065">
        <v>359839.07780667959</v>
      </c>
      <c r="P1065">
        <v>33241.036487505859</v>
      </c>
      <c r="Q1065">
        <v>4846.9721051158658</v>
      </c>
      <c r="R1065">
        <v>18640.91286871153</v>
      </c>
      <c r="S1065" t="s">
        <v>96</v>
      </c>
      <c r="T1065">
        <v>-1527415.9973161861</v>
      </c>
    </row>
    <row r="1066" spans="1:20" x14ac:dyDescent="0.25">
      <c r="A1066" s="1" t="s">
        <v>106</v>
      </c>
      <c r="B1066">
        <v>2000</v>
      </c>
      <c r="C1066">
        <v>857645.83333333349</v>
      </c>
      <c r="D1066">
        <v>857645.83333333349</v>
      </c>
      <c r="E1066" t="s">
        <v>96</v>
      </c>
      <c r="F1066">
        <v>0.53801787123802991</v>
      </c>
      <c r="G1066">
        <v>-0.1412492964485117</v>
      </c>
      <c r="H1066">
        <v>0.39676857478951832</v>
      </c>
      <c r="I1066">
        <v>3.6016713528025719E-2</v>
      </c>
      <c r="J1066">
        <v>4.7120019848702474E-3</v>
      </c>
      <c r="K1066">
        <v>1.5731887024827199E-2</v>
      </c>
      <c r="L1066" t="s">
        <v>96</v>
      </c>
      <c r="M1066">
        <v>461428.78552616632</v>
      </c>
      <c r="N1066">
        <v>-121141.87056033091</v>
      </c>
      <c r="O1066">
        <v>340286.91496583552</v>
      </c>
      <c r="P1066">
        <v>30889.584287671561</v>
      </c>
      <c r="Q1066">
        <v>4041.228868982364</v>
      </c>
      <c r="R1066">
        <v>13492.387357313781</v>
      </c>
      <c r="S1066" t="s">
        <v>96</v>
      </c>
      <c r="T1066">
        <v>-1425270.423426074</v>
      </c>
    </row>
    <row r="1067" spans="1:20" x14ac:dyDescent="0.25">
      <c r="A1067" s="1" t="s">
        <v>106</v>
      </c>
      <c r="B1067">
        <v>2001</v>
      </c>
      <c r="C1067">
        <v>865556.66666666686</v>
      </c>
      <c r="D1067">
        <v>865556.66666666686</v>
      </c>
      <c r="E1067" t="s">
        <v>96</v>
      </c>
      <c r="F1067">
        <v>0.5399008050926829</v>
      </c>
      <c r="G1067">
        <v>-0.1200158306834138</v>
      </c>
      <c r="H1067">
        <v>0.41988497440926908</v>
      </c>
      <c r="I1067">
        <v>3.7961430074648903E-2</v>
      </c>
      <c r="J1067">
        <v>5.2607665738120092E-3</v>
      </c>
      <c r="K1067">
        <v>1.9619631521479709E-2</v>
      </c>
      <c r="L1067" t="s">
        <v>96</v>
      </c>
      <c r="M1067">
        <v>467314.74118667241</v>
      </c>
      <c r="N1067">
        <v>-103880.5023535668</v>
      </c>
      <c r="O1067">
        <v>363434.23883310572</v>
      </c>
      <c r="P1067">
        <v>32857.768877312847</v>
      </c>
      <c r="Q1067">
        <v>4553.4915797401454</v>
      </c>
      <c r="R1067">
        <v>16981.902860960239</v>
      </c>
      <c r="S1067" t="s">
        <v>96</v>
      </c>
      <c r="T1067">
        <v>-1532033.8078875749</v>
      </c>
    </row>
    <row r="1068" spans="1:20" x14ac:dyDescent="0.25">
      <c r="A1068" s="1" t="s">
        <v>106</v>
      </c>
      <c r="B1068">
        <v>2002</v>
      </c>
      <c r="C1068">
        <v>873467.5</v>
      </c>
      <c r="D1068">
        <v>873467.5</v>
      </c>
      <c r="E1068" t="s">
        <v>96</v>
      </c>
      <c r="F1068">
        <v>0.54164686155236219</v>
      </c>
      <c r="G1068">
        <v>-0.13862273872556161</v>
      </c>
      <c r="H1068">
        <v>0.40302412282680072</v>
      </c>
      <c r="I1068">
        <v>3.5502120817622163E-2</v>
      </c>
      <c r="J1068">
        <v>4.7571120111371936E-3</v>
      </c>
      <c r="K1068">
        <v>1.596799956679279E-2</v>
      </c>
      <c r="L1068" t="s">
        <v>96</v>
      </c>
      <c r="M1068">
        <v>473110.93004298792</v>
      </c>
      <c r="N1068">
        <v>-121082.4570377694</v>
      </c>
      <c r="O1068">
        <v>352028.47300521849</v>
      </c>
      <c r="P1068">
        <v>31009.948715266379</v>
      </c>
      <c r="Q1068">
        <v>4155.1827355879777</v>
      </c>
      <c r="R1068">
        <v>13947.528661607579</v>
      </c>
      <c r="S1068" t="s">
        <v>96</v>
      </c>
      <c r="T1068">
        <v>-1470850.8214316289</v>
      </c>
    </row>
    <row r="1069" spans="1:20" x14ac:dyDescent="0.25">
      <c r="A1069" s="1" t="s">
        <v>106</v>
      </c>
      <c r="B1069">
        <v>2003</v>
      </c>
      <c r="C1069">
        <v>881378.3333333336</v>
      </c>
      <c r="D1069">
        <v>881378.3333333336</v>
      </c>
      <c r="E1069" t="s">
        <v>96</v>
      </c>
      <c r="F1069">
        <v>0.55032145015768241</v>
      </c>
      <c r="G1069">
        <v>-0.19234888399833611</v>
      </c>
      <c r="H1069">
        <v>0.35797256615934642</v>
      </c>
      <c r="I1069">
        <v>3.0457364864222139E-2</v>
      </c>
      <c r="J1069">
        <v>3.586991441381904E-3</v>
      </c>
      <c r="K1069">
        <v>6.7644821206749913E-3</v>
      </c>
      <c r="L1069" t="s">
        <v>96</v>
      </c>
      <c r="M1069">
        <v>485041.40253756137</v>
      </c>
      <c r="N1069">
        <v>-169532.1387969802</v>
      </c>
      <c r="O1069">
        <v>315509.26374058123</v>
      </c>
      <c r="P1069">
        <v>26844.46148175334</v>
      </c>
      <c r="Q1069">
        <v>3161.4965382861151</v>
      </c>
      <c r="R1069">
        <v>5962.0679773836582</v>
      </c>
      <c r="S1069" t="s">
        <v>96</v>
      </c>
      <c r="T1069">
        <v>-1288750.0623728</v>
      </c>
    </row>
    <row r="1070" spans="1:20" x14ac:dyDescent="0.25">
      <c r="A1070" s="1" t="s">
        <v>106</v>
      </c>
      <c r="B1070">
        <v>2004</v>
      </c>
      <c r="C1070">
        <v>889289.16666666686</v>
      </c>
      <c r="D1070">
        <v>889289.16666666686</v>
      </c>
      <c r="E1070" t="s">
        <v>96</v>
      </c>
      <c r="F1070">
        <v>0.5519976118954304</v>
      </c>
      <c r="G1070">
        <v>-9.9926608289799074E-2</v>
      </c>
      <c r="H1070">
        <v>0.45207100360563118</v>
      </c>
      <c r="I1070">
        <v>4.0395983320315403E-2</v>
      </c>
      <c r="J1070">
        <v>6.0575880974834328E-3</v>
      </c>
      <c r="K1070">
        <v>2.400085081414852E-2</v>
      </c>
      <c r="L1070" t="s">
        <v>96</v>
      </c>
      <c r="M1070">
        <v>490885.49628447747</v>
      </c>
      <c r="N1070">
        <v>-88863.650213861867</v>
      </c>
      <c r="O1070">
        <v>402021.84607061557</v>
      </c>
      <c r="P1070">
        <v>35923.710343603852</v>
      </c>
      <c r="Q1070">
        <v>5386.9474712209621</v>
      </c>
      <c r="R1070">
        <v>21343.69661980513</v>
      </c>
      <c r="S1070" t="s">
        <v>96</v>
      </c>
      <c r="T1070">
        <v>-1703812.7351860551</v>
      </c>
    </row>
    <row r="1071" spans="1:20" x14ac:dyDescent="0.25">
      <c r="A1071" s="1" t="s">
        <v>106</v>
      </c>
      <c r="B1071">
        <v>2005</v>
      </c>
      <c r="C1071">
        <v>897199.99999999988</v>
      </c>
      <c r="D1071">
        <v>897199.99999999988</v>
      </c>
      <c r="E1071" t="s">
        <v>96</v>
      </c>
      <c r="F1071">
        <v>0.55670362955378838</v>
      </c>
      <c r="G1071">
        <v>-0.1246231378110023</v>
      </c>
      <c r="H1071">
        <v>0.43208049174278612</v>
      </c>
      <c r="I1071">
        <v>3.7749763241160937E-2</v>
      </c>
      <c r="J1071">
        <v>5.3691072439665151E-3</v>
      </c>
      <c r="K1071">
        <v>1.9831956612895711E-2</v>
      </c>
      <c r="L1071" t="s">
        <v>96</v>
      </c>
      <c r="M1071">
        <v>499474.49643565889</v>
      </c>
      <c r="N1071">
        <v>-111811.8792440313</v>
      </c>
      <c r="O1071">
        <v>387662.61719162762</v>
      </c>
      <c r="P1071">
        <v>33869.087579969593</v>
      </c>
      <c r="Q1071">
        <v>4817.1630192867569</v>
      </c>
      <c r="R1071">
        <v>17793.231473090029</v>
      </c>
      <c r="S1071" t="s">
        <v>96</v>
      </c>
      <c r="T1071">
        <v>-1628521.0306347189</v>
      </c>
    </row>
    <row r="1072" spans="1:20" x14ac:dyDescent="0.25">
      <c r="A1072" s="1" t="s">
        <v>106</v>
      </c>
      <c r="B1072">
        <v>2006</v>
      </c>
      <c r="C1072">
        <v>897300</v>
      </c>
      <c r="D1072">
        <v>897300</v>
      </c>
      <c r="E1072" t="s">
        <v>96</v>
      </c>
      <c r="F1072">
        <v>0.56579418506501999</v>
      </c>
      <c r="G1072">
        <v>-0.1151804994879904</v>
      </c>
      <c r="H1072">
        <v>0.45061368557702958</v>
      </c>
      <c r="I1072">
        <v>3.655445732960836E-2</v>
      </c>
      <c r="J1072">
        <v>5.0853371058012806E-3</v>
      </c>
      <c r="K1072">
        <v>1.8562504747420199E-2</v>
      </c>
      <c r="L1072" t="s">
        <v>96</v>
      </c>
      <c r="M1072">
        <v>507687.12225884252</v>
      </c>
      <c r="N1072">
        <v>-103351.4621905738</v>
      </c>
      <c r="O1072">
        <v>404335.66006826871</v>
      </c>
      <c r="P1072">
        <v>32800.31456185758</v>
      </c>
      <c r="Q1072">
        <v>4563.0729850354892</v>
      </c>
      <c r="R1072">
        <v>16656.135509860149</v>
      </c>
      <c r="S1072" t="s">
        <v>96</v>
      </c>
      <c r="T1072">
        <v>-1680635.6714585661</v>
      </c>
    </row>
    <row r="1073" spans="1:20" x14ac:dyDescent="0.25">
      <c r="A1073" s="1" t="s">
        <v>106</v>
      </c>
      <c r="B1073">
        <v>2007</v>
      </c>
      <c r="C1073">
        <v>897300</v>
      </c>
      <c r="D1073">
        <v>897300</v>
      </c>
      <c r="E1073" t="s">
        <v>96</v>
      </c>
      <c r="F1073">
        <v>0.5602140428507828</v>
      </c>
      <c r="G1073">
        <v>-0.10088036271066771</v>
      </c>
      <c r="H1073">
        <v>0.45933368014011511</v>
      </c>
      <c r="I1073">
        <v>3.3468387414833267E-2</v>
      </c>
      <c r="J1073">
        <v>5.6048594500135154E-3</v>
      </c>
      <c r="K1073">
        <v>2.2695311727166542E-2</v>
      </c>
      <c r="L1073" t="s">
        <v>96</v>
      </c>
      <c r="M1073">
        <v>502680.06065000739</v>
      </c>
      <c r="N1073">
        <v>-90519.949460282136</v>
      </c>
      <c r="O1073">
        <v>412160.11118972523</v>
      </c>
      <c r="P1073">
        <v>30031.184027329891</v>
      </c>
      <c r="Q1073">
        <v>5029.2403844971268</v>
      </c>
      <c r="R1073">
        <v>20364.503212786542</v>
      </c>
      <c r="S1073" t="s">
        <v>96</v>
      </c>
      <c r="T1073">
        <v>-1714478.475652731</v>
      </c>
    </row>
    <row r="1074" spans="1:20" x14ac:dyDescent="0.25">
      <c r="A1074" s="1" t="s">
        <v>106</v>
      </c>
      <c r="B1074">
        <v>2008</v>
      </c>
      <c r="C1074">
        <v>897316.99999999988</v>
      </c>
      <c r="D1074">
        <v>897316.99999999988</v>
      </c>
      <c r="E1074" t="s">
        <v>96</v>
      </c>
      <c r="F1074">
        <v>0.55907507229167919</v>
      </c>
      <c r="G1074">
        <v>-0.1110762946939657</v>
      </c>
      <c r="H1074">
        <v>0.44799877759771339</v>
      </c>
      <c r="I1074">
        <v>4.2774771445856043E-2</v>
      </c>
      <c r="J1074">
        <v>4.8052897655317612E-3</v>
      </c>
      <c r="K1074">
        <v>1.60769743227561E-2</v>
      </c>
      <c r="L1074" t="s">
        <v>96</v>
      </c>
      <c r="M1074">
        <v>501667.56664355262</v>
      </c>
      <c r="N1074">
        <v>-99670.647525905224</v>
      </c>
      <c r="O1074">
        <v>401996.9191176474</v>
      </c>
      <c r="P1074">
        <v>38382.529589481201</v>
      </c>
      <c r="Q1074">
        <v>4311.8681965376627</v>
      </c>
      <c r="R1074">
        <v>14426.142368372541</v>
      </c>
      <c r="S1074" t="s">
        <v>96</v>
      </c>
      <c r="T1074">
        <v>-1683430.683997629</v>
      </c>
    </row>
    <row r="1075" spans="1:20" x14ac:dyDescent="0.25">
      <c r="A1075" s="1" t="s">
        <v>106</v>
      </c>
      <c r="B1075">
        <v>2009</v>
      </c>
      <c r="C1075">
        <v>897334</v>
      </c>
      <c r="D1075">
        <v>897334</v>
      </c>
      <c r="E1075" t="s">
        <v>96</v>
      </c>
      <c r="F1075">
        <v>0.53288257580958398</v>
      </c>
      <c r="G1075">
        <v>-9.4980891711377705E-2</v>
      </c>
      <c r="H1075">
        <v>0.43790168409820629</v>
      </c>
      <c r="I1075">
        <v>5.6187306492488688E-2</v>
      </c>
      <c r="J1075">
        <v>5.5251606839697371E-3</v>
      </c>
      <c r="K1075">
        <v>2.1743108315351631E-2</v>
      </c>
      <c r="L1075" t="s">
        <v>96</v>
      </c>
      <c r="M1075">
        <v>478173.65328151733</v>
      </c>
      <c r="N1075">
        <v>-85229.583482937407</v>
      </c>
      <c r="O1075">
        <v>392944.06979857979</v>
      </c>
      <c r="P1075">
        <v>50418.780484130853</v>
      </c>
      <c r="Q1075">
        <v>4957.9145371893001</v>
      </c>
      <c r="R1075">
        <v>19510.83035704774</v>
      </c>
      <c r="S1075" t="s">
        <v>96</v>
      </c>
      <c r="T1075">
        <v>-1715382.5156489641</v>
      </c>
    </row>
    <row r="1076" spans="1:20" x14ac:dyDescent="0.25">
      <c r="A1076" s="1" t="s">
        <v>106</v>
      </c>
      <c r="B1076">
        <v>2010</v>
      </c>
      <c r="C1076">
        <v>897334.79999999993</v>
      </c>
      <c r="D1076">
        <v>897334.79999999993</v>
      </c>
      <c r="E1076" t="s">
        <v>96</v>
      </c>
      <c r="F1076">
        <v>0.51383093281815728</v>
      </c>
      <c r="G1076">
        <v>-0.1016577333138588</v>
      </c>
      <c r="H1076">
        <v>0.41217319950429848</v>
      </c>
      <c r="I1076">
        <v>5.2157245979558918E-2</v>
      </c>
      <c r="J1076">
        <v>5.0757995406317223E-3</v>
      </c>
      <c r="K1076">
        <v>2.2478114958646451E-2</v>
      </c>
      <c r="L1076" t="s">
        <v>96</v>
      </c>
      <c r="M1076">
        <v>461078.37733419461</v>
      </c>
      <c r="N1076">
        <v>-91221.021791644816</v>
      </c>
      <c r="O1076">
        <v>369857.35554254981</v>
      </c>
      <c r="P1076">
        <v>46802.511889618298</v>
      </c>
      <c r="Q1076">
        <v>4554.6915656328583</v>
      </c>
      <c r="R1076">
        <v>20170.39479079402</v>
      </c>
      <c r="S1076" t="s">
        <v>96</v>
      </c>
      <c r="T1076">
        <v>-1618411.4972249949</v>
      </c>
    </row>
    <row r="1077" spans="1:20" x14ac:dyDescent="0.25">
      <c r="A1077" s="1" t="s">
        <v>106</v>
      </c>
      <c r="B1077">
        <v>2011</v>
      </c>
      <c r="C1077">
        <v>897499.7</v>
      </c>
      <c r="D1077">
        <v>897499.7</v>
      </c>
      <c r="E1077" t="s">
        <v>96</v>
      </c>
      <c r="F1077">
        <v>0.49822796753706039</v>
      </c>
      <c r="G1077">
        <v>-0.16362080231189441</v>
      </c>
      <c r="H1077">
        <v>0.33460716522516593</v>
      </c>
      <c r="I1077">
        <v>4.3183223715929753E-2</v>
      </c>
      <c r="J1077">
        <v>3.6385590434457301E-3</v>
      </c>
      <c r="K1077">
        <v>1.2073739668231579E-2</v>
      </c>
      <c r="L1077" t="s">
        <v>96</v>
      </c>
      <c r="M1077">
        <v>447159.45139612141</v>
      </c>
      <c r="N1077">
        <v>-146849.62098868459</v>
      </c>
      <c r="O1077">
        <v>300309.83040743682</v>
      </c>
      <c r="P1077">
        <v>38756.930330079827</v>
      </c>
      <c r="Q1077">
        <v>3265.6056499248289</v>
      </c>
      <c r="R1077">
        <v>10836.17773011594</v>
      </c>
      <c r="S1077" t="s">
        <v>96</v>
      </c>
      <c r="T1077">
        <v>-1294951.3284311621</v>
      </c>
    </row>
    <row r="1078" spans="1:20" x14ac:dyDescent="0.25">
      <c r="A1078" s="1" t="s">
        <v>106</v>
      </c>
      <c r="B1078">
        <v>2012</v>
      </c>
      <c r="C1078">
        <v>898136.00000000023</v>
      </c>
      <c r="D1078">
        <v>898136.00000000023</v>
      </c>
      <c r="E1078" t="s">
        <v>96</v>
      </c>
      <c r="F1078">
        <v>0.48483874095346841</v>
      </c>
      <c r="G1078">
        <v>-0.22624245177379909</v>
      </c>
      <c r="H1078">
        <v>0.25859628917966931</v>
      </c>
      <c r="I1078">
        <v>3.112269871385253E-2</v>
      </c>
      <c r="J1078">
        <v>5.3029478726902271E-4</v>
      </c>
      <c r="K1078">
        <v>-9.8534520307888476E-3</v>
      </c>
      <c r="L1078" t="s">
        <v>96</v>
      </c>
      <c r="M1078">
        <v>435451.12744498439</v>
      </c>
      <c r="N1078">
        <v>-203196.49066631289</v>
      </c>
      <c r="O1078">
        <v>232254.6367786715</v>
      </c>
      <c r="P1078">
        <v>27952.41613206466</v>
      </c>
      <c r="Q1078">
        <v>476.27683905865109</v>
      </c>
      <c r="R1078">
        <v>-8849.7399931245745</v>
      </c>
      <c r="S1078" t="s">
        <v>96</v>
      </c>
      <c r="T1078">
        <v>-923389.82910787454</v>
      </c>
    </row>
    <row r="1079" spans="1:20" x14ac:dyDescent="0.25">
      <c r="A1079" s="1" t="s">
        <v>106</v>
      </c>
      <c r="B1079">
        <v>2013</v>
      </c>
      <c r="C1079">
        <v>898127.42637789994</v>
      </c>
      <c r="D1079">
        <v>898127.42637789994</v>
      </c>
      <c r="E1079" t="s">
        <v>96</v>
      </c>
      <c r="F1079">
        <v>0.4681242327141113</v>
      </c>
      <c r="G1079">
        <v>-0.10897453850844641</v>
      </c>
      <c r="H1079">
        <v>0.35914969420566489</v>
      </c>
      <c r="I1079">
        <v>4.0924696826770697E-2</v>
      </c>
      <c r="J1079">
        <v>4.3364633072492786E-3</v>
      </c>
      <c r="K1079">
        <v>1.6404832099842399E-2</v>
      </c>
      <c r="L1079" t="s">
        <v>96</v>
      </c>
      <c r="M1079">
        <v>420435.21235265391</v>
      </c>
      <c r="N1079">
        <v>-97873.021811310275</v>
      </c>
      <c r="O1079">
        <v>322562.19054134359</v>
      </c>
      <c r="P1079">
        <v>36755.592636323381</v>
      </c>
      <c r="Q1079">
        <v>3894.696629721991</v>
      </c>
      <c r="R1079">
        <v>14733.62963399302</v>
      </c>
      <c r="S1079" t="s">
        <v>96</v>
      </c>
      <c r="T1079">
        <v>-1385802.4012851929</v>
      </c>
    </row>
    <row r="1080" spans="1:20" x14ac:dyDescent="0.25">
      <c r="A1080" s="1" t="s">
        <v>106</v>
      </c>
      <c r="B1080">
        <v>2014</v>
      </c>
      <c r="C1080">
        <v>898114.82836789987</v>
      </c>
      <c r="D1080">
        <v>898114.82836789987</v>
      </c>
      <c r="E1080" t="s">
        <v>96</v>
      </c>
      <c r="F1080">
        <v>0.44864472961204249</v>
      </c>
      <c r="G1080">
        <v>-0.14330623757020511</v>
      </c>
      <c r="H1080">
        <v>0.30533849204183738</v>
      </c>
      <c r="I1080">
        <v>3.6084535290821583E-2</v>
      </c>
      <c r="J1080">
        <v>3.6783891400273519E-3</v>
      </c>
      <c r="K1080">
        <v>1.2615655400176101E-2</v>
      </c>
      <c r="L1080" t="s">
        <v>96</v>
      </c>
      <c r="M1080">
        <v>402934.48433368251</v>
      </c>
      <c r="N1080">
        <v>-128705.4569594143</v>
      </c>
      <c r="O1080">
        <v>274229.02737426822</v>
      </c>
      <c r="P1080">
        <v>32408.05621945165</v>
      </c>
      <c r="Q1080">
        <v>3303.615831166012</v>
      </c>
      <c r="R1080">
        <v>11330.307184477721</v>
      </c>
      <c r="S1080" t="s">
        <v>96</v>
      </c>
      <c r="T1080">
        <v>-1177993.6909011069</v>
      </c>
    </row>
    <row r="1081" spans="1:20" x14ac:dyDescent="0.25">
      <c r="A1081" s="1" t="s">
        <v>106</v>
      </c>
      <c r="B1081">
        <v>2015</v>
      </c>
      <c r="C1081">
        <v>897012.2</v>
      </c>
      <c r="D1081">
        <v>897012.2</v>
      </c>
      <c r="E1081" t="s">
        <v>96</v>
      </c>
      <c r="F1081">
        <v>0.43262845339323508</v>
      </c>
      <c r="G1081">
        <v>-0.13940568655798499</v>
      </c>
      <c r="H1081">
        <v>0.29322276683525011</v>
      </c>
      <c r="I1081">
        <v>3.5457363063509231E-2</v>
      </c>
      <c r="J1081">
        <v>4.2678624738899341E-3</v>
      </c>
      <c r="K1081">
        <v>1.6754488429835269E-2</v>
      </c>
      <c r="L1081" t="s">
        <v>96</v>
      </c>
      <c r="M1081">
        <v>388073.00076086319</v>
      </c>
      <c r="N1081">
        <v>-125048.6015918885</v>
      </c>
      <c r="O1081">
        <v>263024.39916897472</v>
      </c>
      <c r="P1081">
        <v>31805.687247797159</v>
      </c>
      <c r="Q1081">
        <v>3828.3247070014522</v>
      </c>
      <c r="R1081">
        <v>15028.98052632108</v>
      </c>
      <c r="S1081" t="s">
        <v>96</v>
      </c>
      <c r="T1081">
        <v>-1150187.1027171169</v>
      </c>
    </row>
    <row r="1082" spans="1:20" x14ac:dyDescent="0.25">
      <c r="A1082" s="1" t="s">
        <v>106</v>
      </c>
      <c r="B1082">
        <v>2016</v>
      </c>
      <c r="C1082">
        <v>897014.4</v>
      </c>
      <c r="D1082">
        <v>897014.4</v>
      </c>
      <c r="E1082" t="s">
        <v>96</v>
      </c>
      <c r="F1082">
        <v>0.42134579905104502</v>
      </c>
      <c r="G1082">
        <v>-0.15318623951539659</v>
      </c>
      <c r="H1082">
        <v>0.26815955953564852</v>
      </c>
      <c r="I1082">
        <v>2.859081358888562E-2</v>
      </c>
      <c r="J1082">
        <v>2.694717082227903E-3</v>
      </c>
      <c r="K1082">
        <v>6.3991082697026367E-3</v>
      </c>
      <c r="L1082" t="s">
        <v>96</v>
      </c>
      <c r="M1082">
        <v>377953.24912829371</v>
      </c>
      <c r="N1082">
        <v>-137410.26272715969</v>
      </c>
      <c r="O1082">
        <v>240542.986401134</v>
      </c>
      <c r="P1082">
        <v>25646.371496946089</v>
      </c>
      <c r="Q1082">
        <v>2417.2000266844129</v>
      </c>
      <c r="R1082">
        <v>5740.0922650823486</v>
      </c>
      <c r="S1082" t="s">
        <v>96</v>
      </c>
      <c r="T1082">
        <v>-1005937.717362863</v>
      </c>
    </row>
    <row r="1083" spans="1:20" x14ac:dyDescent="0.25">
      <c r="A1083" s="1" t="s">
        <v>106</v>
      </c>
      <c r="B1083">
        <v>2017</v>
      </c>
      <c r="C1083">
        <v>897016.39999999991</v>
      </c>
      <c r="D1083">
        <v>897016.39999999991</v>
      </c>
      <c r="E1083" t="s">
        <v>96</v>
      </c>
      <c r="F1083">
        <v>0.41155765864609151</v>
      </c>
      <c r="G1083">
        <v>-0.13451178837474631</v>
      </c>
      <c r="H1083">
        <v>0.2770458702713452</v>
      </c>
      <c r="I1083">
        <v>3.1746853128492812E-2</v>
      </c>
      <c r="J1083">
        <v>3.893043541081775E-3</v>
      </c>
      <c r="K1083">
        <v>1.5430876017730549E-2</v>
      </c>
      <c r="L1083" t="s">
        <v>96</v>
      </c>
      <c r="M1083">
        <v>369173.96935114579</v>
      </c>
      <c r="N1083">
        <v>-120659.2801654768</v>
      </c>
      <c r="O1083">
        <v>248514.68918566909</v>
      </c>
      <c r="P1083">
        <v>28477.447904649362</v>
      </c>
      <c r="Q1083">
        <v>3492.1239022644249</v>
      </c>
      <c r="R1083">
        <v>13841.748854270991</v>
      </c>
      <c r="S1083" t="s">
        <v>96</v>
      </c>
      <c r="T1083">
        <v>-1079195.3694385621</v>
      </c>
    </row>
    <row r="1084" spans="1:20" x14ac:dyDescent="0.25">
      <c r="A1084" s="1" t="s">
        <v>106</v>
      </c>
      <c r="B1084">
        <v>2018</v>
      </c>
      <c r="C1084">
        <v>897015.89999999991</v>
      </c>
      <c r="D1084">
        <v>897015.89999999991</v>
      </c>
      <c r="E1084" t="s">
        <v>96</v>
      </c>
      <c r="F1084">
        <v>0.41174394986105578</v>
      </c>
      <c r="G1084">
        <v>-0.14345024162842471</v>
      </c>
      <c r="H1084">
        <v>0.2682937082326311</v>
      </c>
      <c r="I1084">
        <v>2.7599565364662151E-2</v>
      </c>
      <c r="J1084">
        <v>2.869976045631576E-3</v>
      </c>
      <c r="K1084">
        <v>9.2944050193882518E-3</v>
      </c>
      <c r="L1084" t="s">
        <v>96</v>
      </c>
      <c r="M1084">
        <v>369340.86975416978</v>
      </c>
      <c r="N1084">
        <v>-128677.1475995389</v>
      </c>
      <c r="O1084">
        <v>240663.72215463099</v>
      </c>
      <c r="P1084">
        <v>24757.24896519124</v>
      </c>
      <c r="Q1084">
        <v>2574.4141455506492</v>
      </c>
      <c r="R1084">
        <v>8337.2290834310697</v>
      </c>
      <c r="S1084" t="s">
        <v>96</v>
      </c>
      <c r="T1084">
        <v>-1013219.585945707</v>
      </c>
    </row>
    <row r="1085" spans="1:20" x14ac:dyDescent="0.25">
      <c r="A1085" s="1" t="s">
        <v>106</v>
      </c>
      <c r="B1085">
        <v>2019</v>
      </c>
      <c r="C1085">
        <v>897012.39999999991</v>
      </c>
      <c r="D1085">
        <v>897012.39999999991</v>
      </c>
      <c r="E1085" t="s">
        <v>96</v>
      </c>
      <c r="F1085">
        <v>0.42531404155738778</v>
      </c>
      <c r="G1085">
        <v>-0.173324004380635</v>
      </c>
      <c r="H1085">
        <v>0.25199003717675278</v>
      </c>
      <c r="I1085">
        <v>2.768497634062448E-2</v>
      </c>
      <c r="J1085">
        <v>2.6887430395049162E-3</v>
      </c>
      <c r="K1085">
        <v>8.2826945413704469E-3</v>
      </c>
      <c r="L1085" t="s">
        <v>96</v>
      </c>
      <c r="M1085">
        <v>381511.96917109209</v>
      </c>
      <c r="N1085">
        <v>-155473.78114708391</v>
      </c>
      <c r="O1085">
        <v>226038.18802400821</v>
      </c>
      <c r="P1085">
        <v>24833.767071246781</v>
      </c>
      <c r="Q1085">
        <v>2411.835846849599</v>
      </c>
      <c r="R1085">
        <v>7429.6797090216023</v>
      </c>
      <c r="S1085" t="s">
        <v>96</v>
      </c>
      <c r="T1085">
        <v>-955949.39238754963</v>
      </c>
    </row>
    <row r="1086" spans="1:20" x14ac:dyDescent="0.25">
      <c r="A1086" s="1" t="s">
        <v>106</v>
      </c>
      <c r="B1086">
        <v>2020</v>
      </c>
      <c r="C1086">
        <v>897019.7</v>
      </c>
      <c r="D1086">
        <v>897019.7</v>
      </c>
      <c r="E1086" t="s">
        <v>96</v>
      </c>
      <c r="F1086">
        <v>0.42082631984274521</v>
      </c>
      <c r="G1086">
        <v>-0.13938833921865221</v>
      </c>
      <c r="H1086">
        <v>0.28143798062409298</v>
      </c>
      <c r="I1086">
        <v>3.023412818060537E-2</v>
      </c>
      <c r="J1086">
        <v>3.1317798674146179E-3</v>
      </c>
      <c r="K1086">
        <v>1.1583136848441609E-2</v>
      </c>
      <c r="L1086" t="s">
        <v>96</v>
      </c>
      <c r="M1086">
        <v>377489.49917744327</v>
      </c>
      <c r="N1086">
        <v>-125034.0862294136</v>
      </c>
      <c r="O1086">
        <v>252455.4129480297</v>
      </c>
      <c r="P1086">
        <v>27120.608590328171</v>
      </c>
      <c r="Q1086">
        <v>2809.2682371342999</v>
      </c>
      <c r="R1086">
        <v>10390.30194084804</v>
      </c>
      <c r="S1086" t="s">
        <v>96</v>
      </c>
      <c r="T1086">
        <v>-1073510.5029600121</v>
      </c>
    </row>
    <row r="1087" spans="1:20" x14ac:dyDescent="0.25">
      <c r="A1087" s="1" t="s">
        <v>106</v>
      </c>
      <c r="B1087">
        <v>2021</v>
      </c>
      <c r="C1087">
        <v>896982.8</v>
      </c>
      <c r="D1087">
        <v>896982.8</v>
      </c>
      <c r="E1087" t="s">
        <v>96</v>
      </c>
      <c r="F1087">
        <v>0.42347605660892129</v>
      </c>
      <c r="G1087">
        <v>-0.179438358453131</v>
      </c>
      <c r="H1087">
        <v>0.24403769815579029</v>
      </c>
      <c r="I1087">
        <v>1.6841187886636869E-2</v>
      </c>
      <c r="J1087">
        <v>-5.7935690106211549E-4</v>
      </c>
      <c r="K1087">
        <v>-1.155619337081803E-2</v>
      </c>
      <c r="L1087" t="s">
        <v>96</v>
      </c>
      <c r="M1087">
        <v>379850.73899002868</v>
      </c>
      <c r="N1087">
        <v>-160953.1211926931</v>
      </c>
      <c r="O1087">
        <v>218897.61779733561</v>
      </c>
      <c r="P1087">
        <v>15106.25586588162</v>
      </c>
      <c r="Q1087">
        <v>-519.67317531401932</v>
      </c>
      <c r="R1087">
        <v>-10365.7066870978</v>
      </c>
      <c r="S1087" t="s">
        <v>96</v>
      </c>
      <c r="T1087">
        <v>-818101.14393636107</v>
      </c>
    </row>
    <row r="1088" spans="1:20" x14ac:dyDescent="0.25">
      <c r="A1088" s="1" t="s">
        <v>106</v>
      </c>
      <c r="B1088">
        <v>2022</v>
      </c>
      <c r="C1088">
        <v>896992.10000000021</v>
      </c>
      <c r="D1088">
        <v>896992.10000000021</v>
      </c>
      <c r="E1088" t="s">
        <v>96</v>
      </c>
      <c r="F1088">
        <v>0.41616325874230292</v>
      </c>
      <c r="G1088">
        <v>-0.1181370250523886</v>
      </c>
      <c r="H1088">
        <v>0.29802623368991432</v>
      </c>
      <c r="I1088">
        <v>3.5674152690078308E-2</v>
      </c>
      <c r="J1088">
        <v>4.9267401800922933E-3</v>
      </c>
      <c r="K1088">
        <v>2.3436399228100931E-2</v>
      </c>
      <c r="L1088" t="s">
        <v>96</v>
      </c>
      <c r="M1088">
        <v>373295.15540210169</v>
      </c>
      <c r="N1088">
        <v>-105967.97818949461</v>
      </c>
      <c r="O1088">
        <v>267327.17721260712</v>
      </c>
      <c r="P1088">
        <v>31999.433137193999</v>
      </c>
      <c r="Q1088">
        <v>4419.2470202953646</v>
      </c>
      <c r="R1088">
        <v>21022.264960052631</v>
      </c>
      <c r="S1088" t="s">
        <v>96</v>
      </c>
      <c r="T1088">
        <v>-1190816.4485439879</v>
      </c>
    </row>
    <row r="1089" spans="1:20" x14ac:dyDescent="0.25">
      <c r="A1089" s="1" t="s">
        <v>106</v>
      </c>
      <c r="B1089">
        <v>2023</v>
      </c>
      <c r="C1089">
        <v>897267</v>
      </c>
      <c r="D1089">
        <v>897267</v>
      </c>
      <c r="E1089" t="s">
        <v>96</v>
      </c>
      <c r="F1089">
        <v>0.41224766444526673</v>
      </c>
      <c r="G1089">
        <v>-0.12614642707178081</v>
      </c>
      <c r="H1089">
        <v>0.28610123737348592</v>
      </c>
      <c r="I1089">
        <v>3.6033376827458927E-2</v>
      </c>
      <c r="J1089">
        <v>4.5457537404641904E-3</v>
      </c>
      <c r="K1089">
        <v>2.1354127308613611E-2</v>
      </c>
      <c r="L1089" t="s">
        <v>96</v>
      </c>
      <c r="M1089">
        <v>369896.22513381112</v>
      </c>
      <c r="N1089">
        <v>-113187.02617941549</v>
      </c>
      <c r="O1089">
        <v>256709.19895439551</v>
      </c>
      <c r="P1089">
        <v>32331.55992584359</v>
      </c>
      <c r="Q1089">
        <v>4078.7548214450821</v>
      </c>
      <c r="R1089">
        <v>19160.353747817811</v>
      </c>
      <c r="S1089" t="s">
        <v>96</v>
      </c>
      <c r="T1089">
        <v>-1145026.180648278</v>
      </c>
    </row>
    <row r="1090" spans="1:20" x14ac:dyDescent="0.25">
      <c r="A1090" s="1" t="s">
        <v>46</v>
      </c>
      <c r="B1090">
        <v>1990</v>
      </c>
      <c r="C1090">
        <v>1988.989</v>
      </c>
      <c r="D1090">
        <v>1988.989</v>
      </c>
      <c r="E1090" t="s">
        <v>96</v>
      </c>
      <c r="F1090">
        <v>2.0948210464858512</v>
      </c>
      <c r="G1090">
        <v>-1.2026589705482309</v>
      </c>
      <c r="H1090">
        <v>0.89216207593761943</v>
      </c>
      <c r="I1090">
        <v>0.08</v>
      </c>
      <c r="J1090">
        <v>3.752380229352701E-2</v>
      </c>
      <c r="K1090">
        <v>0.12963909503773019</v>
      </c>
      <c r="L1090" t="s">
        <v>96</v>
      </c>
      <c r="M1090">
        <v>4166.5760184288456</v>
      </c>
      <c r="N1090">
        <v>-2392.0754631717559</v>
      </c>
      <c r="O1090">
        <v>1774.5005552570899</v>
      </c>
      <c r="P1090">
        <v>159.11912000000001</v>
      </c>
      <c r="Q1090">
        <v>74.634429999999995</v>
      </c>
      <c r="R1090">
        <v>257.85073399999999</v>
      </c>
      <c r="S1090" t="s">
        <v>96</v>
      </c>
      <c r="T1090">
        <v>-8309.0510772767502</v>
      </c>
    </row>
    <row r="1091" spans="1:20" x14ac:dyDescent="0.25">
      <c r="A1091" s="1" t="s">
        <v>46</v>
      </c>
      <c r="B1091">
        <v>1991</v>
      </c>
      <c r="C1091">
        <v>1989.9639999999999</v>
      </c>
      <c r="D1091">
        <v>1989.9639999999999</v>
      </c>
      <c r="E1091" t="s">
        <v>96</v>
      </c>
      <c r="F1091">
        <v>2.0960509962516278</v>
      </c>
      <c r="G1091">
        <v>-1.015014795568226</v>
      </c>
      <c r="H1091">
        <v>1.0810362006834029</v>
      </c>
      <c r="I1091">
        <v>7.9999999999999988E-2</v>
      </c>
      <c r="J1091">
        <v>3.6737340474501043E-2</v>
      </c>
      <c r="K1091">
        <v>0.12713824069179139</v>
      </c>
      <c r="L1091" t="s">
        <v>96</v>
      </c>
      <c r="M1091">
        <v>4171.0660247048754</v>
      </c>
      <c r="N1091">
        <v>-2019.842902648129</v>
      </c>
      <c r="O1091">
        <v>2151.223122056746</v>
      </c>
      <c r="P1091">
        <v>159.19712000000001</v>
      </c>
      <c r="Q1091">
        <v>73.10598499999999</v>
      </c>
      <c r="R1091">
        <v>253.00052199999999</v>
      </c>
      <c r="S1091" t="s">
        <v>96</v>
      </c>
      <c r="T1091">
        <v>-9667.2647465422815</v>
      </c>
    </row>
    <row r="1092" spans="1:20" x14ac:dyDescent="0.25">
      <c r="A1092" s="1" t="s">
        <v>46</v>
      </c>
      <c r="B1092">
        <v>1992</v>
      </c>
      <c r="C1092">
        <v>1991.107</v>
      </c>
      <c r="D1092">
        <v>1991.107</v>
      </c>
      <c r="E1092" t="s">
        <v>96</v>
      </c>
      <c r="F1092">
        <v>2.111444065602778</v>
      </c>
      <c r="G1092">
        <v>-0.92087116397395852</v>
      </c>
      <c r="H1092">
        <v>1.19057290162882</v>
      </c>
      <c r="I1092">
        <v>8.0000000000000016E-2</v>
      </c>
      <c r="J1092">
        <v>3.6153707460221868E-2</v>
      </c>
      <c r="K1092">
        <v>0.12511596112112511</v>
      </c>
      <c r="L1092" t="s">
        <v>96</v>
      </c>
      <c r="M1092">
        <v>4204.1110591301513</v>
      </c>
      <c r="N1092">
        <v>-1833.553020686697</v>
      </c>
      <c r="O1092">
        <v>2370.5580384434552</v>
      </c>
      <c r="P1092">
        <v>159.28855999999999</v>
      </c>
      <c r="Q1092">
        <v>71.985900000000001</v>
      </c>
      <c r="R1092">
        <v>249.11926600000001</v>
      </c>
      <c r="S1092" t="s">
        <v>96</v>
      </c>
      <c r="T1092">
        <v>-10453.489802960279</v>
      </c>
    </row>
    <row r="1093" spans="1:20" x14ac:dyDescent="0.25">
      <c r="A1093" s="1" t="s">
        <v>46</v>
      </c>
      <c r="B1093">
        <v>1993</v>
      </c>
      <c r="C1093">
        <v>1991.463</v>
      </c>
      <c r="D1093">
        <v>1991.463</v>
      </c>
      <c r="E1093" t="s">
        <v>96</v>
      </c>
      <c r="F1093">
        <v>2.1276862261958311</v>
      </c>
      <c r="G1093">
        <v>-0.94111169351607693</v>
      </c>
      <c r="H1093">
        <v>1.1865745326797541</v>
      </c>
      <c r="I1093">
        <v>8.0000000000000016E-2</v>
      </c>
      <c r="J1093">
        <v>3.5253253512618613E-2</v>
      </c>
      <c r="K1093">
        <v>0.1223269174471231</v>
      </c>
      <c r="L1093" t="s">
        <v>96</v>
      </c>
      <c r="M1093">
        <v>4237.2083950786282</v>
      </c>
      <c r="N1093">
        <v>-1874.189116504607</v>
      </c>
      <c r="O1093">
        <v>2363.019278574021</v>
      </c>
      <c r="P1093">
        <v>159.31703999999999</v>
      </c>
      <c r="Q1093">
        <v>70.205550000000002</v>
      </c>
      <c r="R1093">
        <v>243.60953000000001</v>
      </c>
      <c r="S1093" t="s">
        <v>96</v>
      </c>
      <c r="T1093">
        <v>-10399.22179477236</v>
      </c>
    </row>
    <row r="1094" spans="1:20" x14ac:dyDescent="0.25">
      <c r="A1094" s="1" t="s">
        <v>46</v>
      </c>
      <c r="B1094">
        <v>1994</v>
      </c>
      <c r="C1094">
        <v>1991.671</v>
      </c>
      <c r="D1094">
        <v>1991.671</v>
      </c>
      <c r="E1094" t="s">
        <v>96</v>
      </c>
      <c r="F1094">
        <v>2.1467982275161042</v>
      </c>
      <c r="G1094">
        <v>-1.092787143309772</v>
      </c>
      <c r="H1094">
        <v>1.054011084206333</v>
      </c>
      <c r="I1094">
        <v>8.0000000000000016E-2</v>
      </c>
      <c r="J1094">
        <v>3.2921062263797582E-2</v>
      </c>
      <c r="K1094">
        <v>0.1144512351688607</v>
      </c>
      <c r="L1094" t="s">
        <v>96</v>
      </c>
      <c r="M1094">
        <v>4275.7157725952266</v>
      </c>
      <c r="N1094">
        <v>-2176.4724625029162</v>
      </c>
      <c r="O1094">
        <v>2099.2433100923108</v>
      </c>
      <c r="P1094">
        <v>159.33367999999999</v>
      </c>
      <c r="Q1094">
        <v>65.567924999999988</v>
      </c>
      <c r="R1094">
        <v>227.949206</v>
      </c>
      <c r="S1094" t="s">
        <v>96</v>
      </c>
      <c r="T1094">
        <v>-9357.678444005991</v>
      </c>
    </row>
    <row r="1095" spans="1:20" x14ac:dyDescent="0.25">
      <c r="A1095" s="1" t="s">
        <v>46</v>
      </c>
      <c r="B1095">
        <v>1995</v>
      </c>
      <c r="C1095">
        <v>1992.2570000000001</v>
      </c>
      <c r="D1095">
        <v>1992.2570000000001</v>
      </c>
      <c r="E1095" t="s">
        <v>96</v>
      </c>
      <c r="F1095">
        <v>2.166455365779731</v>
      </c>
      <c r="G1095">
        <v>-1.189073960123733</v>
      </c>
      <c r="H1095">
        <v>0.97738140565599829</v>
      </c>
      <c r="I1095">
        <v>0.08</v>
      </c>
      <c r="J1095">
        <v>2.7181493150733059E-2</v>
      </c>
      <c r="K1095">
        <v>9.4650540567808264E-2</v>
      </c>
      <c r="L1095" t="s">
        <v>96</v>
      </c>
      <c r="M1095">
        <v>4316.1358676622303</v>
      </c>
      <c r="N1095">
        <v>-2368.9409205742281</v>
      </c>
      <c r="O1095">
        <v>1947.194947088002</v>
      </c>
      <c r="P1095">
        <v>159.38056</v>
      </c>
      <c r="Q1095">
        <v>54.152520000000003</v>
      </c>
      <c r="R1095">
        <v>188.56820200000001</v>
      </c>
      <c r="S1095" t="s">
        <v>96</v>
      </c>
      <c r="T1095">
        <v>-8614.0861733234578</v>
      </c>
    </row>
    <row r="1096" spans="1:20" x14ac:dyDescent="0.25">
      <c r="A1096" s="1" t="s">
        <v>46</v>
      </c>
      <c r="B1096">
        <v>1996</v>
      </c>
      <c r="C1096">
        <v>1993.366</v>
      </c>
      <c r="D1096">
        <v>1993.366</v>
      </c>
      <c r="E1096" t="s">
        <v>96</v>
      </c>
      <c r="F1096">
        <v>2.1832660808860211</v>
      </c>
      <c r="G1096">
        <v>-1.2135752527308781</v>
      </c>
      <c r="H1096">
        <v>0.96969082815514329</v>
      </c>
      <c r="I1096">
        <v>0.08</v>
      </c>
      <c r="J1096">
        <v>2.600883129340021E-2</v>
      </c>
      <c r="K1096">
        <v>9.0570249517650039E-2</v>
      </c>
      <c r="L1096" t="s">
        <v>96</v>
      </c>
      <c r="M1096">
        <v>4352.0483745914444</v>
      </c>
      <c r="N1096">
        <v>-2419.0996472351389</v>
      </c>
      <c r="O1096">
        <v>1932.948727356305</v>
      </c>
      <c r="P1096">
        <v>159.46928</v>
      </c>
      <c r="Q1096">
        <v>51.845120000000001</v>
      </c>
      <c r="R1096">
        <v>180.53965600000001</v>
      </c>
      <c r="S1096" t="s">
        <v>96</v>
      </c>
      <c r="T1096">
        <v>-8524.2768723072277</v>
      </c>
    </row>
    <row r="1097" spans="1:20" x14ac:dyDescent="0.25">
      <c r="A1097" s="1" t="s">
        <v>46</v>
      </c>
      <c r="B1097">
        <v>1997</v>
      </c>
      <c r="C1097">
        <v>1996.373</v>
      </c>
      <c r="D1097">
        <v>1996.373</v>
      </c>
      <c r="E1097" t="s">
        <v>96</v>
      </c>
      <c r="F1097">
        <v>2.2263162833055441</v>
      </c>
      <c r="G1097">
        <v>-1.318534743968744</v>
      </c>
      <c r="H1097">
        <v>0.90778153933680017</v>
      </c>
      <c r="I1097">
        <v>0.08</v>
      </c>
      <c r="J1097">
        <v>2.5565335235449491E-2</v>
      </c>
      <c r="K1097">
        <v>8.9631282330506365E-2</v>
      </c>
      <c r="L1097" t="s">
        <v>96</v>
      </c>
      <c r="M1097">
        <v>4444.5577174515392</v>
      </c>
      <c r="N1097">
        <v>-2632.287162421113</v>
      </c>
      <c r="O1097">
        <v>1812.2705550304261</v>
      </c>
      <c r="P1097">
        <v>159.70984000000001</v>
      </c>
      <c r="Q1097">
        <v>51.037945000000001</v>
      </c>
      <c r="R1097">
        <v>178.93747200000001</v>
      </c>
      <c r="S1097" t="s">
        <v>96</v>
      </c>
      <c r="T1097">
        <v>-8073.8379774456289</v>
      </c>
    </row>
    <row r="1098" spans="1:20" x14ac:dyDescent="0.25">
      <c r="A1098" s="1" t="s">
        <v>46</v>
      </c>
      <c r="B1098">
        <v>1998</v>
      </c>
      <c r="C1098">
        <v>1998.2829999999999</v>
      </c>
      <c r="D1098">
        <v>1998.2829999999999</v>
      </c>
      <c r="E1098" t="s">
        <v>96</v>
      </c>
      <c r="F1098">
        <v>2.2542288268427888</v>
      </c>
      <c r="G1098">
        <v>-1.2355836471268049</v>
      </c>
      <c r="H1098">
        <v>1.0186451797159839</v>
      </c>
      <c r="I1098">
        <v>0.08</v>
      </c>
      <c r="J1098">
        <v>2.432141243257336E-2</v>
      </c>
      <c r="K1098">
        <v>8.4902256587280178E-2</v>
      </c>
      <c r="L1098" t="s">
        <v>96</v>
      </c>
      <c r="M1098">
        <v>4504.5871427898892</v>
      </c>
      <c r="N1098">
        <v>-2469.0457971314941</v>
      </c>
      <c r="O1098">
        <v>2035.5413456583949</v>
      </c>
      <c r="P1098">
        <v>159.86264</v>
      </c>
      <c r="Q1098">
        <v>48.601064999999998</v>
      </c>
      <c r="R1098">
        <v>169.658736</v>
      </c>
      <c r="S1098" t="s">
        <v>96</v>
      </c>
      <c r="T1098">
        <v>-8850.1005510815849</v>
      </c>
    </row>
    <row r="1099" spans="1:20" x14ac:dyDescent="0.25">
      <c r="A1099" s="1" t="s">
        <v>46</v>
      </c>
      <c r="B1099">
        <v>1999</v>
      </c>
      <c r="C1099">
        <v>2000.088</v>
      </c>
      <c r="D1099">
        <v>2000.088</v>
      </c>
      <c r="E1099" t="s">
        <v>96</v>
      </c>
      <c r="F1099">
        <v>2.2730905333513838</v>
      </c>
      <c r="G1099">
        <v>-1.293584605245707</v>
      </c>
      <c r="H1099">
        <v>0.9795059281056766</v>
      </c>
      <c r="I1099">
        <v>7.9999999999999988E-2</v>
      </c>
      <c r="J1099">
        <v>2.340372523608961E-2</v>
      </c>
      <c r="K1099">
        <v>8.1804474603117461E-2</v>
      </c>
      <c r="L1099" t="s">
        <v>96</v>
      </c>
      <c r="M1099">
        <v>4546.3810986697026</v>
      </c>
      <c r="N1099">
        <v>-2587.283045936676</v>
      </c>
      <c r="O1099">
        <v>1959.0980527330271</v>
      </c>
      <c r="P1099">
        <v>160.00703999999999</v>
      </c>
      <c r="Q1099">
        <v>46.809510000000003</v>
      </c>
      <c r="R1099">
        <v>163.61614800000001</v>
      </c>
      <c r="S1099" t="s">
        <v>96</v>
      </c>
      <c r="T1099">
        <v>-8541.6127526885411</v>
      </c>
    </row>
    <row r="1100" spans="1:20" x14ac:dyDescent="0.25">
      <c r="A1100" s="1" t="s">
        <v>46</v>
      </c>
      <c r="B1100">
        <v>2000</v>
      </c>
      <c r="C1100">
        <v>2001.2529999999999</v>
      </c>
      <c r="D1100">
        <v>2001.2529999999999</v>
      </c>
      <c r="E1100" t="s">
        <v>96</v>
      </c>
      <c r="F1100">
        <v>2.313123339388758</v>
      </c>
      <c r="G1100">
        <v>-1.4062694557824269</v>
      </c>
      <c r="H1100">
        <v>0.90685388360633112</v>
      </c>
      <c r="I1100">
        <v>0.08</v>
      </c>
      <c r="J1100">
        <v>1.482571668849466E-2</v>
      </c>
      <c r="K1100">
        <v>5.2457694254549533E-2</v>
      </c>
      <c r="L1100" t="s">
        <v>96</v>
      </c>
      <c r="M1100">
        <v>4629.1450223217707</v>
      </c>
      <c r="N1100">
        <v>-2814.3009671929499</v>
      </c>
      <c r="O1100">
        <v>1814.8440551288211</v>
      </c>
      <c r="P1100">
        <v>160.10024000000001</v>
      </c>
      <c r="Q1100">
        <v>29.670010000000001</v>
      </c>
      <c r="R1100">
        <v>104.981118</v>
      </c>
      <c r="S1100" t="s">
        <v>96</v>
      </c>
      <c r="T1100">
        <v>-7735.183218139714</v>
      </c>
    </row>
    <row r="1101" spans="1:20" x14ac:dyDescent="0.25">
      <c r="A1101" s="1" t="s">
        <v>46</v>
      </c>
      <c r="B1101">
        <v>2001</v>
      </c>
      <c r="C1101">
        <v>2002.1289999999999</v>
      </c>
      <c r="D1101">
        <v>2002.1289999999999</v>
      </c>
      <c r="E1101" t="s">
        <v>96</v>
      </c>
      <c r="F1101">
        <v>2.321070101713512</v>
      </c>
      <c r="G1101">
        <v>-1.4164205121468709</v>
      </c>
      <c r="H1101">
        <v>0.9046495895666411</v>
      </c>
      <c r="I1101">
        <v>0.08</v>
      </c>
      <c r="J1101">
        <v>1.3767909060804769E-2</v>
      </c>
      <c r="K1101">
        <v>4.8420932916909951E-2</v>
      </c>
      <c r="L1101" t="s">
        <v>96</v>
      </c>
      <c r="M1101">
        <v>4647.0817616735721</v>
      </c>
      <c r="N1101">
        <v>-2835.856583564102</v>
      </c>
      <c r="O1101">
        <v>1811.2251781094701</v>
      </c>
      <c r="P1101">
        <v>160.17032</v>
      </c>
      <c r="Q1101">
        <v>27.56513</v>
      </c>
      <c r="R1101">
        <v>96.94495400000001</v>
      </c>
      <c r="S1101" t="s">
        <v>96</v>
      </c>
      <c r="T1101">
        <v>-7684.9871344020867</v>
      </c>
    </row>
    <row r="1102" spans="1:20" x14ac:dyDescent="0.25">
      <c r="A1102" s="1" t="s">
        <v>46</v>
      </c>
      <c r="B1102">
        <v>2002</v>
      </c>
      <c r="C1102">
        <v>2002.7729999999999</v>
      </c>
      <c r="D1102">
        <v>2002.7729999999999</v>
      </c>
      <c r="E1102" t="s">
        <v>96</v>
      </c>
      <c r="F1102">
        <v>2.338619620275209</v>
      </c>
      <c r="G1102">
        <v>-1.4253463568671061</v>
      </c>
      <c r="H1102">
        <v>0.91327326340810377</v>
      </c>
      <c r="I1102">
        <v>0.08</v>
      </c>
      <c r="J1102">
        <v>1.334242572672989E-2</v>
      </c>
      <c r="K1102">
        <v>4.6555237163672568E-2</v>
      </c>
      <c r="L1102" t="s">
        <v>96</v>
      </c>
      <c r="M1102">
        <v>4683.7242327574422</v>
      </c>
      <c r="N1102">
        <v>-2854.6451991818039</v>
      </c>
      <c r="O1102">
        <v>1829.0790335756381</v>
      </c>
      <c r="P1102">
        <v>160.22183999999999</v>
      </c>
      <c r="Q1102">
        <v>26.72185</v>
      </c>
      <c r="R1102">
        <v>93.23957200000001</v>
      </c>
      <c r="S1102" t="s">
        <v>96</v>
      </c>
      <c r="T1102">
        <v>-7733.9617504447106</v>
      </c>
    </row>
    <row r="1103" spans="1:20" x14ac:dyDescent="0.25">
      <c r="A1103" s="1" t="s">
        <v>46</v>
      </c>
      <c r="B1103">
        <v>2003</v>
      </c>
      <c r="C1103">
        <v>2004.1</v>
      </c>
      <c r="D1103">
        <v>2004.1</v>
      </c>
      <c r="E1103" t="s">
        <v>96</v>
      </c>
      <c r="F1103">
        <v>2.350111268285703</v>
      </c>
      <c r="G1103">
        <v>-1.5077604649886109</v>
      </c>
      <c r="H1103">
        <v>0.84235080329709122</v>
      </c>
      <c r="I1103">
        <v>0.08</v>
      </c>
      <c r="J1103">
        <v>1.3428431714984279E-2</v>
      </c>
      <c r="K1103">
        <v>4.6481801307320013E-2</v>
      </c>
      <c r="L1103" t="s">
        <v>96</v>
      </c>
      <c r="M1103">
        <v>4709.8579927713763</v>
      </c>
      <c r="N1103">
        <v>-3021.7027478836758</v>
      </c>
      <c r="O1103">
        <v>1688.155244887701</v>
      </c>
      <c r="P1103">
        <v>160.328</v>
      </c>
      <c r="Q1103">
        <v>26.911919999999999</v>
      </c>
      <c r="R1103">
        <v>93.154178000000016</v>
      </c>
      <c r="S1103" t="s">
        <v>96</v>
      </c>
      <c r="T1103">
        <v>-7218.0142572555578</v>
      </c>
    </row>
    <row r="1104" spans="1:20" x14ac:dyDescent="0.25">
      <c r="A1104" s="1" t="s">
        <v>46</v>
      </c>
      <c r="B1104">
        <v>2004</v>
      </c>
      <c r="C1104">
        <v>2004.9259999999999</v>
      </c>
      <c r="D1104">
        <v>2004.9259999999999</v>
      </c>
      <c r="E1104" t="s">
        <v>96</v>
      </c>
      <c r="F1104">
        <v>2.368898543314502</v>
      </c>
      <c r="G1104">
        <v>-1.63943211552304</v>
      </c>
      <c r="H1104">
        <v>0.72946642779146098</v>
      </c>
      <c r="I1104">
        <v>0.08</v>
      </c>
      <c r="J1104">
        <v>1.30298250409242E-2</v>
      </c>
      <c r="K1104">
        <v>4.5102767882704897E-2</v>
      </c>
      <c r="L1104" t="s">
        <v>96</v>
      </c>
      <c r="M1104">
        <v>4749.4662808533703</v>
      </c>
      <c r="N1104">
        <v>-3286.940073647148</v>
      </c>
      <c r="O1104">
        <v>1462.526207206223</v>
      </c>
      <c r="P1104">
        <v>160.39408</v>
      </c>
      <c r="Q1104">
        <v>26.123835</v>
      </c>
      <c r="R1104">
        <v>90.427712</v>
      </c>
      <c r="S1104" t="s">
        <v>96</v>
      </c>
      <c r="T1104">
        <v>-6378.0633920900636</v>
      </c>
    </row>
    <row r="1105" spans="1:20" x14ac:dyDescent="0.25">
      <c r="A1105" s="1" t="s">
        <v>46</v>
      </c>
      <c r="B1105">
        <v>2005</v>
      </c>
      <c r="C1105">
        <v>2005.2339999999999</v>
      </c>
      <c r="D1105">
        <v>2005.2339999999999</v>
      </c>
      <c r="E1105" t="s">
        <v>96</v>
      </c>
      <c r="F1105">
        <v>2.3871892940481372</v>
      </c>
      <c r="G1105">
        <v>-2.248082150499453</v>
      </c>
      <c r="H1105">
        <v>0.13910714354868389</v>
      </c>
      <c r="I1105">
        <v>0.08</v>
      </c>
      <c r="J1105">
        <v>1.2438406190998161E-2</v>
      </c>
      <c r="K1105">
        <v>4.2992547503184167E-2</v>
      </c>
      <c r="L1105" t="s">
        <v>96</v>
      </c>
      <c r="M1105">
        <v>4786.8731368613217</v>
      </c>
      <c r="N1105">
        <v>-4507.9307629746199</v>
      </c>
      <c r="O1105">
        <v>278.94237388670172</v>
      </c>
      <c r="P1105">
        <v>160.41872000000001</v>
      </c>
      <c r="Q1105">
        <v>24.941915000000002</v>
      </c>
      <c r="R1105">
        <v>86.210117999999994</v>
      </c>
      <c r="S1105" t="s">
        <v>96</v>
      </c>
      <c r="T1105">
        <v>-2018.5481319180899</v>
      </c>
    </row>
    <row r="1106" spans="1:20" x14ac:dyDescent="0.25">
      <c r="A1106" s="1" t="s">
        <v>46</v>
      </c>
      <c r="B1106">
        <v>2006</v>
      </c>
      <c r="C1106">
        <v>2006.94</v>
      </c>
      <c r="D1106">
        <v>2006.94</v>
      </c>
      <c r="E1106" t="s">
        <v>96</v>
      </c>
      <c r="F1106">
        <v>2.4076959585143229</v>
      </c>
      <c r="G1106">
        <v>-1.859812309524745</v>
      </c>
      <c r="H1106">
        <v>0.54788364898957764</v>
      </c>
      <c r="I1106">
        <v>8.0000000000000016E-2</v>
      </c>
      <c r="J1106">
        <v>9.3041770057899088E-3</v>
      </c>
      <c r="K1106">
        <v>3.0268766380659111E-2</v>
      </c>
      <c r="L1106" t="s">
        <v>96</v>
      </c>
      <c r="M1106">
        <v>4832.1013269807354</v>
      </c>
      <c r="N1106">
        <v>-3732.531716477592</v>
      </c>
      <c r="O1106">
        <v>1099.5696105031429</v>
      </c>
      <c r="P1106">
        <v>160.55520000000001</v>
      </c>
      <c r="Q1106">
        <v>18.672924999999999</v>
      </c>
      <c r="R1106">
        <v>60.747598000000004</v>
      </c>
      <c r="S1106" t="s">
        <v>96</v>
      </c>
      <c r="T1106">
        <v>-4911.6662228453042</v>
      </c>
    </row>
    <row r="1107" spans="1:20" x14ac:dyDescent="0.25">
      <c r="A1107" s="1" t="s">
        <v>46</v>
      </c>
      <c r="B1107">
        <v>2007</v>
      </c>
      <c r="C1107">
        <v>2007.1420000000001</v>
      </c>
      <c r="D1107">
        <v>2007.1420000000001</v>
      </c>
      <c r="E1107" t="s">
        <v>96</v>
      </c>
      <c r="F1107">
        <v>2.4099648461541552</v>
      </c>
      <c r="G1107">
        <v>-1.899189375052085</v>
      </c>
      <c r="H1107">
        <v>0.51077547110207022</v>
      </c>
      <c r="I1107">
        <v>0.08</v>
      </c>
      <c r="J1107">
        <v>8.9416144946396405E-3</v>
      </c>
      <c r="K1107">
        <v>2.8645069456969159E-2</v>
      </c>
      <c r="L1107" t="s">
        <v>96</v>
      </c>
      <c r="M1107">
        <v>4837.1416612395433</v>
      </c>
      <c r="N1107">
        <v>-3811.9427606207919</v>
      </c>
      <c r="O1107">
        <v>1025.1989006187509</v>
      </c>
      <c r="P1107">
        <v>160.57136</v>
      </c>
      <c r="Q1107">
        <v>17.947089999999999</v>
      </c>
      <c r="R1107">
        <v>57.494722000000003</v>
      </c>
      <c r="S1107" t="s">
        <v>96</v>
      </c>
      <c r="T1107">
        <v>-4624.4442662691736</v>
      </c>
    </row>
    <row r="1108" spans="1:20" x14ac:dyDescent="0.25">
      <c r="A1108" s="1" t="s">
        <v>46</v>
      </c>
      <c r="B1108">
        <v>2008</v>
      </c>
      <c r="C1108">
        <v>2008.2570000000001</v>
      </c>
      <c r="D1108">
        <v>2008.2570000000001</v>
      </c>
      <c r="E1108" t="s">
        <v>96</v>
      </c>
      <c r="F1108">
        <v>2.434236784248649</v>
      </c>
      <c r="G1108">
        <v>-2.086301228323848</v>
      </c>
      <c r="H1108">
        <v>0.3479355559248013</v>
      </c>
      <c r="I1108">
        <v>7.9999999999999988E-2</v>
      </c>
      <c r="J1108">
        <v>8.2640145160704018E-3</v>
      </c>
      <c r="K1108">
        <v>2.6140926186240108E-2</v>
      </c>
      <c r="L1108" t="s">
        <v>96</v>
      </c>
      <c r="M1108">
        <v>4888.5730616248393</v>
      </c>
      <c r="N1108">
        <v>-4189.8290458899664</v>
      </c>
      <c r="O1108">
        <v>698.74401573487376</v>
      </c>
      <c r="P1108">
        <v>160.66056</v>
      </c>
      <c r="Q1108">
        <v>16.596264999999999</v>
      </c>
      <c r="R1108">
        <v>52.497698</v>
      </c>
      <c r="S1108" t="s">
        <v>96</v>
      </c>
      <c r="T1108">
        <v>-3404.4946420281799</v>
      </c>
    </row>
    <row r="1109" spans="1:20" x14ac:dyDescent="0.25">
      <c r="A1109" s="1" t="s">
        <v>46</v>
      </c>
      <c r="B1109">
        <v>2009</v>
      </c>
      <c r="C1109">
        <v>2008.8430000000001</v>
      </c>
      <c r="D1109">
        <v>2008.8430000000001</v>
      </c>
      <c r="E1109" t="s">
        <v>96</v>
      </c>
      <c r="F1109">
        <v>2.4518920690040962</v>
      </c>
      <c r="G1109">
        <v>-2.030823368870855</v>
      </c>
      <c r="H1109">
        <v>0.42106870013324033</v>
      </c>
      <c r="I1109">
        <v>8.0000000000000016E-2</v>
      </c>
      <c r="J1109">
        <v>6.2794056081037688E-3</v>
      </c>
      <c r="K1109">
        <v>1.9941043675389271E-2</v>
      </c>
      <c r="L1109" t="s">
        <v>96</v>
      </c>
      <c r="M1109">
        <v>4925.466219574394</v>
      </c>
      <c r="N1109">
        <v>-4079.6053087926348</v>
      </c>
      <c r="O1109">
        <v>845.86091078175878</v>
      </c>
      <c r="P1109">
        <v>160.70743999999999</v>
      </c>
      <c r="Q1109">
        <v>12.61434</v>
      </c>
      <c r="R1109">
        <v>40.058425999999997</v>
      </c>
      <c r="S1109" t="s">
        <v>96</v>
      </c>
      <c r="T1109">
        <v>-3883.8840948668021</v>
      </c>
    </row>
    <row r="1110" spans="1:20" x14ac:dyDescent="0.25">
      <c r="A1110" s="1" t="s">
        <v>46</v>
      </c>
      <c r="B1110">
        <v>2010</v>
      </c>
      <c r="C1110">
        <v>2011.249</v>
      </c>
      <c r="D1110">
        <v>2011.249</v>
      </c>
      <c r="E1110" t="s">
        <v>96</v>
      </c>
      <c r="F1110">
        <v>2.4674759351836291</v>
      </c>
      <c r="G1110">
        <v>-2.1798300194135072</v>
      </c>
      <c r="H1110">
        <v>0.28764591577012172</v>
      </c>
      <c r="I1110">
        <v>7.9999999999999988E-2</v>
      </c>
      <c r="J1110">
        <v>6.0577133910321391E-3</v>
      </c>
      <c r="K1110">
        <v>1.9124494281911389E-2</v>
      </c>
      <c r="L1110" t="s">
        <v>96</v>
      </c>
      <c r="M1110">
        <v>4962.7085071621377</v>
      </c>
      <c r="N1110">
        <v>-4384.1809467153962</v>
      </c>
      <c r="O1110">
        <v>578.52756044674152</v>
      </c>
      <c r="P1110">
        <v>160.89992000000001</v>
      </c>
      <c r="Q1110">
        <v>12.18357</v>
      </c>
      <c r="R1110">
        <v>38.464120000000001</v>
      </c>
      <c r="S1110" t="s">
        <v>96</v>
      </c>
      <c r="T1110">
        <v>-2896.942291638316</v>
      </c>
    </row>
    <row r="1111" spans="1:20" x14ac:dyDescent="0.25">
      <c r="A1111" s="1" t="s">
        <v>46</v>
      </c>
      <c r="B1111">
        <v>2011</v>
      </c>
      <c r="C1111">
        <v>2012.336</v>
      </c>
      <c r="D1111">
        <v>2012.336</v>
      </c>
      <c r="E1111" t="s">
        <v>96</v>
      </c>
      <c r="F1111">
        <v>2.481248549987686</v>
      </c>
      <c r="G1111">
        <v>-2.112666632073037</v>
      </c>
      <c r="H1111">
        <v>0.36858191791464812</v>
      </c>
      <c r="I1111">
        <v>0.08</v>
      </c>
      <c r="J1111">
        <v>5.8917273258541313E-3</v>
      </c>
      <c r="K1111">
        <v>1.8090463024067551E-2</v>
      </c>
      <c r="L1111" t="s">
        <v>96</v>
      </c>
      <c r="M1111">
        <v>4993.1057820880196</v>
      </c>
      <c r="N1111">
        <v>-4251.3951197193282</v>
      </c>
      <c r="O1111">
        <v>741.71066236869137</v>
      </c>
      <c r="P1111">
        <v>160.98688000000001</v>
      </c>
      <c r="Q1111">
        <v>11.856135</v>
      </c>
      <c r="R1111">
        <v>36.404089999999997</v>
      </c>
      <c r="S1111" t="s">
        <v>96</v>
      </c>
      <c r="T1111">
        <v>-3486.845147018852</v>
      </c>
    </row>
    <row r="1112" spans="1:20" x14ac:dyDescent="0.25">
      <c r="A1112" s="1" t="s">
        <v>46</v>
      </c>
      <c r="B1112">
        <v>2012</v>
      </c>
      <c r="C1112">
        <v>2014.059</v>
      </c>
      <c r="D1112">
        <v>2014.059</v>
      </c>
      <c r="E1112" t="s">
        <v>96</v>
      </c>
      <c r="F1112">
        <v>2.501498349426253</v>
      </c>
      <c r="G1112">
        <v>-1.8484972115255329</v>
      </c>
      <c r="H1112">
        <v>0.65300113790072079</v>
      </c>
      <c r="I1112">
        <v>0.08</v>
      </c>
      <c r="J1112">
        <v>5.9645745233878446E-3</v>
      </c>
      <c r="K1112">
        <v>1.7949999478664731E-2</v>
      </c>
      <c r="L1112" t="s">
        <v>96</v>
      </c>
      <c r="M1112">
        <v>5038.165264147091</v>
      </c>
      <c r="N1112">
        <v>-3722.9824453479032</v>
      </c>
      <c r="O1112">
        <v>1315.182818799188</v>
      </c>
      <c r="P1112">
        <v>161.12472</v>
      </c>
      <c r="Q1112">
        <v>12.013005</v>
      </c>
      <c r="R1112">
        <v>36.152358</v>
      </c>
      <c r="S1112" t="s">
        <v>96</v>
      </c>
      <c r="T1112">
        <v>-5589.7339732641967</v>
      </c>
    </row>
    <row r="1113" spans="1:20" x14ac:dyDescent="0.25">
      <c r="A1113" s="1" t="s">
        <v>46</v>
      </c>
      <c r="B1113">
        <v>2013</v>
      </c>
      <c r="C1113">
        <v>2015.3679999999999</v>
      </c>
      <c r="D1113">
        <v>2015.3679999999999</v>
      </c>
      <c r="E1113" t="s">
        <v>96</v>
      </c>
      <c r="F1113">
        <v>2.4865339681959648</v>
      </c>
      <c r="G1113">
        <v>-1.763806268201058</v>
      </c>
      <c r="H1113">
        <v>0.7227276999949066</v>
      </c>
      <c r="I1113">
        <v>0.08</v>
      </c>
      <c r="J1113">
        <v>6.1017541213316869E-3</v>
      </c>
      <c r="K1113">
        <v>1.8228610358009059E-2</v>
      </c>
      <c r="L1113" t="s">
        <v>96</v>
      </c>
      <c r="M1113">
        <v>5011.2809904151663</v>
      </c>
      <c r="N1113">
        <v>-3554.7187111318308</v>
      </c>
      <c r="O1113">
        <v>1456.5622792833351</v>
      </c>
      <c r="P1113">
        <v>161.22944000000001</v>
      </c>
      <c r="Q1113">
        <v>12.297280000000001</v>
      </c>
      <c r="R1113">
        <v>36.737358</v>
      </c>
      <c r="S1113" t="s">
        <v>96</v>
      </c>
      <c r="T1113">
        <v>-6111.6966433727848</v>
      </c>
    </row>
    <row r="1114" spans="1:20" x14ac:dyDescent="0.25">
      <c r="A1114" s="1" t="s">
        <v>46</v>
      </c>
      <c r="B1114">
        <v>2014</v>
      </c>
      <c r="C1114">
        <v>2017.105</v>
      </c>
      <c r="D1114">
        <v>2017.105</v>
      </c>
      <c r="E1114" t="s">
        <v>96</v>
      </c>
      <c r="F1114">
        <v>2.4937457314757481</v>
      </c>
      <c r="G1114">
        <v>-2.1052333542651112</v>
      </c>
      <c r="H1114">
        <v>0.38851237721063758</v>
      </c>
      <c r="I1114">
        <v>7.9999999999999988E-2</v>
      </c>
      <c r="J1114">
        <v>6.3695172041118332E-3</v>
      </c>
      <c r="K1114">
        <v>1.868070328515372E-2</v>
      </c>
      <c r="L1114" t="s">
        <v>96</v>
      </c>
      <c r="M1114">
        <v>5030.1469836883889</v>
      </c>
      <c r="N1114">
        <v>-4246.4767250549257</v>
      </c>
      <c r="O1114">
        <v>783.67025863346316</v>
      </c>
      <c r="P1114">
        <v>161.36840000000001</v>
      </c>
      <c r="Q1114">
        <v>12.847985</v>
      </c>
      <c r="R1114">
        <v>37.68094</v>
      </c>
      <c r="S1114" t="s">
        <v>96</v>
      </c>
      <c r="T1114">
        <v>-3650.4144733230301</v>
      </c>
    </row>
    <row r="1115" spans="1:20" x14ac:dyDescent="0.25">
      <c r="A1115" s="1" t="s">
        <v>46</v>
      </c>
      <c r="B1115">
        <v>2015</v>
      </c>
      <c r="C1115">
        <v>2020.116</v>
      </c>
      <c r="D1115">
        <v>2020.116</v>
      </c>
      <c r="E1115" t="s">
        <v>96</v>
      </c>
      <c r="F1115">
        <v>2.4953356034194858</v>
      </c>
      <c r="G1115">
        <v>-2.0559701149270881</v>
      </c>
      <c r="H1115">
        <v>0.43936548849239743</v>
      </c>
      <c r="I1115">
        <v>0.08</v>
      </c>
      <c r="J1115">
        <v>6.8579947884180904E-3</v>
      </c>
      <c r="K1115">
        <v>1.9813519619665401E-2</v>
      </c>
      <c r="L1115" t="s">
        <v>96</v>
      </c>
      <c r="M1115">
        <v>5040.8673778373577</v>
      </c>
      <c r="N1115">
        <v>-4153.29812468605</v>
      </c>
      <c r="O1115">
        <v>887.56925315130775</v>
      </c>
      <c r="P1115">
        <v>161.60928000000001</v>
      </c>
      <c r="Q1115">
        <v>13.853945</v>
      </c>
      <c r="R1115">
        <v>40.025607999999998</v>
      </c>
      <c r="S1115" t="s">
        <v>96</v>
      </c>
      <c r="T1115">
        <v>-4044.5463158884959</v>
      </c>
    </row>
    <row r="1116" spans="1:20" x14ac:dyDescent="0.25">
      <c r="A1116" s="1" t="s">
        <v>46</v>
      </c>
      <c r="B1116">
        <v>2016</v>
      </c>
      <c r="C1116">
        <v>2022.5219999999999</v>
      </c>
      <c r="D1116">
        <v>2022.5219999999999</v>
      </c>
      <c r="E1116" t="s">
        <v>96</v>
      </c>
      <c r="F1116">
        <v>2.4892979320057198</v>
      </c>
      <c r="G1116">
        <v>-2.0877395318538752</v>
      </c>
      <c r="H1116">
        <v>0.40155840015184541</v>
      </c>
      <c r="I1116">
        <v>0.08</v>
      </c>
      <c r="J1116">
        <v>7.0324550239750181E-3</v>
      </c>
      <c r="K1116">
        <v>2.015187078311138E-2</v>
      </c>
      <c r="L1116" t="s">
        <v>96</v>
      </c>
      <c r="M1116">
        <v>5034.6598320360736</v>
      </c>
      <c r="N1116">
        <v>-4222.4991334441629</v>
      </c>
      <c r="O1116">
        <v>812.16069859191066</v>
      </c>
      <c r="P1116">
        <v>161.80176</v>
      </c>
      <c r="Q1116">
        <v>14.223295</v>
      </c>
      <c r="R1116">
        <v>40.757601999999999</v>
      </c>
      <c r="S1116" t="s">
        <v>96</v>
      </c>
      <c r="T1116">
        <v>-3772.7923038373492</v>
      </c>
    </row>
    <row r="1117" spans="1:20" x14ac:dyDescent="0.25">
      <c r="A1117" s="1" t="s">
        <v>46</v>
      </c>
      <c r="B1117">
        <v>2017</v>
      </c>
      <c r="C1117">
        <v>2024.374</v>
      </c>
      <c r="D1117">
        <v>2024.374</v>
      </c>
      <c r="E1117" t="s">
        <v>96</v>
      </c>
      <c r="F1117">
        <v>2.479664185283847</v>
      </c>
      <c r="G1117">
        <v>-2.0875212464029902</v>
      </c>
      <c r="H1117">
        <v>0.39214293888085711</v>
      </c>
      <c r="I1117">
        <v>0.08</v>
      </c>
      <c r="J1117">
        <v>6.7355340465743976E-3</v>
      </c>
      <c r="K1117">
        <v>1.825897487322007E-2</v>
      </c>
      <c r="L1117" t="s">
        <v>96</v>
      </c>
      <c r="M1117">
        <v>5019.767705419803</v>
      </c>
      <c r="N1117">
        <v>-4225.9237356658068</v>
      </c>
      <c r="O1117">
        <v>793.84396975399613</v>
      </c>
      <c r="P1117">
        <v>161.94991999999999</v>
      </c>
      <c r="Q1117">
        <v>13.63524</v>
      </c>
      <c r="R1117">
        <v>36.962994000000002</v>
      </c>
      <c r="S1117" t="s">
        <v>96</v>
      </c>
      <c r="T1117">
        <v>-3690.1044537649882</v>
      </c>
    </row>
    <row r="1118" spans="1:20" x14ac:dyDescent="0.25">
      <c r="A1118" s="1" t="s">
        <v>46</v>
      </c>
      <c r="B1118">
        <v>2018</v>
      </c>
      <c r="C1118">
        <v>2026.027</v>
      </c>
      <c r="D1118">
        <v>2026.027</v>
      </c>
      <c r="E1118" t="s">
        <v>96</v>
      </c>
      <c r="F1118">
        <v>2.4791453775290959</v>
      </c>
      <c r="G1118">
        <v>-2.1841341750745888</v>
      </c>
      <c r="H1118">
        <v>0.29501120245450729</v>
      </c>
      <c r="I1118">
        <v>7.9999999999999988E-2</v>
      </c>
      <c r="J1118">
        <v>6.650972568480084E-3</v>
      </c>
      <c r="K1118">
        <v>1.7756493867061001E-2</v>
      </c>
      <c r="L1118" t="s">
        <v>96</v>
      </c>
      <c r="M1118">
        <v>5022.815471799142</v>
      </c>
      <c r="N1118">
        <v>-4425.1148103238438</v>
      </c>
      <c r="O1118">
        <v>597.70066147529815</v>
      </c>
      <c r="P1118">
        <v>162.08215999999999</v>
      </c>
      <c r="Q1118">
        <v>13.47505</v>
      </c>
      <c r="R1118">
        <v>35.975135999999999</v>
      </c>
      <c r="S1118" t="s">
        <v>96</v>
      </c>
      <c r="T1118">
        <v>-2967.1876940763632</v>
      </c>
    </row>
    <row r="1119" spans="1:20" x14ac:dyDescent="0.25">
      <c r="A1119" s="1" t="s">
        <v>46</v>
      </c>
      <c r="B1119">
        <v>2019</v>
      </c>
      <c r="C1119">
        <v>2027.0989999999999</v>
      </c>
      <c r="D1119">
        <v>2027.0989999999999</v>
      </c>
      <c r="E1119" t="s">
        <v>96</v>
      </c>
      <c r="F1119">
        <v>2.4753466236116162</v>
      </c>
      <c r="G1119">
        <v>-2.044174573015948</v>
      </c>
      <c r="H1119">
        <v>0.43117205059566782</v>
      </c>
      <c r="I1119">
        <v>7.9999999999999988E-2</v>
      </c>
      <c r="J1119">
        <v>6.4550128040120397E-3</v>
      </c>
      <c r="K1119">
        <v>1.6770096576437559E-2</v>
      </c>
      <c r="L1119" t="s">
        <v>96</v>
      </c>
      <c r="M1119">
        <v>5017.772665376483</v>
      </c>
      <c r="N1119">
        <v>-4143.7442327860554</v>
      </c>
      <c r="O1119">
        <v>874.02843259042766</v>
      </c>
      <c r="P1119">
        <v>162.16792000000001</v>
      </c>
      <c r="Q1119">
        <v>13.084949999999999</v>
      </c>
      <c r="R1119">
        <v>33.994646000000003</v>
      </c>
      <c r="S1119" t="s">
        <v>96</v>
      </c>
      <c r="T1119">
        <v>-3972.0118114985949</v>
      </c>
    </row>
    <row r="1120" spans="1:20" x14ac:dyDescent="0.25">
      <c r="A1120" s="1" t="s">
        <v>46</v>
      </c>
      <c r="B1120">
        <v>2020</v>
      </c>
      <c r="C1120">
        <v>2027.8520000000001</v>
      </c>
      <c r="D1120">
        <v>2027.8520000000001</v>
      </c>
      <c r="E1120" t="s">
        <v>96</v>
      </c>
      <c r="F1120">
        <v>2.4762899123007558</v>
      </c>
      <c r="G1120">
        <v>-1.685869136679226</v>
      </c>
      <c r="H1120">
        <v>0.79042077562153057</v>
      </c>
      <c r="I1120">
        <v>0.08</v>
      </c>
      <c r="J1120">
        <v>6.3633884524117142E-3</v>
      </c>
      <c r="K1120">
        <v>1.6421649114432411E-2</v>
      </c>
      <c r="L1120" t="s">
        <v>96</v>
      </c>
      <c r="M1120">
        <v>5021.5494512389132</v>
      </c>
      <c r="N1120">
        <v>-3418.693100553241</v>
      </c>
      <c r="O1120">
        <v>1602.8563506856719</v>
      </c>
      <c r="P1120">
        <v>162.22816</v>
      </c>
      <c r="Q1120">
        <v>12.90401</v>
      </c>
      <c r="R1120">
        <v>33.300674000000001</v>
      </c>
      <c r="S1120" t="s">
        <v>96</v>
      </c>
      <c r="T1120">
        <v>-6641.3937138480687</v>
      </c>
    </row>
    <row r="1121" spans="1:20" x14ac:dyDescent="0.25">
      <c r="A1121" s="1" t="s">
        <v>46</v>
      </c>
      <c r="B1121">
        <v>2021</v>
      </c>
      <c r="C1121">
        <v>2028.509</v>
      </c>
      <c r="D1121">
        <v>2028.509</v>
      </c>
      <c r="E1121" t="s">
        <v>96</v>
      </c>
      <c r="F1121">
        <v>2.477588025922528</v>
      </c>
      <c r="G1121">
        <v>-1.722243609536767</v>
      </c>
      <c r="H1121">
        <v>0.75534441638576166</v>
      </c>
      <c r="I1121">
        <v>8.0000000000000016E-2</v>
      </c>
      <c r="J1121">
        <v>6.2696739329231466E-3</v>
      </c>
      <c r="K1121">
        <v>1.5935547734814089E-2</v>
      </c>
      <c r="L1121" t="s">
        <v>96</v>
      </c>
      <c r="M1121">
        <v>5025.8096088760822</v>
      </c>
      <c r="N1121">
        <v>-3493.5866621378168</v>
      </c>
      <c r="O1121">
        <v>1532.2229467382649</v>
      </c>
      <c r="P1121">
        <v>162.28072</v>
      </c>
      <c r="Q1121">
        <v>12.71809</v>
      </c>
      <c r="R1121">
        <v>32.325401999999997</v>
      </c>
      <c r="S1121" t="s">
        <v>96</v>
      </c>
      <c r="T1121">
        <v>-6378.3395820408841</v>
      </c>
    </row>
    <row r="1122" spans="1:20" x14ac:dyDescent="0.25">
      <c r="A1122" s="1" t="s">
        <v>46</v>
      </c>
      <c r="B1122">
        <v>2022</v>
      </c>
      <c r="C1122">
        <v>2029.0350000000001</v>
      </c>
      <c r="D1122">
        <v>2029.0350000000001</v>
      </c>
      <c r="E1122" t="s">
        <v>96</v>
      </c>
      <c r="F1122">
        <v>2.5667170937538919</v>
      </c>
      <c r="G1122">
        <v>-1.727229877420454</v>
      </c>
      <c r="H1122">
        <v>0.83948721633343781</v>
      </c>
      <c r="I1122">
        <v>0.08</v>
      </c>
      <c r="J1122">
        <v>6.2269379286212416E-3</v>
      </c>
      <c r="K1122">
        <v>1.578325952977647E-2</v>
      </c>
      <c r="L1122" t="s">
        <v>96</v>
      </c>
      <c r="M1122">
        <v>5207.958818324928</v>
      </c>
      <c r="N1122">
        <v>-3504.6098743318112</v>
      </c>
      <c r="O1122">
        <v>1703.348943993117</v>
      </c>
      <c r="P1122">
        <v>162.3228</v>
      </c>
      <c r="Q1122">
        <v>12.634675</v>
      </c>
      <c r="R1122">
        <v>32.024785999999999</v>
      </c>
      <c r="S1122" t="s">
        <v>96</v>
      </c>
      <c r="T1122">
        <v>-7004.5477516420642</v>
      </c>
    </row>
    <row r="1123" spans="1:20" x14ac:dyDescent="0.25">
      <c r="A1123" s="1" t="s">
        <v>46</v>
      </c>
      <c r="B1123">
        <v>2023</v>
      </c>
      <c r="C1123">
        <v>2030.423</v>
      </c>
      <c r="D1123">
        <v>2030.423</v>
      </c>
      <c r="E1123" t="s">
        <v>96</v>
      </c>
      <c r="F1123">
        <v>2.459919088219539</v>
      </c>
      <c r="G1123">
        <v>-1.6190662532502189</v>
      </c>
      <c r="H1123">
        <v>0.84085283496931895</v>
      </c>
      <c r="I1123">
        <v>0.08</v>
      </c>
      <c r="J1123">
        <v>6.1826205672414064E-3</v>
      </c>
      <c r="K1123">
        <v>1.5676418165081859E-2</v>
      </c>
      <c r="L1123" t="s">
        <v>96</v>
      </c>
      <c r="M1123">
        <v>4994.6762948599799</v>
      </c>
      <c r="N1123">
        <v>-3287.3893591230699</v>
      </c>
      <c r="O1123">
        <v>1707.28693573691</v>
      </c>
      <c r="P1123">
        <v>162.43384</v>
      </c>
      <c r="Q1123">
        <v>12.553335000000001</v>
      </c>
      <c r="R1123">
        <v>31.82976</v>
      </c>
      <c r="S1123" t="s">
        <v>96</v>
      </c>
      <c r="T1123">
        <v>-7018.3808593693066</v>
      </c>
    </row>
    <row r="1124" spans="1:20" x14ac:dyDescent="0.25">
      <c r="A1124" s="1" t="s">
        <v>47</v>
      </c>
      <c r="B1124">
        <v>1990</v>
      </c>
      <c r="C1124">
        <v>1024.2949834592409</v>
      </c>
      <c r="D1124">
        <v>1023.438733459241</v>
      </c>
      <c r="E1124">
        <v>0.85624999999999996</v>
      </c>
      <c r="F1124">
        <v>1.2400672197019109</v>
      </c>
      <c r="G1124">
        <v>-6.0345674631353652E-2</v>
      </c>
      <c r="H1124">
        <v>1.1797215450705569</v>
      </c>
      <c r="I1124">
        <v>9.8235583812224733E-2</v>
      </c>
      <c r="J1124">
        <v>5.782857331563483E-3</v>
      </c>
      <c r="K1124">
        <v>3.684881055120038E-3</v>
      </c>
      <c r="L1124" t="s">
        <v>96</v>
      </c>
      <c r="M1124">
        <v>1270.1946322929159</v>
      </c>
      <c r="N1124">
        <v>-61.811771798359118</v>
      </c>
      <c r="O1124">
        <v>1208.382860494557</v>
      </c>
      <c r="P1124">
        <v>100.6222156960516</v>
      </c>
      <c r="Q1124">
        <v>5.9233517547809678</v>
      </c>
      <c r="R1124">
        <v>3.771250000000002</v>
      </c>
      <c r="S1124" t="s">
        <v>96</v>
      </c>
      <c r="T1124">
        <v>-4835.2321524668669</v>
      </c>
    </row>
    <row r="1125" spans="1:20" x14ac:dyDescent="0.25">
      <c r="A1125" s="1" t="s">
        <v>47</v>
      </c>
      <c r="B1125">
        <v>1991</v>
      </c>
      <c r="C1125">
        <v>1039.7949834592409</v>
      </c>
      <c r="D1125">
        <v>1038.9387334592409</v>
      </c>
      <c r="E1125">
        <v>0.85624999999999996</v>
      </c>
      <c r="F1125">
        <v>1.261809750891794</v>
      </c>
      <c r="G1125">
        <v>-8.0615619177102874E-2</v>
      </c>
      <c r="H1125">
        <v>1.181194131714691</v>
      </c>
      <c r="I1125">
        <v>9.7704866568664034E-2</v>
      </c>
      <c r="J1125">
        <v>7.6648531809487526E-3</v>
      </c>
      <c r="K1125">
        <v>4.8695725138237752E-3</v>
      </c>
      <c r="L1125" t="s">
        <v>96</v>
      </c>
      <c r="M1125">
        <v>1312.023449057242</v>
      </c>
      <c r="N1125">
        <v>-83.823716408812132</v>
      </c>
      <c r="O1125">
        <v>1228.19973264843</v>
      </c>
      <c r="P1125">
        <v>101.5930301176513</v>
      </c>
      <c r="Q1125">
        <v>7.9698758865021171</v>
      </c>
      <c r="R1125">
        <v>5.0591875000000037</v>
      </c>
      <c r="S1125" t="s">
        <v>96</v>
      </c>
      <c r="T1125">
        <v>-4923.6800292265852</v>
      </c>
    </row>
    <row r="1126" spans="1:20" x14ac:dyDescent="0.25">
      <c r="A1126" s="1" t="s">
        <v>47</v>
      </c>
      <c r="B1126">
        <v>1992</v>
      </c>
      <c r="C1126">
        <v>1055.29498345924</v>
      </c>
      <c r="D1126">
        <v>1054.43873345924</v>
      </c>
      <c r="E1126">
        <v>0.85624999999999996</v>
      </c>
      <c r="F1126">
        <v>1.3150079100646741</v>
      </c>
      <c r="G1126">
        <v>-0.10026325594046739</v>
      </c>
      <c r="H1126">
        <v>1.2147446541242071</v>
      </c>
      <c r="I1126">
        <v>9.7327093769470852E-2</v>
      </c>
      <c r="J1126">
        <v>9.4915641363040142E-3</v>
      </c>
      <c r="K1126">
        <v>6.0194346040166151E-3</v>
      </c>
      <c r="L1126" t="s">
        <v>96</v>
      </c>
      <c r="M1126">
        <v>1387.721250700471</v>
      </c>
      <c r="N1126">
        <v>-105.8073110192651</v>
      </c>
      <c r="O1126">
        <v>1281.9139396812061</v>
      </c>
      <c r="P1126">
        <v>102.70879380958969</v>
      </c>
      <c r="Q1126">
        <v>10.016400018223271</v>
      </c>
      <c r="R1126">
        <v>6.3471250000000037</v>
      </c>
      <c r="S1126" t="s">
        <v>96</v>
      </c>
      <c r="T1126">
        <v>-5136.9496145335352</v>
      </c>
    </row>
    <row r="1127" spans="1:20" x14ac:dyDescent="0.25">
      <c r="A1127" s="1" t="s">
        <v>47</v>
      </c>
      <c r="B1127">
        <v>1993</v>
      </c>
      <c r="C1127">
        <v>1070.79498345924</v>
      </c>
      <c r="D1127">
        <v>1069.93873345924</v>
      </c>
      <c r="E1127">
        <v>0.85624999999999996</v>
      </c>
      <c r="F1127">
        <v>1.335071008451544</v>
      </c>
      <c r="G1127">
        <v>-0.1193420847162406</v>
      </c>
      <c r="H1127">
        <v>1.2157289237353031</v>
      </c>
      <c r="I1127">
        <v>9.7095623698188818E-2</v>
      </c>
      <c r="J1127">
        <v>1.12653909817309E-2</v>
      </c>
      <c r="K1127">
        <v>7.1359810251143364E-3</v>
      </c>
      <c r="L1127" t="s">
        <v>96</v>
      </c>
      <c r="M1127">
        <v>1429.587338411782</v>
      </c>
      <c r="N1127">
        <v>-127.7909056297181</v>
      </c>
      <c r="O1127">
        <v>1301.7964327820639</v>
      </c>
      <c r="P1127">
        <v>103.9695067718667</v>
      </c>
      <c r="Q1127">
        <v>12.06292414994441</v>
      </c>
      <c r="R1127">
        <v>7.6350625000000027</v>
      </c>
      <c r="S1127" t="s">
        <v>96</v>
      </c>
      <c r="T1127">
        <v>-5226.7010627480176</v>
      </c>
    </row>
    <row r="1128" spans="1:20" x14ac:dyDescent="0.25">
      <c r="A1128" s="1" t="s">
        <v>47</v>
      </c>
      <c r="B1128">
        <v>1994</v>
      </c>
      <c r="C1128">
        <v>1086.29498345924</v>
      </c>
      <c r="D1128">
        <v>1085.43873345924</v>
      </c>
      <c r="E1128">
        <v>0.85624999999999996</v>
      </c>
      <c r="F1128">
        <v>1.3545615588109361</v>
      </c>
      <c r="G1128">
        <v>-0.13787645392895351</v>
      </c>
      <c r="H1128">
        <v>1.216685104881982</v>
      </c>
      <c r="I1128">
        <v>9.7004193712578457E-2</v>
      </c>
      <c r="J1128">
        <v>1.2988597477210919E-2</v>
      </c>
      <c r="K1128">
        <v>8.220639014385309E-3</v>
      </c>
      <c r="L1128" t="s">
        <v>96</v>
      </c>
      <c r="M1128">
        <v>1471.4534261230481</v>
      </c>
      <c r="N1128">
        <v>-149.77450024017119</v>
      </c>
      <c r="O1128">
        <v>1321.6789258828769</v>
      </c>
      <c r="P1128">
        <v>105.3751690044823</v>
      </c>
      <c r="Q1128">
        <v>14.109448281665561</v>
      </c>
      <c r="R1128">
        <v>8.9230000000000054</v>
      </c>
      <c r="S1128" t="s">
        <v>96</v>
      </c>
      <c r="T1128">
        <v>-5316.9839916202409</v>
      </c>
    </row>
    <row r="1129" spans="1:20" x14ac:dyDescent="0.25">
      <c r="A1129" s="1" t="s">
        <v>47</v>
      </c>
      <c r="B1129">
        <v>1995</v>
      </c>
      <c r="C1129">
        <v>1101.79498345924</v>
      </c>
      <c r="D1129">
        <v>1100.93873345924</v>
      </c>
      <c r="E1129">
        <v>0.85624999999999996</v>
      </c>
      <c r="F1129">
        <v>1.3735037248790589</v>
      </c>
      <c r="G1129">
        <v>-0.15588934187317269</v>
      </c>
      <c r="H1129">
        <v>1.2176143830058861</v>
      </c>
      <c r="I1129">
        <v>9.7046893580626153E-2</v>
      </c>
      <c r="J1129">
        <v>1.466331999684984E-2</v>
      </c>
      <c r="K1129">
        <v>9.2747554334076335E-3</v>
      </c>
      <c r="L1129" t="s">
        <v>96</v>
      </c>
      <c r="M1129">
        <v>1513.3195138343281</v>
      </c>
      <c r="N1129">
        <v>-171.75809485062419</v>
      </c>
      <c r="O1129">
        <v>1341.5614189837031</v>
      </c>
      <c r="P1129">
        <v>106.9257805074366</v>
      </c>
      <c r="Q1129">
        <v>16.15597241338671</v>
      </c>
      <c r="R1129">
        <v>10.210937500000011</v>
      </c>
      <c r="S1129" t="s">
        <v>96</v>
      </c>
      <c r="T1129">
        <v>-5407.7984011504232</v>
      </c>
    </row>
    <row r="1130" spans="1:20" x14ac:dyDescent="0.25">
      <c r="A1130" s="1" t="s">
        <v>47</v>
      </c>
      <c r="B1130">
        <v>1996</v>
      </c>
      <c r="C1130">
        <v>1117.3028429650631</v>
      </c>
      <c r="D1130">
        <v>1116.446592965063</v>
      </c>
      <c r="E1130">
        <v>0.85624999999999996</v>
      </c>
      <c r="F1130">
        <v>1.39174989174381</v>
      </c>
      <c r="G1130">
        <v>-0.17317270320359571</v>
      </c>
      <c r="H1130">
        <v>1.218577188540215</v>
      </c>
      <c r="I1130">
        <v>9.7217258096626347E-2</v>
      </c>
      <c r="J1130">
        <v>1.6262962220772999E-2</v>
      </c>
      <c r="K1130">
        <v>1.0278186089451091E-2</v>
      </c>
      <c r="L1130" t="s">
        <v>96</v>
      </c>
      <c r="M1130">
        <v>1555.006110741678</v>
      </c>
      <c r="N1130">
        <v>-193.48635361332251</v>
      </c>
      <c r="O1130">
        <v>1361.519757128355</v>
      </c>
      <c r="P1130">
        <v>108.6211188566289</v>
      </c>
      <c r="Q1130">
        <v>18.170653924303078</v>
      </c>
      <c r="R1130">
        <v>11.47504584142858</v>
      </c>
      <c r="S1130" t="s">
        <v>96</v>
      </c>
      <c r="T1130">
        <v>-5499.2174444197917</v>
      </c>
    </row>
    <row r="1131" spans="1:20" x14ac:dyDescent="0.25">
      <c r="A1131" s="1" t="s">
        <v>47</v>
      </c>
      <c r="B1131">
        <v>1997</v>
      </c>
      <c r="C1131">
        <v>1132.8107024708861</v>
      </c>
      <c r="D1131">
        <v>1131.9544524708861</v>
      </c>
      <c r="E1131">
        <v>0.85624999999999996</v>
      </c>
      <c r="F1131">
        <v>1.4584913906609209</v>
      </c>
      <c r="G1131">
        <v>-0.19004959249275291</v>
      </c>
      <c r="H1131">
        <v>1.2684417981681679</v>
      </c>
      <c r="I1131">
        <v>9.7509867397368694E-2</v>
      </c>
      <c r="J1131">
        <v>1.7818807141556141E-2</v>
      </c>
      <c r="K1131">
        <v>1.125412259746803E-2</v>
      </c>
      <c r="L1131" t="s">
        <v>96</v>
      </c>
      <c r="M1131">
        <v>1652.194656802337</v>
      </c>
      <c r="N1131">
        <v>-215.290212376021</v>
      </c>
      <c r="O1131">
        <v>1436.904444426317</v>
      </c>
      <c r="P1131">
        <v>110.4602213842562</v>
      </c>
      <c r="Q1131">
        <v>20.18533543521945</v>
      </c>
      <c r="R1131">
        <v>12.739154182857151</v>
      </c>
      <c r="S1131" t="s">
        <v>96</v>
      </c>
      <c r="T1131">
        <v>-5794.3935699055746</v>
      </c>
    </row>
    <row r="1132" spans="1:20" x14ac:dyDescent="0.25">
      <c r="A1132" s="1" t="s">
        <v>47</v>
      </c>
      <c r="B1132">
        <v>1998</v>
      </c>
      <c r="C1132">
        <v>1148.3185619767089</v>
      </c>
      <c r="D1132">
        <v>1147.4623119767091</v>
      </c>
      <c r="E1132">
        <v>0.85624999999999996</v>
      </c>
      <c r="F1132">
        <v>1.4730705625859719</v>
      </c>
      <c r="G1132">
        <v>-0.20647064237173621</v>
      </c>
      <c r="H1132">
        <v>1.266599920214236</v>
      </c>
      <c r="I1132">
        <v>9.7919768793739217E-2</v>
      </c>
      <c r="J1132">
        <v>1.9332629186034268E-2</v>
      </c>
      <c r="K1132">
        <v>1.2203679700959071E-2</v>
      </c>
      <c r="L1132" t="s">
        <v>96</v>
      </c>
      <c r="M1132">
        <v>1691.5542701189449</v>
      </c>
      <c r="N1132">
        <v>-237.09407113871941</v>
      </c>
      <c r="O1132">
        <v>1454.460198980225</v>
      </c>
      <c r="P1132">
        <v>112.4430880903184</v>
      </c>
      <c r="Q1132">
        <v>22.200016946135818</v>
      </c>
      <c r="R1132">
        <v>14.00326252428572</v>
      </c>
      <c r="S1132" t="s">
        <v>96</v>
      </c>
      <c r="T1132">
        <v>-5878.0574106507411</v>
      </c>
    </row>
    <row r="1133" spans="1:20" x14ac:dyDescent="0.25">
      <c r="A1133" s="1" t="s">
        <v>47</v>
      </c>
      <c r="B1133">
        <v>1999</v>
      </c>
      <c r="C1133">
        <v>1163.826421482531</v>
      </c>
      <c r="D1133">
        <v>1162.970171482531</v>
      </c>
      <c r="E1133">
        <v>0.85624999999999996</v>
      </c>
      <c r="F1133">
        <v>1.4872561844491969</v>
      </c>
      <c r="G1133">
        <v>-0.2224540748710814</v>
      </c>
      <c r="H1133">
        <v>1.2648021095781159</v>
      </c>
      <c r="I1133">
        <v>9.8442273572782346E-2</v>
      </c>
      <c r="J1133">
        <v>2.080610820487E-2</v>
      </c>
      <c r="K1133">
        <v>1.312791268433975E-2</v>
      </c>
      <c r="L1133" t="s">
        <v>96</v>
      </c>
      <c r="M1133">
        <v>1730.908042975273</v>
      </c>
      <c r="N1133">
        <v>-258.8979299014178</v>
      </c>
      <c r="O1133">
        <v>1472.0101130738551</v>
      </c>
      <c r="P1133">
        <v>114.5697189748157</v>
      </c>
      <c r="Q1133">
        <v>24.21469845705219</v>
      </c>
      <c r="R1133">
        <v>15.267370865714289</v>
      </c>
      <c r="S1133" t="s">
        <v>96</v>
      </c>
      <c r="T1133">
        <v>-5962.2269716958144</v>
      </c>
    </row>
    <row r="1134" spans="1:20" x14ac:dyDescent="0.25">
      <c r="A1134" s="1" t="s">
        <v>47</v>
      </c>
      <c r="B1134">
        <v>2000</v>
      </c>
      <c r="C1134">
        <v>1179.334280988355</v>
      </c>
      <c r="D1134">
        <v>1178.478030988354</v>
      </c>
      <c r="E1134">
        <v>0.85624999999999996</v>
      </c>
      <c r="F1134">
        <v>1.501063781413825</v>
      </c>
      <c r="G1134">
        <v>-0.23801715356639239</v>
      </c>
      <c r="H1134">
        <v>1.263046627847433</v>
      </c>
      <c r="I1134">
        <v>9.9072939641700858E-2</v>
      </c>
      <c r="J1134">
        <v>2.2240835690782019E-2</v>
      </c>
      <c r="K1134">
        <v>1.40278212851184E-2</v>
      </c>
      <c r="L1134" t="s">
        <v>96</v>
      </c>
      <c r="M1134">
        <v>1770.255975371334</v>
      </c>
      <c r="N1134">
        <v>-280.70178866411618</v>
      </c>
      <c r="O1134">
        <v>1489.5541867072179</v>
      </c>
      <c r="P1134">
        <v>116.8401140377479</v>
      </c>
      <c r="Q1134">
        <v>26.229379967968551</v>
      </c>
      <c r="R1134">
        <v>16.531479207142858</v>
      </c>
      <c r="S1134" t="s">
        <v>96</v>
      </c>
      <c r="T1134">
        <v>-6046.9022530408347</v>
      </c>
    </row>
    <row r="1135" spans="1:20" x14ac:dyDescent="0.25">
      <c r="A1135" s="1" t="s">
        <v>47</v>
      </c>
      <c r="B1135">
        <v>2001</v>
      </c>
      <c r="C1135">
        <v>1194.8421404941771</v>
      </c>
      <c r="D1135">
        <v>1193.9858904941771</v>
      </c>
      <c r="E1135">
        <v>0.85624999999999996</v>
      </c>
      <c r="F1135">
        <v>1.514508072638526</v>
      </c>
      <c r="G1135">
        <v>-0.25317624577728792</v>
      </c>
      <c r="H1135">
        <v>1.2613318268612379</v>
      </c>
      <c r="I1135">
        <v>9.9807555523436828E-2</v>
      </c>
      <c r="J1135">
        <v>2.3638320512535151E-2</v>
      </c>
      <c r="K1135">
        <v>1.4904353301198591E-2</v>
      </c>
      <c r="L1135" t="s">
        <v>96</v>
      </c>
      <c r="M1135">
        <v>1809.5980673071269</v>
      </c>
      <c r="N1135">
        <v>-302.50564742681462</v>
      </c>
      <c r="O1135">
        <v>1507.0924198803129</v>
      </c>
      <c r="P1135">
        <v>119.2542732791147</v>
      </c>
      <c r="Q1135">
        <v>28.24406147888492</v>
      </c>
      <c r="R1135">
        <v>17.795587548571429</v>
      </c>
      <c r="S1135" t="s">
        <v>96</v>
      </c>
      <c r="T1135">
        <v>-6132.0832546857973</v>
      </c>
    </row>
    <row r="1136" spans="1:20" x14ac:dyDescent="0.25">
      <c r="A1136" s="1" t="s">
        <v>47</v>
      </c>
      <c r="B1136">
        <v>2002</v>
      </c>
      <c r="C1136">
        <v>1210.3499999999999</v>
      </c>
      <c r="D1136">
        <v>1209.4937500000001</v>
      </c>
      <c r="E1136">
        <v>0.85624999999999996</v>
      </c>
      <c r="F1136">
        <v>1.756183423220546</v>
      </c>
      <c r="G1136">
        <v>-0.26794687998472588</v>
      </c>
      <c r="H1136">
        <v>1.48823654323582</v>
      </c>
      <c r="I1136">
        <v>0.10064212558261409</v>
      </c>
      <c r="J1136">
        <v>2.499999420812269E-2</v>
      </c>
      <c r="K1136">
        <v>1.57584079206693E-2</v>
      </c>
      <c r="L1136" t="s">
        <v>96</v>
      </c>
      <c r="M1136">
        <v>2125.5966062949869</v>
      </c>
      <c r="N1136">
        <v>-324.30950618951289</v>
      </c>
      <c r="O1136">
        <v>1801.287100105475</v>
      </c>
      <c r="P1136">
        <v>121.81219669891691</v>
      </c>
      <c r="Q1136">
        <v>30.258742989801291</v>
      </c>
      <c r="R1136">
        <v>19.059695890000011</v>
      </c>
      <c r="S1136" t="s">
        <v>96</v>
      </c>
      <c r="T1136">
        <v>-7232.1983641760316</v>
      </c>
    </row>
    <row r="1137" spans="1:20" x14ac:dyDescent="0.25">
      <c r="A1137" s="1" t="s">
        <v>47</v>
      </c>
      <c r="B1137">
        <v>2003</v>
      </c>
      <c r="C1137">
        <v>1209.45</v>
      </c>
      <c r="D1137">
        <v>1208.616506666667</v>
      </c>
      <c r="E1137">
        <v>0.83349333333333331</v>
      </c>
      <c r="F1137">
        <v>1.758019338904268</v>
      </c>
      <c r="G1137">
        <v>-0.26633298714960701</v>
      </c>
      <c r="H1137">
        <v>1.491686351754661</v>
      </c>
      <c r="I1137">
        <v>0.101521958041359</v>
      </c>
      <c r="J1137">
        <v>2.4850841072719222E-2</v>
      </c>
      <c r="K1137">
        <v>1.5666287267762841E-2</v>
      </c>
      <c r="L1137" t="s">
        <v>96</v>
      </c>
      <c r="M1137">
        <v>2126.236489437767</v>
      </c>
      <c r="N1137">
        <v>-322.11643130809222</v>
      </c>
      <c r="O1137">
        <v>1804.120058129675</v>
      </c>
      <c r="P1137">
        <v>122.7857321531216</v>
      </c>
      <c r="Q1137">
        <v>30.055849735400258</v>
      </c>
      <c r="R1137">
        <v>18.934533389999999</v>
      </c>
      <c r="S1137" t="s">
        <v>96</v>
      </c>
      <c r="T1137">
        <v>-7244.9526358307139</v>
      </c>
    </row>
    <row r="1138" spans="1:20" x14ac:dyDescent="0.25">
      <c r="A1138" s="1" t="s">
        <v>47</v>
      </c>
      <c r="B1138">
        <v>2004</v>
      </c>
      <c r="C1138">
        <v>1208.55</v>
      </c>
      <c r="D1138">
        <v>1207.7392633333329</v>
      </c>
      <c r="E1138">
        <v>0.81073666666666666</v>
      </c>
      <c r="F1138">
        <v>1.7598619090832379</v>
      </c>
      <c r="G1138">
        <v>-0.26463849772592901</v>
      </c>
      <c r="H1138">
        <v>1.4952234113573091</v>
      </c>
      <c r="I1138">
        <v>0.1023906205259489</v>
      </c>
      <c r="J1138">
        <v>2.4701465790409369E-2</v>
      </c>
      <c r="K1138">
        <v>1.5574032790891109E-2</v>
      </c>
      <c r="L1138" t="s">
        <v>96</v>
      </c>
      <c r="M1138">
        <v>2126.8811102225459</v>
      </c>
      <c r="N1138">
        <v>-319.82885642667151</v>
      </c>
      <c r="O1138">
        <v>1807.052253795875</v>
      </c>
      <c r="P1138">
        <v>123.74418443663551</v>
      </c>
      <c r="Q1138">
        <v>29.852956480999239</v>
      </c>
      <c r="R1138">
        <v>18.80937089</v>
      </c>
      <c r="S1138" t="s">
        <v>96</v>
      </c>
      <c r="T1138">
        <v>-7258.0154738801957</v>
      </c>
    </row>
    <row r="1139" spans="1:20" x14ac:dyDescent="0.25">
      <c r="A1139" s="1" t="s">
        <v>47</v>
      </c>
      <c r="B1139">
        <v>2005</v>
      </c>
      <c r="C1139">
        <v>1207.6500000000001</v>
      </c>
      <c r="D1139">
        <v>1206.86202</v>
      </c>
      <c r="E1139">
        <v>0.78798000000000001</v>
      </c>
      <c r="F1139">
        <v>1.7617111486351069</v>
      </c>
      <c r="G1139">
        <v>-0.26294148266902728</v>
      </c>
      <c r="H1139">
        <v>1.4987696659660801</v>
      </c>
      <c r="I1139">
        <v>0.1032480880631463</v>
      </c>
      <c r="J1139">
        <v>2.4551867864528801E-2</v>
      </c>
      <c r="K1139">
        <v>1.5481644198232379E-2</v>
      </c>
      <c r="L1139" t="s">
        <v>96</v>
      </c>
      <c r="M1139">
        <v>2127.5304686491868</v>
      </c>
      <c r="N1139">
        <v>-317.5412815452508</v>
      </c>
      <c r="O1139">
        <v>1809.989187103937</v>
      </c>
      <c r="P1139">
        <v>124.6875535494587</v>
      </c>
      <c r="Q1139">
        <v>29.65006322659821</v>
      </c>
      <c r="R1139">
        <v>18.684208390000009</v>
      </c>
      <c r="S1139" t="s">
        <v>96</v>
      </c>
      <c r="T1139">
        <v>-7271.0403783239708</v>
      </c>
    </row>
    <row r="1140" spans="1:20" x14ac:dyDescent="0.25">
      <c r="A1140" s="1" t="s">
        <v>47</v>
      </c>
      <c r="B1140">
        <v>2006</v>
      </c>
      <c r="C1140">
        <v>1206.75</v>
      </c>
      <c r="D1140">
        <v>1205.8896193749999</v>
      </c>
      <c r="E1140">
        <v>0.86038062500000001</v>
      </c>
      <c r="F1140">
        <v>1.763567072482054</v>
      </c>
      <c r="G1140">
        <v>-0.26124193632801329</v>
      </c>
      <c r="H1140">
        <v>1.5023251361540411</v>
      </c>
      <c r="I1140">
        <v>0.1040943356052131</v>
      </c>
      <c r="J1140">
        <v>2.440204679693158E-2</v>
      </c>
      <c r="K1140">
        <v>1.539033555958377E-2</v>
      </c>
      <c r="L1140" t="s">
        <v>96</v>
      </c>
      <c r="M1140">
        <v>2128.1845647177188</v>
      </c>
      <c r="N1140">
        <v>-315.25370666382997</v>
      </c>
      <c r="O1140">
        <v>1812.9308580538891</v>
      </c>
      <c r="P1140">
        <v>125.6158394915909</v>
      </c>
      <c r="Q1140">
        <v>29.447169972197191</v>
      </c>
      <c r="R1140">
        <v>18.55904589</v>
      </c>
      <c r="S1140" t="s">
        <v>96</v>
      </c>
      <c r="T1140">
        <v>-7284.0273491621438</v>
      </c>
    </row>
    <row r="1141" spans="1:20" x14ac:dyDescent="0.25">
      <c r="A1141" s="1" t="s">
        <v>47</v>
      </c>
      <c r="B1141">
        <v>2007</v>
      </c>
      <c r="C1141">
        <v>1206.7</v>
      </c>
      <c r="D1141">
        <v>1205.76721875</v>
      </c>
      <c r="E1141">
        <v>0.93278125000000001</v>
      </c>
      <c r="F1141">
        <v>1.765566132089748</v>
      </c>
      <c r="G1141">
        <v>-0.25962627041573699</v>
      </c>
      <c r="H1141">
        <v>1.5059398616740121</v>
      </c>
      <c r="I1141">
        <v>0.1049289190564802</v>
      </c>
      <c r="J1141">
        <v>2.425671649442496E-2</v>
      </c>
      <c r="K1141">
        <v>1.5341801321571039E-2</v>
      </c>
      <c r="L1141" t="s">
        <v>96</v>
      </c>
      <c r="M1141">
        <v>2130.5086515927001</v>
      </c>
      <c r="N1141">
        <v>-313.29102051066991</v>
      </c>
      <c r="O1141">
        <v>1817.21763108203</v>
      </c>
      <c r="P1141">
        <v>126.61772662545469</v>
      </c>
      <c r="Q1141">
        <v>29.270579793822609</v>
      </c>
      <c r="R1141">
        <v>18.498641110125789</v>
      </c>
      <c r="S1141" t="s">
        <v>96</v>
      </c>
      <c r="T1141">
        <v>-7302.5501215759186</v>
      </c>
    </row>
    <row r="1142" spans="1:20" x14ac:dyDescent="0.25">
      <c r="A1142" s="1" t="s">
        <v>47</v>
      </c>
      <c r="B1142">
        <v>2008</v>
      </c>
      <c r="C1142">
        <v>1206.6500000000001</v>
      </c>
      <c r="D1142">
        <v>1205.7236875000001</v>
      </c>
      <c r="E1142">
        <v>0.92631249999999998</v>
      </c>
      <c r="F1142">
        <v>1.813594902104813</v>
      </c>
      <c r="G1142">
        <v>-0.2580887866054859</v>
      </c>
      <c r="H1142">
        <v>1.555506115499327</v>
      </c>
      <c r="I1142">
        <v>2.062775125863962E-2</v>
      </c>
      <c r="J1142">
        <v>2.411137414780426E-2</v>
      </c>
      <c r="K1142">
        <v>1.529225685901736E-2</v>
      </c>
      <c r="L1142" t="s">
        <v>96</v>
      </c>
      <c r="M1142">
        <v>2188.3742886247719</v>
      </c>
      <c r="N1142">
        <v>-311.42283435750949</v>
      </c>
      <c r="O1142">
        <v>1876.9514542672621</v>
      </c>
      <c r="P1142">
        <v>24.8904760562375</v>
      </c>
      <c r="Q1142">
        <v>29.09398961544801</v>
      </c>
      <c r="R1142">
        <v>18.43823633025157</v>
      </c>
      <c r="S1142" t="s">
        <v>96</v>
      </c>
      <c r="T1142">
        <v>-7147.7052396543813</v>
      </c>
    </row>
    <row r="1143" spans="1:20" x14ac:dyDescent="0.25">
      <c r="A1143" s="1" t="s">
        <v>47</v>
      </c>
      <c r="B1143">
        <v>2009</v>
      </c>
      <c r="C1143">
        <v>1206.5999999999999</v>
      </c>
      <c r="D1143">
        <v>1205.6799531250001</v>
      </c>
      <c r="E1143">
        <v>0.92004687500000004</v>
      </c>
      <c r="F1143">
        <v>1.812381647415787</v>
      </c>
      <c r="G1143">
        <v>-0.25655117537240962</v>
      </c>
      <c r="H1143">
        <v>1.555830472043378</v>
      </c>
      <c r="I1143">
        <v>2.049172135345494E-2</v>
      </c>
      <c r="J1143">
        <v>2.3966019755572211E-2</v>
      </c>
      <c r="K1143">
        <v>1.52427113868352E-2</v>
      </c>
      <c r="L1143" t="s">
        <v>96</v>
      </c>
      <c r="M1143">
        <v>2186.8196957718892</v>
      </c>
      <c r="N1143">
        <v>-309.55464820434929</v>
      </c>
      <c r="O1143">
        <v>1877.2650475675391</v>
      </c>
      <c r="P1143">
        <v>24.725310985078728</v>
      </c>
      <c r="Q1143">
        <v>28.917399437073431</v>
      </c>
      <c r="R1143">
        <v>18.377831550377358</v>
      </c>
      <c r="S1143" t="s">
        <v>96</v>
      </c>
      <c r="T1143">
        <v>-7147.3804949809028</v>
      </c>
    </row>
    <row r="1144" spans="1:20" x14ac:dyDescent="0.25">
      <c r="A1144" s="1" t="s">
        <v>47</v>
      </c>
      <c r="B1144">
        <v>2010</v>
      </c>
      <c r="C1144">
        <v>1206.55</v>
      </c>
      <c r="D1144">
        <v>1205.6291562500001</v>
      </c>
      <c r="E1144">
        <v>0.92084374999999996</v>
      </c>
      <c r="F1144">
        <v>1.8111682921710719</v>
      </c>
      <c r="G1144">
        <v>-0.25501343670066651</v>
      </c>
      <c r="H1144">
        <v>1.556154855470405</v>
      </c>
      <c r="I1144">
        <v>2.0355769386380531E-2</v>
      </c>
      <c r="J1144">
        <v>2.3820653316231271E-2</v>
      </c>
      <c r="K1144">
        <v>1.519325132072771E-2</v>
      </c>
      <c r="L1144" t="s">
        <v>96</v>
      </c>
      <c r="M1144">
        <v>2185.265102919006</v>
      </c>
      <c r="N1144">
        <v>-307.6864620511891</v>
      </c>
      <c r="O1144">
        <v>1877.5786408678171</v>
      </c>
      <c r="P1144">
        <v>24.560253553137422</v>
      </c>
      <c r="Q1144">
        <v>28.740809258698839</v>
      </c>
      <c r="R1144">
        <v>18.31742677050315</v>
      </c>
      <c r="S1144" t="s">
        <v>96</v>
      </c>
      <c r="T1144">
        <v>-7147.0561449845572</v>
      </c>
    </row>
    <row r="1145" spans="1:20" x14ac:dyDescent="0.25">
      <c r="A1145" s="1" t="s">
        <v>47</v>
      </c>
      <c r="B1145">
        <v>2011</v>
      </c>
      <c r="C1145">
        <v>1206.5</v>
      </c>
      <c r="D1145">
        <v>1205.5757187500001</v>
      </c>
      <c r="E1145">
        <v>0.92428125000000005</v>
      </c>
      <c r="F1145">
        <v>1.795577553538485</v>
      </c>
      <c r="G1145">
        <v>-0.2352546052943025</v>
      </c>
      <c r="H1145">
        <v>1.5603229482441829</v>
      </c>
      <c r="I1145">
        <v>1.8704920478766481E-2</v>
      </c>
      <c r="J1145">
        <v>2.1979026065978541E-2</v>
      </c>
      <c r="K1145">
        <v>1.4075502871128919E-2</v>
      </c>
      <c r="L1145" t="s">
        <v>96</v>
      </c>
      <c r="M1145">
        <v>2166.3643183441818</v>
      </c>
      <c r="N1145">
        <v>-283.8346812875759</v>
      </c>
      <c r="O1145">
        <v>1882.5296370566059</v>
      </c>
      <c r="P1145">
        <v>22.567486557631749</v>
      </c>
      <c r="Q1145">
        <v>26.517694948603101</v>
      </c>
      <c r="R1145">
        <v>16.969084490628941</v>
      </c>
      <c r="S1145" t="s">
        <v>96</v>
      </c>
      <c r="T1145">
        <v>-7144.8076445300403</v>
      </c>
    </row>
    <row r="1146" spans="1:20" x14ac:dyDescent="0.25">
      <c r="A1146" s="1" t="s">
        <v>47</v>
      </c>
      <c r="B1146">
        <v>2012</v>
      </c>
      <c r="C1146">
        <v>1206.45</v>
      </c>
      <c r="D1146">
        <v>1205.528296875</v>
      </c>
      <c r="E1146">
        <v>0.92170312499999996</v>
      </c>
      <c r="F1146">
        <v>1.77998552262369</v>
      </c>
      <c r="G1146">
        <v>-0.21549413612164831</v>
      </c>
      <c r="H1146">
        <v>1.564491386502042</v>
      </c>
      <c r="I1146">
        <v>1.7055073835930822E-2</v>
      </c>
      <c r="J1146">
        <v>2.013724616727371E-2</v>
      </c>
      <c r="K1146">
        <v>1.2957590668959979E-2</v>
      </c>
      <c r="L1146" t="s">
        <v>96</v>
      </c>
      <c r="M1146">
        <v>2147.4635337693512</v>
      </c>
      <c r="N1146">
        <v>-259.9829005239626</v>
      </c>
      <c r="O1146">
        <v>1887.4806332453879</v>
      </c>
      <c r="P1146">
        <v>20.57609382935874</v>
      </c>
      <c r="Q1146">
        <v>24.294580638507369</v>
      </c>
      <c r="R1146">
        <v>15.62074221075472</v>
      </c>
      <c r="S1146" t="s">
        <v>96</v>
      </c>
      <c r="T1146">
        <v>-7142.5641830553504</v>
      </c>
    </row>
    <row r="1147" spans="1:20" x14ac:dyDescent="0.25">
      <c r="A1147" s="1" t="s">
        <v>47</v>
      </c>
      <c r="B1147">
        <v>2013</v>
      </c>
      <c r="C1147">
        <v>1206.8499999999999</v>
      </c>
      <c r="D1147">
        <v>1205.9731718749999</v>
      </c>
      <c r="E1147">
        <v>0.87682812499999996</v>
      </c>
      <c r="F1147">
        <v>1.1993960484994519</v>
      </c>
      <c r="G1147">
        <v>-0.19581700377053299</v>
      </c>
      <c r="H1147">
        <v>1.003579044728919</v>
      </c>
      <c r="I1147">
        <v>0.177878819932313</v>
      </c>
      <c r="J1147">
        <v>1.829792281321331E-2</v>
      </c>
      <c r="K1147">
        <v>1.1796752649676121E-2</v>
      </c>
      <c r="L1147" t="s">
        <v>96</v>
      </c>
      <c r="M1147">
        <v>1447.4911211315639</v>
      </c>
      <c r="N1147">
        <v>-236.3217510004678</v>
      </c>
      <c r="O1147">
        <v>1211.169370131096</v>
      </c>
      <c r="P1147">
        <v>214.673053835312</v>
      </c>
      <c r="Q1147">
        <v>22.08284814712648</v>
      </c>
      <c r="R1147">
        <v>14.22656721075472</v>
      </c>
      <c r="S1147" t="s">
        <v>96</v>
      </c>
      <c r="T1147">
        <v>-5361.2234108562143</v>
      </c>
    </row>
    <row r="1148" spans="1:20" x14ac:dyDescent="0.25">
      <c r="A1148" s="1" t="s">
        <v>47</v>
      </c>
      <c r="B1148">
        <v>2014</v>
      </c>
      <c r="C1148">
        <v>1207.25</v>
      </c>
      <c r="D1148">
        <v>1206.5293750000001</v>
      </c>
      <c r="E1148">
        <v>0.72062499999999996</v>
      </c>
      <c r="F1148">
        <v>0.32495309692728169</v>
      </c>
      <c r="G1148">
        <v>-0.64715416085525046</v>
      </c>
      <c r="H1148">
        <v>-0.32220106392796882</v>
      </c>
      <c r="I1148">
        <v>0.1795729211133506</v>
      </c>
      <c r="J1148">
        <v>1.6459818310826761E-2</v>
      </c>
      <c r="K1148">
        <v>1.0635789295022119E-2</v>
      </c>
      <c r="L1148" t="s">
        <v>96</v>
      </c>
      <c r="M1148">
        <v>392.29962626546069</v>
      </c>
      <c r="N1148">
        <v>-781.27686069250103</v>
      </c>
      <c r="O1148">
        <v>-388.97723442704029</v>
      </c>
      <c r="P1148">
        <v>216.78940901409251</v>
      </c>
      <c r="Q1148">
        <v>19.871115655745601</v>
      </c>
      <c r="R1148">
        <v>12.832392210754721</v>
      </c>
      <c r="S1148" t="s">
        <v>96</v>
      </c>
      <c r="T1148">
        <v>511.44249767035382</v>
      </c>
    </row>
    <row r="1149" spans="1:20" x14ac:dyDescent="0.25">
      <c r="A1149" s="1" t="s">
        <v>47</v>
      </c>
      <c r="B1149">
        <v>2015</v>
      </c>
      <c r="C1149">
        <v>1207.6500000000001</v>
      </c>
      <c r="D1149">
        <v>1206.889469</v>
      </c>
      <c r="E1149">
        <v>0.76053099999999996</v>
      </c>
      <c r="F1149">
        <v>0.2887023477779993</v>
      </c>
      <c r="G1149">
        <v>-0.63436475736672737</v>
      </c>
      <c r="H1149">
        <v>-0.34566240958872813</v>
      </c>
      <c r="I1149">
        <v>0.18102930551731519</v>
      </c>
      <c r="J1149">
        <v>1.462293144898332E-2</v>
      </c>
      <c r="K1149">
        <v>9.4774355933622927E-3</v>
      </c>
      <c r="L1149" t="s">
        <v>96</v>
      </c>
      <c r="M1149">
        <v>348.65139029410091</v>
      </c>
      <c r="N1149">
        <v>-766.0905992339284</v>
      </c>
      <c r="O1149">
        <v>-417.43920893982749</v>
      </c>
      <c r="P1149">
        <v>218.6200408079857</v>
      </c>
      <c r="Q1149">
        <v>17.659383164364709</v>
      </c>
      <c r="R1149">
        <v>11.43821721075472</v>
      </c>
      <c r="S1149" t="s">
        <v>96</v>
      </c>
      <c r="T1149">
        <v>622.31241510803864</v>
      </c>
    </row>
    <row r="1150" spans="1:20" x14ac:dyDescent="0.25">
      <c r="A1150" s="1" t="s">
        <v>47</v>
      </c>
      <c r="B1150">
        <v>2016</v>
      </c>
      <c r="C1150">
        <v>1208.05</v>
      </c>
      <c r="D1150">
        <v>1207.2810312500001</v>
      </c>
      <c r="E1150">
        <v>0.76896874999999998</v>
      </c>
      <c r="F1150">
        <v>0.2527500657599851</v>
      </c>
      <c r="G1150">
        <v>-0.62168065422811225</v>
      </c>
      <c r="H1150">
        <v>-0.3689305884681271</v>
      </c>
      <c r="I1150">
        <v>0.18224985852386541</v>
      </c>
      <c r="J1150">
        <v>1.2813619712585241E-2</v>
      </c>
      <c r="K1150">
        <v>8.3392939247144728E-3</v>
      </c>
      <c r="L1150" t="s">
        <v>96</v>
      </c>
      <c r="M1150">
        <v>305.33471694135</v>
      </c>
      <c r="N1150">
        <v>-751.02131434027092</v>
      </c>
      <c r="O1150">
        <v>-445.68659739892092</v>
      </c>
      <c r="P1150">
        <v>220.16694158975551</v>
      </c>
      <c r="Q1150">
        <v>15.4794932937886</v>
      </c>
      <c r="R1150">
        <v>10.06787136932615</v>
      </c>
      <c r="S1150" t="s">
        <v>96</v>
      </c>
      <c r="T1150">
        <v>733.23173420225226</v>
      </c>
    </row>
    <row r="1151" spans="1:20" x14ac:dyDescent="0.25">
      <c r="A1151" s="1" t="s">
        <v>47</v>
      </c>
      <c r="B1151">
        <v>2017</v>
      </c>
      <c r="C1151">
        <v>1207.7249999999999</v>
      </c>
      <c r="D1151">
        <v>1206.9536874999999</v>
      </c>
      <c r="E1151">
        <v>0.77131249999999996</v>
      </c>
      <c r="F1151">
        <v>0.21532115234075799</v>
      </c>
      <c r="G1151">
        <v>-0.60847558986146388</v>
      </c>
      <c r="H1151">
        <v>-0.39315443752070578</v>
      </c>
      <c r="I1151">
        <v>0.18324157085487469</v>
      </c>
      <c r="J1151">
        <v>1.093005373119197E-2</v>
      </c>
      <c r="K1151">
        <v>7.1545624470347163E-3</v>
      </c>
      <c r="L1151" t="s">
        <v>96</v>
      </c>
      <c r="M1151">
        <v>260.04873871074199</v>
      </c>
      <c r="N1151">
        <v>-734.8711817654364</v>
      </c>
      <c r="O1151">
        <v>-474.82244305469442</v>
      </c>
      <c r="P1151">
        <v>221.30542616070349</v>
      </c>
      <c r="Q1151">
        <v>13.200499142503819</v>
      </c>
      <c r="R1151">
        <v>8.6352255278975729</v>
      </c>
      <c r="S1151" t="s">
        <v>96</v>
      </c>
      <c r="T1151">
        <v>849.49807148657203</v>
      </c>
    </row>
    <row r="1152" spans="1:20" x14ac:dyDescent="0.25">
      <c r="A1152" s="1" t="s">
        <v>47</v>
      </c>
      <c r="B1152">
        <v>2018</v>
      </c>
      <c r="C1152">
        <v>1207.4000000000001</v>
      </c>
      <c r="D1152">
        <v>1206.6312343750001</v>
      </c>
      <c r="E1152">
        <v>0.76876562500000001</v>
      </c>
      <c r="F1152">
        <v>0.17787208918348019</v>
      </c>
      <c r="G1152">
        <v>-0.5952634165898476</v>
      </c>
      <c r="H1152">
        <v>-0.41739132740636742</v>
      </c>
      <c r="I1152">
        <v>0.1839882943595201</v>
      </c>
      <c r="J1152">
        <v>9.0454737379650884E-3</v>
      </c>
      <c r="K1152">
        <v>5.9691639676472718E-3</v>
      </c>
      <c r="L1152" t="s">
        <v>96</v>
      </c>
      <c r="M1152">
        <v>214.76276048013401</v>
      </c>
      <c r="N1152">
        <v>-718.72104919058199</v>
      </c>
      <c r="O1152">
        <v>-503.95828871044802</v>
      </c>
      <c r="P1152">
        <v>222.14746660968461</v>
      </c>
      <c r="Q1152">
        <v>10.92150499121905</v>
      </c>
      <c r="R1152">
        <v>7.2025796864690008</v>
      </c>
      <c r="S1152" t="s">
        <v>96</v>
      </c>
      <c r="T1152">
        <v>966.85137055136431</v>
      </c>
    </row>
    <row r="1153" spans="1:20" x14ac:dyDescent="0.25">
      <c r="A1153" s="1" t="s">
        <v>47</v>
      </c>
      <c r="B1153">
        <v>2019</v>
      </c>
      <c r="C1153">
        <v>1207.075</v>
      </c>
      <c r="D1153">
        <v>1206.3035468749999</v>
      </c>
      <c r="E1153">
        <v>0.77145312499999996</v>
      </c>
      <c r="F1153">
        <v>0.90749992208348917</v>
      </c>
      <c r="G1153">
        <v>-0.1108912213442609</v>
      </c>
      <c r="H1153">
        <v>0.79660870073922829</v>
      </c>
      <c r="I1153">
        <v>0.1608663297060694</v>
      </c>
      <c r="J1153">
        <v>7.1598789138489988E-3</v>
      </c>
      <c r="K1153">
        <v>4.7831525157890692E-3</v>
      </c>
      <c r="L1153" t="s">
        <v>96</v>
      </c>
      <c r="M1153">
        <v>1095.420468448928</v>
      </c>
      <c r="N1153">
        <v>-133.85402100412381</v>
      </c>
      <c r="O1153">
        <v>961.566447444804</v>
      </c>
      <c r="P1153">
        <v>194.17772492995371</v>
      </c>
      <c r="Q1153">
        <v>8.64251083993428</v>
      </c>
      <c r="R1153">
        <v>5.7699338450404332</v>
      </c>
      <c r="S1153" t="s">
        <v>96</v>
      </c>
      <c r="T1153">
        <v>-4290.5742625527419</v>
      </c>
    </row>
    <row r="1154" spans="1:20" x14ac:dyDescent="0.25">
      <c r="A1154" s="1" t="s">
        <v>47</v>
      </c>
      <c r="B1154">
        <v>2020</v>
      </c>
      <c r="C1154">
        <v>1206.75</v>
      </c>
      <c r="D1154">
        <v>1205.9812187499999</v>
      </c>
      <c r="E1154">
        <v>0.76878124999999997</v>
      </c>
      <c r="F1154">
        <v>0.88076965868555968</v>
      </c>
      <c r="G1154">
        <v>-9.1056517745342958E-2</v>
      </c>
      <c r="H1154">
        <v>0.78971314094021683</v>
      </c>
      <c r="I1154">
        <v>0.16076168251848891</v>
      </c>
      <c r="J1154">
        <v>5.2732684389057427E-3</v>
      </c>
      <c r="K1154">
        <v>3.5964805555657501E-3</v>
      </c>
      <c r="L1154" t="s">
        <v>96</v>
      </c>
      <c r="M1154">
        <v>1062.8687856187989</v>
      </c>
      <c r="N1154">
        <v>-109.8824527891926</v>
      </c>
      <c r="O1154">
        <v>952.98633282960679</v>
      </c>
      <c r="P1154">
        <v>193.99916037918649</v>
      </c>
      <c r="Q1154">
        <v>6.363516688649506</v>
      </c>
      <c r="R1154">
        <v>4.3372880036118611</v>
      </c>
      <c r="S1154" t="s">
        <v>96</v>
      </c>
      <c r="T1154">
        <v>-4244.8497589709204</v>
      </c>
    </row>
    <row r="1155" spans="1:20" x14ac:dyDescent="0.25">
      <c r="A1155" s="1" t="s">
        <v>47</v>
      </c>
      <c r="B1155">
        <v>2021</v>
      </c>
      <c r="C1155">
        <v>1206.425</v>
      </c>
      <c r="D1155">
        <v>1205.6492812500001</v>
      </c>
      <c r="E1155">
        <v>0.77571875000000001</v>
      </c>
      <c r="F1155">
        <v>0.854024993504504</v>
      </c>
      <c r="G1155">
        <v>-7.1211127566372989E-2</v>
      </c>
      <c r="H1155">
        <v>0.78281386593813107</v>
      </c>
      <c r="I1155">
        <v>0.16044434498342169</v>
      </c>
      <c r="J1155">
        <v>3.385641492313849E-3</v>
      </c>
      <c r="K1155">
        <v>2.409193293070933E-3</v>
      </c>
      <c r="L1155" t="s">
        <v>96</v>
      </c>
      <c r="M1155">
        <v>1030.317102788671</v>
      </c>
      <c r="N1155">
        <v>-85.91088457426153</v>
      </c>
      <c r="O1155">
        <v>944.40621821440971</v>
      </c>
      <c r="P1155">
        <v>193.56406889662449</v>
      </c>
      <c r="Q1155">
        <v>4.0845225373647356</v>
      </c>
      <c r="R1155">
        <v>2.9046421621832921</v>
      </c>
      <c r="S1155" t="s">
        <v>96</v>
      </c>
      <c r="T1155">
        <v>-4198.1846566391832</v>
      </c>
    </row>
    <row r="1156" spans="1:20" x14ac:dyDescent="0.25">
      <c r="A1156" s="1" t="s">
        <v>47</v>
      </c>
      <c r="B1156">
        <v>2022</v>
      </c>
      <c r="C1156">
        <v>1206.0999999999999</v>
      </c>
      <c r="D1156">
        <v>1205.326109375</v>
      </c>
      <c r="E1156">
        <v>0.77389062500000005</v>
      </c>
      <c r="F1156">
        <v>0.8272659148980539</v>
      </c>
      <c r="G1156">
        <v>-5.1355042168422668E-2</v>
      </c>
      <c r="H1156">
        <v>0.77591087272963122</v>
      </c>
      <c r="I1156">
        <v>0.1599141451639729</v>
      </c>
      <c r="J1156">
        <v>1.4969972523670981E-3</v>
      </c>
      <c r="K1156">
        <v>1.2212432048933171E-3</v>
      </c>
      <c r="L1156" t="s">
        <v>96</v>
      </c>
      <c r="M1156">
        <v>997.76541995854279</v>
      </c>
      <c r="N1156">
        <v>-61.939316359334583</v>
      </c>
      <c r="O1156">
        <v>935.82610359920818</v>
      </c>
      <c r="P1156">
        <v>192.87245048226771</v>
      </c>
      <c r="Q1156">
        <v>1.8055283860799569</v>
      </c>
      <c r="R1156">
        <v>1.4719963207547171</v>
      </c>
      <c r="S1156" t="s">
        <v>96</v>
      </c>
      <c r="T1156">
        <v>-4150.5789555575157</v>
      </c>
    </row>
    <row r="1157" spans="1:20" x14ac:dyDescent="0.25">
      <c r="A1157" s="1" t="s">
        <v>47</v>
      </c>
      <c r="B1157">
        <v>2023</v>
      </c>
      <c r="C1157">
        <v>1205.7750000000001</v>
      </c>
      <c r="D1157">
        <v>1204.795331458276</v>
      </c>
      <c r="E1157">
        <v>0.97966854172432316</v>
      </c>
      <c r="F1157">
        <v>0.82677219826748904</v>
      </c>
      <c r="G1157">
        <v>-5.0988688762793159E-2</v>
      </c>
      <c r="H1157">
        <v>0.77578350950469588</v>
      </c>
      <c r="I1157">
        <v>0.15997301166732661</v>
      </c>
      <c r="J1157">
        <v>1.4464630632685001E-3</v>
      </c>
      <c r="K1157">
        <v>1.185779263458403E-3</v>
      </c>
      <c r="L1157" t="s">
        <v>96</v>
      </c>
      <c r="M1157">
        <v>996.9012473659817</v>
      </c>
      <c r="N1157">
        <v>-61.480886192956923</v>
      </c>
      <c r="O1157">
        <v>935.42036117302473</v>
      </c>
      <c r="P1157">
        <v>192.89145814317081</v>
      </c>
      <c r="Q1157">
        <v>1.744109000112575</v>
      </c>
      <c r="R1157">
        <v>1.4286213207547169</v>
      </c>
      <c r="S1157" t="s">
        <v>96</v>
      </c>
      <c r="T1157">
        <v>-4148.7766820029401</v>
      </c>
    </row>
    <row r="1158" spans="1:20" x14ac:dyDescent="0.25">
      <c r="A1158" s="1" t="s">
        <v>48</v>
      </c>
      <c r="B1158">
        <v>1990</v>
      </c>
      <c r="C1158">
        <v>28126.073802999999</v>
      </c>
      <c r="D1158">
        <v>23731.944726000002</v>
      </c>
      <c r="E1158">
        <v>4394.1290769999996</v>
      </c>
      <c r="F1158">
        <v>0.38415207258140471</v>
      </c>
      <c r="G1158" t="s">
        <v>96</v>
      </c>
      <c r="H1158">
        <v>0.38415207258140471</v>
      </c>
      <c r="I1158">
        <v>4.2520995656081827E-2</v>
      </c>
      <c r="J1158">
        <v>3.2128998534577298E-2</v>
      </c>
      <c r="K1158">
        <v>0.24883059501358121</v>
      </c>
      <c r="L1158">
        <v>-0.42758907261840551</v>
      </c>
      <c r="M1158">
        <v>10804.689544999999</v>
      </c>
      <c r="N1158" t="s">
        <v>96</v>
      </c>
      <c r="O1158">
        <v>10804.689544999999</v>
      </c>
      <c r="P1158">
        <v>1195.948662</v>
      </c>
      <c r="Q1158">
        <v>903.66258399999992</v>
      </c>
      <c r="R1158">
        <v>5905.2339269999993</v>
      </c>
      <c r="S1158">
        <v>-1878.8815770000001</v>
      </c>
      <c r="T1158">
        <v>-62079.061517005641</v>
      </c>
    </row>
    <row r="1159" spans="1:20" x14ac:dyDescent="0.25">
      <c r="A1159" s="1" t="s">
        <v>48</v>
      </c>
      <c r="B1159">
        <v>1991</v>
      </c>
      <c r="C1159">
        <v>28120.651958999999</v>
      </c>
      <c r="D1159">
        <v>23728.148292000002</v>
      </c>
      <c r="E1159">
        <v>4392.503667</v>
      </c>
      <c r="F1159">
        <v>0.38983318402372602</v>
      </c>
      <c r="G1159" t="s">
        <v>96</v>
      </c>
      <c r="H1159">
        <v>0.38983318402372602</v>
      </c>
      <c r="I1159">
        <v>3.5417232198318389E-2</v>
      </c>
      <c r="J1159">
        <v>2.3918349723208849E-2</v>
      </c>
      <c r="K1159">
        <v>0.248772164492506</v>
      </c>
      <c r="L1159">
        <v>-0.42805619107978321</v>
      </c>
      <c r="M1159">
        <v>10962.363289999999</v>
      </c>
      <c r="N1159" t="s">
        <v>96</v>
      </c>
      <c r="O1159">
        <v>10962.363289999999</v>
      </c>
      <c r="P1159">
        <v>995.95565999999997</v>
      </c>
      <c r="Q1159">
        <v>672.59958800000004</v>
      </c>
      <c r="R1159">
        <v>5902.9028099999996</v>
      </c>
      <c r="S1159">
        <v>-1880.2383890000001</v>
      </c>
      <c r="T1159">
        <v>-61063.13751633888</v>
      </c>
    </row>
    <row r="1160" spans="1:20" x14ac:dyDescent="0.25">
      <c r="A1160" s="1" t="s">
        <v>48</v>
      </c>
      <c r="B1160">
        <v>1992</v>
      </c>
      <c r="C1160">
        <v>28115.750362999999</v>
      </c>
      <c r="D1160">
        <v>23724.779353000002</v>
      </c>
      <c r="E1160">
        <v>4390.9710100000002</v>
      </c>
      <c r="F1160">
        <v>0.35487916719912721</v>
      </c>
      <c r="G1160" t="s">
        <v>96</v>
      </c>
      <c r="H1160">
        <v>0.35487916719912721</v>
      </c>
      <c r="I1160">
        <v>6.2819491573104916E-2</v>
      </c>
      <c r="J1160">
        <v>2.3923522343019889E-2</v>
      </c>
      <c r="K1160">
        <v>0.24875817347712131</v>
      </c>
      <c r="L1160">
        <v>-0.4282056029789183</v>
      </c>
      <c r="M1160">
        <v>9977.6940739999991</v>
      </c>
      <c r="N1160" t="s">
        <v>96</v>
      </c>
      <c r="O1160">
        <v>9977.6940739999991</v>
      </c>
      <c r="P1160">
        <v>1766.2171430000001</v>
      </c>
      <c r="Q1160">
        <v>672.62778200000002</v>
      </c>
      <c r="R1160">
        <v>5901.7327780000014</v>
      </c>
      <c r="S1160">
        <v>-1880.2383890000001</v>
      </c>
      <c r="T1160">
        <v>-60272.789089338803</v>
      </c>
    </row>
    <row r="1161" spans="1:20" x14ac:dyDescent="0.25">
      <c r="A1161" s="1" t="s">
        <v>48</v>
      </c>
      <c r="B1161">
        <v>1993</v>
      </c>
      <c r="C1161">
        <v>28112.099343999998</v>
      </c>
      <c r="D1161">
        <v>23723.884973</v>
      </c>
      <c r="E1161">
        <v>4388.214371</v>
      </c>
      <c r="F1161">
        <v>0.32647676413959681</v>
      </c>
      <c r="G1161" t="s">
        <v>96</v>
      </c>
      <c r="H1161">
        <v>0.32647676413959681</v>
      </c>
      <c r="I1161">
        <v>5.6263282106591567E-2</v>
      </c>
      <c r="J1161">
        <v>2.3968024150562348E-2</v>
      </c>
      <c r="K1161">
        <v>0.24856437078965929</v>
      </c>
      <c r="L1161">
        <v>-0.42847459810208077</v>
      </c>
      <c r="M1161">
        <v>9177.9472270000006</v>
      </c>
      <c r="N1161" t="s">
        <v>96</v>
      </c>
      <c r="O1161">
        <v>9177.9472270000006</v>
      </c>
      <c r="P1161">
        <v>1581.6789759999999</v>
      </c>
      <c r="Q1161">
        <v>673.79147599999999</v>
      </c>
      <c r="R1161">
        <v>5896.9125409999997</v>
      </c>
      <c r="S1161">
        <v>-1880.2383890000001</v>
      </c>
      <c r="T1161">
        <v>-56650.336713671823</v>
      </c>
    </row>
    <row r="1162" spans="1:20" x14ac:dyDescent="0.25">
      <c r="A1162" s="1" t="s">
        <v>48</v>
      </c>
      <c r="B1162">
        <v>1994</v>
      </c>
      <c r="C1162">
        <v>28111.536517</v>
      </c>
      <c r="D1162">
        <v>23724.739506999998</v>
      </c>
      <c r="E1162">
        <v>4386.7970100000002</v>
      </c>
      <c r="F1162">
        <v>0.3272711048162163</v>
      </c>
      <c r="G1162" t="s">
        <v>96</v>
      </c>
      <c r="H1162">
        <v>0.3272711048162163</v>
      </c>
      <c r="I1162">
        <v>5.3628934800070707E-2</v>
      </c>
      <c r="J1162">
        <v>2.3976569213582408E-2</v>
      </c>
      <c r="K1162">
        <v>0.24854138171928969</v>
      </c>
      <c r="L1162">
        <v>-0.42861303696384162</v>
      </c>
      <c r="M1162">
        <v>9200.0936139999994</v>
      </c>
      <c r="N1162" t="s">
        <v>96</v>
      </c>
      <c r="O1162">
        <v>9200.0936139999994</v>
      </c>
      <c r="P1162">
        <v>1507.5917589999999</v>
      </c>
      <c r="Q1162">
        <v>674.01820099999998</v>
      </c>
      <c r="R1162">
        <v>5896.579538</v>
      </c>
      <c r="S1162">
        <v>-1880.2383890000001</v>
      </c>
      <c r="T1162">
        <v>-56459.497317671798</v>
      </c>
    </row>
    <row r="1163" spans="1:20" x14ac:dyDescent="0.25">
      <c r="A1163" s="1" t="s">
        <v>48</v>
      </c>
      <c r="B1163">
        <v>1995</v>
      </c>
      <c r="C1163">
        <v>28107.111836</v>
      </c>
      <c r="D1163">
        <v>23720.514408999999</v>
      </c>
      <c r="E1163">
        <v>4386.5974269999997</v>
      </c>
      <c r="F1163">
        <v>0.33391323017326607</v>
      </c>
      <c r="G1163" t="s">
        <v>96</v>
      </c>
      <c r="H1163">
        <v>0.33391323017326607</v>
      </c>
      <c r="I1163">
        <v>4.4789359801371803E-2</v>
      </c>
      <c r="J1163">
        <v>2.39904840075508E-2</v>
      </c>
      <c r="K1163">
        <v>0.24850895112811799</v>
      </c>
      <c r="L1163">
        <v>-0.43120604465717249</v>
      </c>
      <c r="M1163">
        <v>9385.3365040000008</v>
      </c>
      <c r="N1163" t="s">
        <v>96</v>
      </c>
      <c r="O1163">
        <v>9385.3365040000008</v>
      </c>
      <c r="P1163">
        <v>1258.899545</v>
      </c>
      <c r="Q1163">
        <v>674.3032169999999</v>
      </c>
      <c r="R1163">
        <v>5894.7601560000003</v>
      </c>
      <c r="S1163">
        <v>-1891.5273259999999</v>
      </c>
      <c r="T1163">
        <v>-56179.831018671794</v>
      </c>
    </row>
    <row r="1164" spans="1:20" x14ac:dyDescent="0.25">
      <c r="A1164" s="1" t="s">
        <v>48</v>
      </c>
      <c r="B1164">
        <v>1996</v>
      </c>
      <c r="C1164">
        <v>28109.683997</v>
      </c>
      <c r="D1164">
        <v>23722.198127</v>
      </c>
      <c r="E1164">
        <v>4387.4858700000004</v>
      </c>
      <c r="F1164">
        <v>0.35308819921487777</v>
      </c>
      <c r="G1164" t="s">
        <v>96</v>
      </c>
      <c r="H1164">
        <v>0.35308819921487777</v>
      </c>
      <c r="I1164">
        <v>4.5032433702744477E-2</v>
      </c>
      <c r="J1164">
        <v>2.400843215000301E-2</v>
      </c>
      <c r="K1164">
        <v>0.24853086591877269</v>
      </c>
      <c r="L1164">
        <v>-0.43153914271181448</v>
      </c>
      <c r="M1164">
        <v>9925.1977029999998</v>
      </c>
      <c r="N1164" t="s">
        <v>96</v>
      </c>
      <c r="O1164">
        <v>9925.1977029999998</v>
      </c>
      <c r="P1164">
        <v>1265.847481</v>
      </c>
      <c r="Q1164">
        <v>674.86944100000005</v>
      </c>
      <c r="R1164">
        <v>5895.6984419999999</v>
      </c>
      <c r="S1164">
        <v>-1893.371891</v>
      </c>
      <c r="T1164">
        <v>-58183.550978671963</v>
      </c>
    </row>
    <row r="1165" spans="1:20" x14ac:dyDescent="0.25">
      <c r="A1165" s="1" t="s">
        <v>48</v>
      </c>
      <c r="B1165">
        <v>1997</v>
      </c>
      <c r="C1165">
        <v>28101.959738000001</v>
      </c>
      <c r="D1165">
        <v>23714.905116999998</v>
      </c>
      <c r="E1165">
        <v>4387.0546210000002</v>
      </c>
      <c r="F1165">
        <v>0.34238553541123151</v>
      </c>
      <c r="G1165" t="s">
        <v>96</v>
      </c>
      <c r="H1165">
        <v>0.34238553541123151</v>
      </c>
      <c r="I1165">
        <v>5.4607535036957359E-2</v>
      </c>
      <c r="J1165">
        <v>2.40081801159116E-2</v>
      </c>
      <c r="K1165">
        <v>0.24904705955438131</v>
      </c>
      <c r="L1165">
        <v>-0.4315815631601182</v>
      </c>
      <c r="M1165">
        <v>9621.7045309999994</v>
      </c>
      <c r="N1165" t="s">
        <v>96</v>
      </c>
      <c r="O1165">
        <v>9621.7045309999994</v>
      </c>
      <c r="P1165">
        <v>1534.578751</v>
      </c>
      <c r="Q1165">
        <v>674.67691100000002</v>
      </c>
      <c r="R1165">
        <v>5906.1273870000005</v>
      </c>
      <c r="S1165">
        <v>-1893.371891</v>
      </c>
      <c r="T1165">
        <v>-58093.624193005278</v>
      </c>
    </row>
    <row r="1166" spans="1:20" x14ac:dyDescent="0.25">
      <c r="A1166" s="1" t="s">
        <v>48</v>
      </c>
      <c r="B1166">
        <v>1998</v>
      </c>
      <c r="C1166">
        <v>28099.572914</v>
      </c>
      <c r="D1166">
        <v>23711.910077</v>
      </c>
      <c r="E1166">
        <v>4387.6628369999999</v>
      </c>
      <c r="F1166">
        <v>0.34744000372816491</v>
      </c>
      <c r="G1166" t="s">
        <v>96</v>
      </c>
      <c r="H1166">
        <v>0.34744000372816491</v>
      </c>
      <c r="I1166">
        <v>6.126362486962602E-2</v>
      </c>
      <c r="J1166">
        <v>2.5138265558764569E-2</v>
      </c>
      <c r="K1166">
        <v>0.24928496547958631</v>
      </c>
      <c r="L1166">
        <v>-0.43209531667120671</v>
      </c>
      <c r="M1166">
        <v>9762.9157180000002</v>
      </c>
      <c r="N1166" t="s">
        <v>96</v>
      </c>
      <c r="O1166">
        <v>9762.9157180000002</v>
      </c>
      <c r="P1166">
        <v>1721.4816940000001</v>
      </c>
      <c r="Q1166">
        <v>706.37452600000006</v>
      </c>
      <c r="R1166">
        <v>5911.0226849999999</v>
      </c>
      <c r="S1166">
        <v>-1895.888563</v>
      </c>
      <c r="T1166">
        <v>-59421.655553338744</v>
      </c>
    </row>
    <row r="1167" spans="1:20" x14ac:dyDescent="0.25">
      <c r="A1167" s="1" t="s">
        <v>48</v>
      </c>
      <c r="B1167">
        <v>1999</v>
      </c>
      <c r="C1167">
        <v>28099.420635999999</v>
      </c>
      <c r="D1167">
        <v>23711.128175999998</v>
      </c>
      <c r="E1167">
        <v>4388.2924600000006</v>
      </c>
      <c r="F1167">
        <v>0.33844899466773481</v>
      </c>
      <c r="G1167" t="s">
        <v>96</v>
      </c>
      <c r="H1167">
        <v>0.33844899466773481</v>
      </c>
      <c r="I1167">
        <v>6.7341965391830502E-2</v>
      </c>
      <c r="J1167">
        <v>2.4093497149639952E-2</v>
      </c>
      <c r="K1167">
        <v>0.2489523036687413</v>
      </c>
      <c r="L1167">
        <v>-0.43340972515765269</v>
      </c>
      <c r="M1167">
        <v>9510.2206649999989</v>
      </c>
      <c r="N1167" t="s">
        <v>96</v>
      </c>
      <c r="O1167">
        <v>9510.2206649999989</v>
      </c>
      <c r="P1167">
        <v>1892.2702119999999</v>
      </c>
      <c r="Q1167">
        <v>677.01331100000004</v>
      </c>
      <c r="R1167">
        <v>5902.9399819999999</v>
      </c>
      <c r="S1167">
        <v>-1901.928629</v>
      </c>
      <c r="T1167">
        <v>-58961.89031700536</v>
      </c>
    </row>
    <row r="1168" spans="1:20" x14ac:dyDescent="0.25">
      <c r="A1168" s="1" t="s">
        <v>48</v>
      </c>
      <c r="B1168">
        <v>2000</v>
      </c>
      <c r="C1168">
        <v>28094.66734</v>
      </c>
      <c r="D1168">
        <v>23706.822530000001</v>
      </c>
      <c r="E1168">
        <v>4387.8448099999996</v>
      </c>
      <c r="F1168">
        <v>0.34401084544039312</v>
      </c>
      <c r="G1168" t="s">
        <v>96</v>
      </c>
      <c r="H1168">
        <v>0.34401084544039312</v>
      </c>
      <c r="I1168">
        <v>7.3364373461202198E-2</v>
      </c>
      <c r="J1168">
        <v>2.4252335176430669E-2</v>
      </c>
      <c r="K1168">
        <v>0.24935114073256609</v>
      </c>
      <c r="L1168">
        <v>-0.43531918645955953</v>
      </c>
      <c r="M1168">
        <v>9664.870264000001</v>
      </c>
      <c r="N1168" t="s">
        <v>96</v>
      </c>
      <c r="O1168">
        <v>9664.870264000001</v>
      </c>
      <c r="P1168">
        <v>2061.1476670000002</v>
      </c>
      <c r="Q1168">
        <v>681.36128899999994</v>
      </c>
      <c r="R1168">
        <v>5911.3232410000001</v>
      </c>
      <c r="S1168">
        <v>-1910.1130330000001</v>
      </c>
      <c r="T1168">
        <v>-60164.827902672143</v>
      </c>
    </row>
    <row r="1169" spans="1:20" x14ac:dyDescent="0.25">
      <c r="A1169" s="1" t="s">
        <v>48</v>
      </c>
      <c r="B1169">
        <v>2001</v>
      </c>
      <c r="C1169">
        <v>28096.773611000001</v>
      </c>
      <c r="D1169">
        <v>23707.001773</v>
      </c>
      <c r="E1169">
        <v>4389.7718379999997</v>
      </c>
      <c r="F1169">
        <v>0.31900409645223299</v>
      </c>
      <c r="G1169" t="s">
        <v>96</v>
      </c>
      <c r="H1169">
        <v>0.31900409645223299</v>
      </c>
      <c r="I1169">
        <v>0.1110783009540333</v>
      </c>
      <c r="J1169">
        <v>2.4266997678803338E-2</v>
      </c>
      <c r="K1169">
        <v>0.2494119414009629</v>
      </c>
      <c r="L1169">
        <v>-0.43625219867292803</v>
      </c>
      <c r="M1169">
        <v>8962.9858789999998</v>
      </c>
      <c r="N1169" t="s">
        <v>96</v>
      </c>
      <c r="O1169">
        <v>8962.9858789999998</v>
      </c>
      <c r="P1169">
        <v>3120.941875</v>
      </c>
      <c r="Q1169">
        <v>681.82434000000001</v>
      </c>
      <c r="R1169">
        <v>5912.8093369999997</v>
      </c>
      <c r="S1169">
        <v>-1915.0476160000001</v>
      </c>
      <c r="T1169">
        <v>-61466.217321672251</v>
      </c>
    </row>
    <row r="1170" spans="1:20" x14ac:dyDescent="0.25">
      <c r="A1170" s="1" t="s">
        <v>48</v>
      </c>
      <c r="B1170">
        <v>2002</v>
      </c>
      <c r="C1170">
        <v>28092.382965000001</v>
      </c>
      <c r="D1170">
        <v>23700.444242000001</v>
      </c>
      <c r="E1170">
        <v>4391.9387230000002</v>
      </c>
      <c r="F1170">
        <v>0.32544602273116569</v>
      </c>
      <c r="G1170" t="s">
        <v>96</v>
      </c>
      <c r="H1170">
        <v>0.32544602273116569</v>
      </c>
      <c r="I1170">
        <v>9.841869934795687E-2</v>
      </c>
      <c r="J1170">
        <v>2.433368866755373E-2</v>
      </c>
      <c r="K1170">
        <v>0.24911582511762101</v>
      </c>
      <c r="L1170">
        <v>-0.43742642057804498</v>
      </c>
      <c r="M1170">
        <v>9142.5543050000015</v>
      </c>
      <c r="N1170" t="s">
        <v>96</v>
      </c>
      <c r="O1170">
        <v>9142.5543050000015</v>
      </c>
      <c r="P1170">
        <v>2764.8157930000002</v>
      </c>
      <c r="Q1170">
        <v>683.59130100000004</v>
      </c>
      <c r="R1170">
        <v>5904.1557229999999</v>
      </c>
      <c r="S1170">
        <v>-1921.1500349999999</v>
      </c>
      <c r="T1170">
        <v>-60771.212652338872</v>
      </c>
    </row>
    <row r="1171" spans="1:20" x14ac:dyDescent="0.25">
      <c r="A1171" s="1" t="s">
        <v>48</v>
      </c>
      <c r="B1171">
        <v>2003</v>
      </c>
      <c r="C1171">
        <v>28093.343683999999</v>
      </c>
      <c r="D1171">
        <v>23727.317008000002</v>
      </c>
      <c r="E1171">
        <v>4366.0266760000004</v>
      </c>
      <c r="F1171">
        <v>0.30295795426613198</v>
      </c>
      <c r="G1171" t="s">
        <v>96</v>
      </c>
      <c r="H1171">
        <v>0.30295795426613198</v>
      </c>
      <c r="I1171">
        <v>0.10260658109706269</v>
      </c>
      <c r="J1171">
        <v>2.4867782555833131E-2</v>
      </c>
      <c r="K1171">
        <v>0.24713989049090049</v>
      </c>
      <c r="L1171">
        <v>-0.44344404001071658</v>
      </c>
      <c r="M1171">
        <v>8511.1019309999992</v>
      </c>
      <c r="N1171" t="s">
        <v>96</v>
      </c>
      <c r="O1171">
        <v>8511.1019309999992</v>
      </c>
      <c r="P1171">
        <v>2882.5619470000001</v>
      </c>
      <c r="Q1171">
        <v>698.61916200000007</v>
      </c>
      <c r="R1171">
        <v>5863.9665269999996</v>
      </c>
      <c r="S1171">
        <v>-1936.088508</v>
      </c>
      <c r="T1171">
        <v>-58740.590549672001</v>
      </c>
    </row>
    <row r="1172" spans="1:20" x14ac:dyDescent="0.25">
      <c r="A1172" s="1" t="s">
        <v>48</v>
      </c>
      <c r="B1172">
        <v>2004</v>
      </c>
      <c r="C1172">
        <v>28089.412853000002</v>
      </c>
      <c r="D1172">
        <v>23740.727393000001</v>
      </c>
      <c r="E1172">
        <v>4348.6854599999997</v>
      </c>
      <c r="F1172">
        <v>0.2671752115743663</v>
      </c>
      <c r="G1172" t="s">
        <v>96</v>
      </c>
      <c r="H1172">
        <v>0.2671752115743663</v>
      </c>
      <c r="I1172">
        <v>0.1076012572714633</v>
      </c>
      <c r="J1172">
        <v>2.2460424477424371E-2</v>
      </c>
      <c r="K1172">
        <v>0.24206243093859189</v>
      </c>
      <c r="L1172">
        <v>-0.43998405416978592</v>
      </c>
      <c r="M1172">
        <v>7504.7948219999998</v>
      </c>
      <c r="N1172" t="s">
        <v>96</v>
      </c>
      <c r="O1172">
        <v>7504.7948219999998</v>
      </c>
      <c r="P1172">
        <v>3022.4561389999999</v>
      </c>
      <c r="Q1172">
        <v>630.90013600000009</v>
      </c>
      <c r="R1172">
        <v>5746.7381850000002</v>
      </c>
      <c r="S1172">
        <v>-1913.352259</v>
      </c>
      <c r="T1172">
        <v>-54968.969084338343</v>
      </c>
    </row>
    <row r="1173" spans="1:20" x14ac:dyDescent="0.25">
      <c r="A1173" s="1" t="s">
        <v>48</v>
      </c>
      <c r="B1173">
        <v>2005</v>
      </c>
      <c r="C1173">
        <v>28091.045628</v>
      </c>
      <c r="D1173">
        <v>23799.959026</v>
      </c>
      <c r="E1173">
        <v>4291.0866020000003</v>
      </c>
      <c r="F1173">
        <v>0.23503642578612241</v>
      </c>
      <c r="G1173" t="s">
        <v>96</v>
      </c>
      <c r="H1173">
        <v>0.23503642578612241</v>
      </c>
      <c r="I1173">
        <v>0.1130260483018571</v>
      </c>
      <c r="J1173">
        <v>2.4697562318878881E-2</v>
      </c>
      <c r="K1173">
        <v>0.24626090997035821</v>
      </c>
      <c r="L1173">
        <v>-0.4403573162842449</v>
      </c>
      <c r="M1173">
        <v>6602.4189610000003</v>
      </c>
      <c r="N1173" t="s">
        <v>96</v>
      </c>
      <c r="O1173">
        <v>6602.4189610000003</v>
      </c>
      <c r="P1173">
        <v>3175.0198799999998</v>
      </c>
      <c r="Q1173">
        <v>693.78035</v>
      </c>
      <c r="R1173">
        <v>5860.9995669999998</v>
      </c>
      <c r="S1173">
        <v>-1889.6113800000001</v>
      </c>
      <c r="T1173">
        <v>-52956.227052671478</v>
      </c>
    </row>
    <row r="1174" spans="1:20" x14ac:dyDescent="0.25">
      <c r="A1174" s="1" t="s">
        <v>48</v>
      </c>
      <c r="B1174">
        <v>2006</v>
      </c>
      <c r="C1174">
        <v>28097.841527</v>
      </c>
      <c r="D1174">
        <v>23820.145734999998</v>
      </c>
      <c r="E1174">
        <v>4277.6957920000004</v>
      </c>
      <c r="F1174">
        <v>0.29129214164494138</v>
      </c>
      <c r="G1174" t="s">
        <v>96</v>
      </c>
      <c r="H1174">
        <v>0.29129214164494138</v>
      </c>
      <c r="I1174">
        <v>8.9887535545142741E-2</v>
      </c>
      <c r="J1174">
        <v>2.6432526508711422E-2</v>
      </c>
      <c r="K1174">
        <v>0.24789227671784439</v>
      </c>
      <c r="L1174">
        <v>-0.44088780425365981</v>
      </c>
      <c r="M1174">
        <v>8184.6804339999999</v>
      </c>
      <c r="N1174" t="s">
        <v>96</v>
      </c>
      <c r="O1174">
        <v>8184.6804339999999</v>
      </c>
      <c r="P1174">
        <v>2525.6457289999998</v>
      </c>
      <c r="Q1174">
        <v>742.69694100000004</v>
      </c>
      <c r="R1174">
        <v>5904.8301579999998</v>
      </c>
      <c r="S1174">
        <v>-1885.983905</v>
      </c>
      <c r="T1174">
        <v>-56730.187642338497</v>
      </c>
    </row>
    <row r="1175" spans="1:20" x14ac:dyDescent="0.25">
      <c r="A1175" s="1" t="s">
        <v>48</v>
      </c>
      <c r="B1175">
        <v>2007</v>
      </c>
      <c r="C1175">
        <v>28099.370384999998</v>
      </c>
      <c r="D1175">
        <v>23853.255845</v>
      </c>
      <c r="E1175">
        <v>4246.1145399999996</v>
      </c>
      <c r="F1175">
        <v>0.29921436793075668</v>
      </c>
      <c r="G1175" t="s">
        <v>96</v>
      </c>
      <c r="H1175">
        <v>0.29921436793075668</v>
      </c>
      <c r="I1175">
        <v>9.6295161098856066E-2</v>
      </c>
      <c r="J1175">
        <v>2.9000779086317589E-2</v>
      </c>
      <c r="K1175">
        <v>0.2386257706699243</v>
      </c>
      <c r="L1175">
        <v>-0.43534646217998618</v>
      </c>
      <c r="M1175">
        <v>8407.7353490000005</v>
      </c>
      <c r="N1175" t="s">
        <v>96</v>
      </c>
      <c r="O1175">
        <v>8407.7353490000005</v>
      </c>
      <c r="P1175">
        <v>2705.8333980000002</v>
      </c>
      <c r="Q1175">
        <v>814.90363300000001</v>
      </c>
      <c r="R1175">
        <v>5692.0015590000003</v>
      </c>
      <c r="S1175">
        <v>-1848.530943</v>
      </c>
      <c r="T1175">
        <v>-57830.457652005272</v>
      </c>
    </row>
    <row r="1176" spans="1:20" x14ac:dyDescent="0.25">
      <c r="A1176" s="1" t="s">
        <v>48</v>
      </c>
      <c r="B1176">
        <v>2008</v>
      </c>
      <c r="C1176">
        <v>28103.653010000002</v>
      </c>
      <c r="D1176">
        <v>23930.523529999999</v>
      </c>
      <c r="E1176">
        <v>4173.1294799999996</v>
      </c>
      <c r="F1176">
        <v>0.32250723931778291</v>
      </c>
      <c r="G1176" t="s">
        <v>96</v>
      </c>
      <c r="H1176">
        <v>0.32250723931778291</v>
      </c>
      <c r="I1176">
        <v>8.6956921405570695E-2</v>
      </c>
      <c r="J1176">
        <v>2.6971246753234809E-2</v>
      </c>
      <c r="K1176">
        <v>0.219093060184296</v>
      </c>
      <c r="L1176">
        <v>-0.43600317548738032</v>
      </c>
      <c r="M1176">
        <v>9063.631546999999</v>
      </c>
      <c r="N1176" t="s">
        <v>96</v>
      </c>
      <c r="O1176">
        <v>9063.631546999999</v>
      </c>
      <c r="P1176">
        <v>2443.8071460000001</v>
      </c>
      <c r="Q1176">
        <v>757.99056000000007</v>
      </c>
      <c r="R1176">
        <v>5243.0116320000006</v>
      </c>
      <c r="S1176">
        <v>-1819.497705</v>
      </c>
      <c r="T1176">
        <v>-57526.124993338562</v>
      </c>
    </row>
    <row r="1177" spans="1:20" x14ac:dyDescent="0.25">
      <c r="A1177" s="1" t="s">
        <v>48</v>
      </c>
      <c r="B1177">
        <v>2009</v>
      </c>
      <c r="C1177">
        <v>28101.544319000001</v>
      </c>
      <c r="D1177">
        <v>24019.778412</v>
      </c>
      <c r="E1177">
        <v>4081.765907</v>
      </c>
      <c r="F1177">
        <v>0.35134943449795958</v>
      </c>
      <c r="G1177" t="s">
        <v>96</v>
      </c>
      <c r="H1177">
        <v>0.35134943449795958</v>
      </c>
      <c r="I1177">
        <v>8.0650682121681014E-2</v>
      </c>
      <c r="J1177">
        <v>3.0402092756957849E-2</v>
      </c>
      <c r="K1177">
        <v>0.2121722602758872</v>
      </c>
      <c r="L1177">
        <v>-0.43671757043758358</v>
      </c>
      <c r="M1177">
        <v>9873.4617049999997</v>
      </c>
      <c r="N1177" t="s">
        <v>96</v>
      </c>
      <c r="O1177">
        <v>9873.4617049999997</v>
      </c>
      <c r="P1177">
        <v>2266.4087180000001</v>
      </c>
      <c r="Q1177">
        <v>854.34575699999994</v>
      </c>
      <c r="R1177">
        <v>5096.3306769999999</v>
      </c>
      <c r="S1177">
        <v>-1782.57889</v>
      </c>
      <c r="T1177">
        <v>-59795.882545672102</v>
      </c>
    </row>
    <row r="1178" spans="1:20" x14ac:dyDescent="0.25">
      <c r="A1178" s="1" t="s">
        <v>48</v>
      </c>
      <c r="B1178">
        <v>2010</v>
      </c>
      <c r="C1178">
        <v>28099.581893999999</v>
      </c>
      <c r="D1178">
        <v>24099.852797</v>
      </c>
      <c r="E1178">
        <v>3999.7290969999999</v>
      </c>
      <c r="F1178">
        <v>0.34670627152926559</v>
      </c>
      <c r="G1178" t="s">
        <v>96</v>
      </c>
      <c r="H1178">
        <v>0.34670627152926559</v>
      </c>
      <c r="I1178">
        <v>9.0430635110004376E-2</v>
      </c>
      <c r="J1178">
        <v>3.1052502179269609E-2</v>
      </c>
      <c r="K1178">
        <v>0.21824274228159299</v>
      </c>
      <c r="L1178">
        <v>-0.44758267262219043</v>
      </c>
      <c r="M1178">
        <v>9742.3012699999999</v>
      </c>
      <c r="N1178" t="s">
        <v>96</v>
      </c>
      <c r="O1178">
        <v>9742.3012699999999</v>
      </c>
      <c r="P1178">
        <v>2541.0630369999999</v>
      </c>
      <c r="Q1178">
        <v>872.56232799999998</v>
      </c>
      <c r="R1178">
        <v>5259.6179629999997</v>
      </c>
      <c r="S1178">
        <v>-1790.209439</v>
      </c>
      <c r="T1178">
        <v>-60959.562249672214</v>
      </c>
    </row>
    <row r="1179" spans="1:20" x14ac:dyDescent="0.25">
      <c r="A1179" s="1" t="s">
        <v>48</v>
      </c>
      <c r="B1179">
        <v>2011</v>
      </c>
      <c r="C1179">
        <v>28109.689664000001</v>
      </c>
      <c r="D1179">
        <v>24210.188362000001</v>
      </c>
      <c r="E1179">
        <v>3899.5013020000001</v>
      </c>
      <c r="F1179">
        <v>0.31800725763430471</v>
      </c>
      <c r="G1179" t="s">
        <v>96</v>
      </c>
      <c r="H1179">
        <v>0.31800725763430471</v>
      </c>
      <c r="I1179">
        <v>0.1038570103368609</v>
      </c>
      <c r="J1179">
        <v>3.1285444325850252E-2</v>
      </c>
      <c r="K1179">
        <v>0.21796317591987849</v>
      </c>
      <c r="L1179">
        <v>-0.43787412049952429</v>
      </c>
      <c r="M1179">
        <v>8939.0853229999993</v>
      </c>
      <c r="N1179" t="s">
        <v>96</v>
      </c>
      <c r="O1179">
        <v>8939.0853229999993</v>
      </c>
      <c r="P1179">
        <v>2919.3883300000002</v>
      </c>
      <c r="Q1179">
        <v>879.4241310000001</v>
      </c>
      <c r="R1179">
        <v>5276.929545</v>
      </c>
      <c r="S1179">
        <v>-1707.4907029999999</v>
      </c>
      <c r="T1179">
        <v>-59793.567628672106</v>
      </c>
    </row>
    <row r="1180" spans="1:20" x14ac:dyDescent="0.25">
      <c r="A1180" s="1" t="s">
        <v>48</v>
      </c>
      <c r="B1180">
        <v>2012</v>
      </c>
      <c r="C1180">
        <v>28111.623813999999</v>
      </c>
      <c r="D1180">
        <v>24274.370329000001</v>
      </c>
      <c r="E1180">
        <v>3837.2534850000002</v>
      </c>
      <c r="F1180">
        <v>0.29716937378905978</v>
      </c>
      <c r="G1180" t="s">
        <v>96</v>
      </c>
      <c r="H1180">
        <v>0.29716937378905978</v>
      </c>
      <c r="I1180">
        <v>0.1049089419562905</v>
      </c>
      <c r="J1180">
        <v>3.4572546482212967E-2</v>
      </c>
      <c r="K1180">
        <v>0.22304746341995221</v>
      </c>
      <c r="L1180">
        <v>-0.43380736391460989</v>
      </c>
      <c r="M1180">
        <v>8353.9136450000005</v>
      </c>
      <c r="N1180" t="s">
        <v>96</v>
      </c>
      <c r="O1180">
        <v>8353.9136450000005</v>
      </c>
      <c r="P1180">
        <v>2949.160711</v>
      </c>
      <c r="Q1180">
        <v>971.89042100000006</v>
      </c>
      <c r="R1180">
        <v>5414.3367280000002</v>
      </c>
      <c r="S1180">
        <v>-1664.628819</v>
      </c>
      <c r="T1180">
        <v>-58757.133182005353</v>
      </c>
    </row>
    <row r="1181" spans="1:20" x14ac:dyDescent="0.25">
      <c r="A1181" s="1" t="s">
        <v>48</v>
      </c>
      <c r="B1181">
        <v>2013</v>
      </c>
      <c r="C1181">
        <v>28118.270229000002</v>
      </c>
      <c r="D1181">
        <v>24268.660024000001</v>
      </c>
      <c r="E1181">
        <v>3849.610205</v>
      </c>
      <c r="F1181">
        <v>0.28954188937281372</v>
      </c>
      <c r="G1181" t="s">
        <v>96</v>
      </c>
      <c r="H1181">
        <v>0.28954188937281372</v>
      </c>
      <c r="I1181">
        <v>0.1030231565956119</v>
      </c>
      <c r="J1181">
        <v>3.9785717929626208E-2</v>
      </c>
      <c r="K1181">
        <v>0.22777717486393351</v>
      </c>
      <c r="L1181">
        <v>-0.43582594851314299</v>
      </c>
      <c r="M1181">
        <v>8141.4170880000001</v>
      </c>
      <c r="N1181" t="s">
        <v>96</v>
      </c>
      <c r="O1181">
        <v>8141.4170880000001</v>
      </c>
      <c r="P1181">
        <v>2896.8329570000001</v>
      </c>
      <c r="Q1181">
        <v>1118.7055680000001</v>
      </c>
      <c r="R1181">
        <v>5527.846818</v>
      </c>
      <c r="S1181">
        <v>-1677.7600190000001</v>
      </c>
      <c r="T1181">
        <v>-58692.48884400534</v>
      </c>
    </row>
    <row r="1182" spans="1:20" x14ac:dyDescent="0.25">
      <c r="A1182" s="1" t="s">
        <v>48</v>
      </c>
      <c r="B1182">
        <v>2014</v>
      </c>
      <c r="C1182">
        <v>28114.602015</v>
      </c>
      <c r="D1182">
        <v>24180.190101</v>
      </c>
      <c r="E1182">
        <v>3934.4119139999998</v>
      </c>
      <c r="F1182">
        <v>0.27623162098672172</v>
      </c>
      <c r="G1182" t="s">
        <v>96</v>
      </c>
      <c r="H1182">
        <v>0.27623162098672172</v>
      </c>
      <c r="I1182">
        <v>0.10007068769812</v>
      </c>
      <c r="J1182">
        <v>3.663652202689735E-2</v>
      </c>
      <c r="K1182">
        <v>0.2259320881755213</v>
      </c>
      <c r="L1182">
        <v>-0.43698888616165371</v>
      </c>
      <c r="M1182">
        <v>7766.1420880000014</v>
      </c>
      <c r="N1182" t="s">
        <v>96</v>
      </c>
      <c r="O1182">
        <v>7766.1420880000014</v>
      </c>
      <c r="P1182">
        <v>2813.4475579999998</v>
      </c>
      <c r="Q1182">
        <v>1030.021236</v>
      </c>
      <c r="R1182">
        <v>5463.0808419999994</v>
      </c>
      <c r="S1182">
        <v>-1719.2942800000001</v>
      </c>
      <c r="T1182">
        <v>-56295.790628005117</v>
      </c>
    </row>
    <row r="1183" spans="1:20" x14ac:dyDescent="0.25">
      <c r="A1183" s="1" t="s">
        <v>48</v>
      </c>
      <c r="B1183">
        <v>2015</v>
      </c>
      <c r="C1183">
        <v>28118.028998000002</v>
      </c>
      <c r="D1183">
        <v>24086.085361000001</v>
      </c>
      <c r="E1183">
        <v>4031.9436369999999</v>
      </c>
      <c r="F1183">
        <v>0.28922750263108621</v>
      </c>
      <c r="G1183" t="s">
        <v>96</v>
      </c>
      <c r="H1183">
        <v>0.28922750263108621</v>
      </c>
      <c r="I1183">
        <v>8.3692307777596536E-2</v>
      </c>
      <c r="J1183">
        <v>3.1477452884871658E-2</v>
      </c>
      <c r="K1183">
        <v>0.2222346431465842</v>
      </c>
      <c r="L1183">
        <v>-0.43836721743340179</v>
      </c>
      <c r="M1183">
        <v>8132.5073060000004</v>
      </c>
      <c r="N1183" t="s">
        <v>96</v>
      </c>
      <c r="O1183">
        <v>8132.5073060000004</v>
      </c>
      <c r="P1183">
        <v>2353.262737</v>
      </c>
      <c r="Q1183">
        <v>885.083933</v>
      </c>
      <c r="R1183">
        <v>5352.7625849999986</v>
      </c>
      <c r="S1183">
        <v>-1767.4719130000001</v>
      </c>
      <c r="T1183">
        <v>-54839.197042671651</v>
      </c>
    </row>
    <row r="1184" spans="1:20" x14ac:dyDescent="0.25">
      <c r="A1184" s="1" t="s">
        <v>48</v>
      </c>
      <c r="B1184">
        <v>2016</v>
      </c>
      <c r="C1184">
        <v>28114.316042999999</v>
      </c>
      <c r="D1184">
        <v>24053.377267</v>
      </c>
      <c r="E1184">
        <v>4060.938776</v>
      </c>
      <c r="F1184">
        <v>0.23069232885054819</v>
      </c>
      <c r="G1184" t="s">
        <v>96</v>
      </c>
      <c r="H1184">
        <v>0.23069232885054819</v>
      </c>
      <c r="I1184">
        <v>9.3575813047567652E-2</v>
      </c>
      <c r="J1184">
        <v>4.3458650252464898E-2</v>
      </c>
      <c r="K1184">
        <v>0.2166536692603899</v>
      </c>
      <c r="L1184">
        <v>-0.43785489860337662</v>
      </c>
      <c r="M1184">
        <v>6485.7570420000002</v>
      </c>
      <c r="N1184" t="s">
        <v>96</v>
      </c>
      <c r="O1184">
        <v>6485.7570420000002</v>
      </c>
      <c r="P1184">
        <v>2630.819982</v>
      </c>
      <c r="Q1184">
        <v>1221.8102280000001</v>
      </c>
      <c r="R1184">
        <v>5211.2524429999994</v>
      </c>
      <c r="S1184">
        <v>-1778.101936</v>
      </c>
      <c r="T1184">
        <v>-50495.638449671264</v>
      </c>
    </row>
    <row r="1185" spans="1:20" x14ac:dyDescent="0.25">
      <c r="A1185" s="1" t="s">
        <v>48</v>
      </c>
      <c r="B1185">
        <v>2017</v>
      </c>
      <c r="C1185">
        <v>28122.385773999998</v>
      </c>
      <c r="D1185">
        <v>23983.897650999999</v>
      </c>
      <c r="E1185">
        <v>4138.4881230000001</v>
      </c>
      <c r="F1185">
        <v>0.16278761964898719</v>
      </c>
      <c r="G1185" t="s">
        <v>96</v>
      </c>
      <c r="H1185">
        <v>0.16278761964898719</v>
      </c>
      <c r="I1185">
        <v>0.1068382939180713</v>
      </c>
      <c r="J1185">
        <v>4.8350625403094941E-2</v>
      </c>
      <c r="K1185">
        <v>0.22029805333912031</v>
      </c>
      <c r="L1185">
        <v>-0.44622758459466533</v>
      </c>
      <c r="M1185">
        <v>4577.9762389999996</v>
      </c>
      <c r="N1185" t="s">
        <v>96</v>
      </c>
      <c r="O1185">
        <v>4577.9762389999996</v>
      </c>
      <c r="P1185">
        <v>3004.5477169999999</v>
      </c>
      <c r="Q1185">
        <v>1359.7349400000001</v>
      </c>
      <c r="R1185">
        <v>5283.6059639999994</v>
      </c>
      <c r="S1185">
        <v>-1846.7075589999999</v>
      </c>
      <c r="T1185">
        <v>-45390.243437004123</v>
      </c>
    </row>
    <row r="1186" spans="1:20" x14ac:dyDescent="0.25">
      <c r="A1186" s="1" t="s">
        <v>48</v>
      </c>
      <c r="B1186">
        <v>2018</v>
      </c>
      <c r="C1186">
        <v>28134.052506</v>
      </c>
      <c r="D1186">
        <v>23856.158474</v>
      </c>
      <c r="E1186">
        <v>4277.8940320000002</v>
      </c>
      <c r="F1186">
        <v>0.11114675460753901</v>
      </c>
      <c r="G1186">
        <v>-1.5318891578384829E-4</v>
      </c>
      <c r="H1186">
        <v>0.1109935656917552</v>
      </c>
      <c r="I1186">
        <v>0.1154407907750707</v>
      </c>
      <c r="J1186">
        <v>4.5975698798605212E-2</v>
      </c>
      <c r="K1186">
        <v>0.22638420942273629</v>
      </c>
      <c r="L1186">
        <v>-0.45214805101090921</v>
      </c>
      <c r="M1186">
        <v>3127.0086299999998</v>
      </c>
      <c r="N1186">
        <v>-4.309825</v>
      </c>
      <c r="O1186">
        <v>3122.698805</v>
      </c>
      <c r="P1186">
        <v>3247.8172690000001</v>
      </c>
      <c r="Q1186">
        <v>1293.482724</v>
      </c>
      <c r="R1186">
        <v>5400.6575760000014</v>
      </c>
      <c r="S1186">
        <v>-1934.2414490000001</v>
      </c>
      <c r="T1186">
        <v>-40811.521391670387</v>
      </c>
    </row>
    <row r="1187" spans="1:20" x14ac:dyDescent="0.25">
      <c r="A1187" s="1" t="s">
        <v>48</v>
      </c>
      <c r="B1187">
        <v>2019</v>
      </c>
      <c r="C1187">
        <v>28141.199777000002</v>
      </c>
      <c r="D1187">
        <v>23766.244696999998</v>
      </c>
      <c r="E1187">
        <v>4374.9550799999997</v>
      </c>
      <c r="F1187">
        <v>8.757562447690094E-2</v>
      </c>
      <c r="G1187" t="s">
        <v>96</v>
      </c>
      <c r="H1187">
        <v>8.757562447690094E-2</v>
      </c>
      <c r="I1187">
        <v>0.1164937592916474</v>
      </c>
      <c r="J1187">
        <v>5.1417502717229648E-2</v>
      </c>
      <c r="K1187">
        <v>0.2243280941508182</v>
      </c>
      <c r="L1187">
        <v>-0.45673313976060298</v>
      </c>
      <c r="M1187">
        <v>2464.4831439999998</v>
      </c>
      <c r="N1187" t="s">
        <v>96</v>
      </c>
      <c r="O1187">
        <v>2464.4831439999998</v>
      </c>
      <c r="P1187">
        <v>3278.2741529999998</v>
      </c>
      <c r="Q1187">
        <v>1446.950216</v>
      </c>
      <c r="R1187">
        <v>5331.4363779999994</v>
      </c>
      <c r="S1187">
        <v>-1998.18697</v>
      </c>
      <c r="T1187">
        <v>-38584.175377003507</v>
      </c>
    </row>
    <row r="1188" spans="1:20" x14ac:dyDescent="0.25">
      <c r="A1188" s="1" t="s">
        <v>48</v>
      </c>
      <c r="B1188">
        <v>2020</v>
      </c>
      <c r="C1188">
        <v>28134.031596000001</v>
      </c>
      <c r="D1188">
        <v>23674.304067000001</v>
      </c>
      <c r="E1188">
        <v>4459.7275289999998</v>
      </c>
      <c r="F1188">
        <v>5.2405055598559173E-2</v>
      </c>
      <c r="G1188" t="s">
        <v>96</v>
      </c>
      <c r="H1188">
        <v>5.2405055598559173E-2</v>
      </c>
      <c r="I1188">
        <v>0.12740407451982869</v>
      </c>
      <c r="J1188">
        <v>5.4052923442945579E-2</v>
      </c>
      <c r="K1188">
        <v>0.2331272778021467</v>
      </c>
      <c r="L1188">
        <v>-0.45476877495580298</v>
      </c>
      <c r="M1188">
        <v>1474.3654899999999</v>
      </c>
      <c r="N1188" t="s">
        <v>96</v>
      </c>
      <c r="O1188">
        <v>1474.3654899999999</v>
      </c>
      <c r="P1188">
        <v>3584.3902579999999</v>
      </c>
      <c r="Q1188">
        <v>1520.726656</v>
      </c>
      <c r="R1188">
        <v>5519.1260609999999</v>
      </c>
      <c r="S1188">
        <v>-2028.1448250000001</v>
      </c>
      <c r="T1188">
        <v>-36925.033346670018</v>
      </c>
    </row>
    <row r="1189" spans="1:20" x14ac:dyDescent="0.25">
      <c r="A1189" s="1" t="s">
        <v>48</v>
      </c>
      <c r="B1189">
        <v>2021</v>
      </c>
      <c r="C1189">
        <v>28143.001242999999</v>
      </c>
      <c r="D1189">
        <v>23598.520917000002</v>
      </c>
      <c r="E1189">
        <v>4544.4803259999999</v>
      </c>
      <c r="F1189">
        <v>1.5610673723339109E-2</v>
      </c>
      <c r="G1189" t="s">
        <v>96</v>
      </c>
      <c r="H1189">
        <v>1.5610673723339109E-2</v>
      </c>
      <c r="I1189">
        <v>0.12680216282503329</v>
      </c>
      <c r="J1189">
        <v>5.5467465552852931E-2</v>
      </c>
      <c r="K1189">
        <v>0.2321773298534564</v>
      </c>
      <c r="L1189">
        <v>-0.46240183569011228</v>
      </c>
      <c r="M1189">
        <v>439.33121000000011</v>
      </c>
      <c r="N1189" t="s">
        <v>96</v>
      </c>
      <c r="O1189">
        <v>439.33121000000011</v>
      </c>
      <c r="P1189">
        <v>3568.5934259999999</v>
      </c>
      <c r="Q1189">
        <v>1561.0209520000001</v>
      </c>
      <c r="R1189">
        <v>5479.0415749999993</v>
      </c>
      <c r="S1189">
        <v>-2101.376045</v>
      </c>
      <c r="T1189">
        <v>-32804.240766002971</v>
      </c>
    </row>
    <row r="1190" spans="1:20" x14ac:dyDescent="0.25">
      <c r="A1190" s="1" t="s">
        <v>48</v>
      </c>
      <c r="B1190">
        <v>2022</v>
      </c>
      <c r="C1190">
        <v>28141.271623000001</v>
      </c>
      <c r="D1190">
        <v>23509.042444999999</v>
      </c>
      <c r="E1190">
        <v>4632.2291779999996</v>
      </c>
      <c r="F1190">
        <v>1.4835294992810069E-2</v>
      </c>
      <c r="G1190" t="s">
        <v>96</v>
      </c>
      <c r="H1190">
        <v>1.4835294992810069E-2</v>
      </c>
      <c r="I1190">
        <v>0.1221990726669729</v>
      </c>
      <c r="J1190">
        <v>5.9261378566737827E-2</v>
      </c>
      <c r="K1190">
        <v>0.23161831332513891</v>
      </c>
      <c r="L1190">
        <v>-0.46770528545727319</v>
      </c>
      <c r="M1190">
        <v>417.48406599999998</v>
      </c>
      <c r="N1190" t="s">
        <v>96</v>
      </c>
      <c r="O1190">
        <v>417.48406599999998</v>
      </c>
      <c r="P1190">
        <v>3438.8372960000002</v>
      </c>
      <c r="Q1190">
        <v>1667.6905509999999</v>
      </c>
      <c r="R1190">
        <v>5445.1247589999994</v>
      </c>
      <c r="S1190">
        <v>-2166.5180700000001</v>
      </c>
      <c r="T1190">
        <v>-32276.26820733627</v>
      </c>
    </row>
    <row r="1191" spans="1:20" x14ac:dyDescent="0.25">
      <c r="A1191" s="1" t="s">
        <v>48</v>
      </c>
      <c r="B1191">
        <v>2023</v>
      </c>
      <c r="C1191">
        <v>28146.136932000001</v>
      </c>
      <c r="D1191">
        <v>23509.043135</v>
      </c>
      <c r="E1191">
        <v>4637.0937970000004</v>
      </c>
      <c r="F1191">
        <v>3.8039180246534868E-2</v>
      </c>
      <c r="G1191">
        <v>-1.3141494368965149E-4</v>
      </c>
      <c r="H1191">
        <v>3.7907765302845217E-2</v>
      </c>
      <c r="I1191">
        <v>0.1041841568555046</v>
      </c>
      <c r="J1191">
        <v>6.0959671238197177E-2</v>
      </c>
      <c r="K1191">
        <v>0.2315878239593013</v>
      </c>
      <c r="L1191">
        <v>-0.46981570685705071</v>
      </c>
      <c r="M1191">
        <v>1070.655976</v>
      </c>
      <c r="N1191">
        <v>-3.698823</v>
      </c>
      <c r="O1191">
        <v>1066.9571530000001</v>
      </c>
      <c r="P1191">
        <v>2932.3815450000002</v>
      </c>
      <c r="Q1191">
        <v>1715.779254</v>
      </c>
      <c r="R1191">
        <v>5444.4081430000006</v>
      </c>
      <c r="S1191">
        <v>-2178.5794999999998</v>
      </c>
      <c r="T1191">
        <v>-32930.137515003</v>
      </c>
    </row>
    <row r="1192" spans="1:20" x14ac:dyDescent="0.25">
      <c r="A1192" s="1" t="s">
        <v>107</v>
      </c>
      <c r="B1192">
        <v>1990</v>
      </c>
      <c r="C1192">
        <v>22970.588759999999</v>
      </c>
      <c r="D1192">
        <v>22970.588759999999</v>
      </c>
      <c r="E1192" t="s">
        <v>96</v>
      </c>
      <c r="F1192">
        <v>1.0285720093598769</v>
      </c>
      <c r="G1192">
        <v>-0.25982453566592939</v>
      </c>
      <c r="H1192">
        <v>0.76874747369394725</v>
      </c>
      <c r="I1192" t="s">
        <v>96</v>
      </c>
      <c r="J1192" t="s">
        <v>96</v>
      </c>
      <c r="K1192" t="s">
        <v>96</v>
      </c>
      <c r="L1192" t="s">
        <v>96</v>
      </c>
      <c r="M1192">
        <v>23626.904637052601</v>
      </c>
      <c r="N1192">
        <v>-5968.3225585400169</v>
      </c>
      <c r="O1192">
        <v>17658.58207851258</v>
      </c>
      <c r="P1192" t="s">
        <v>96</v>
      </c>
      <c r="Q1192" t="s">
        <v>96</v>
      </c>
      <c r="R1192" t="s">
        <v>96</v>
      </c>
      <c r="S1192" t="s">
        <v>96</v>
      </c>
      <c r="T1192">
        <v>-64748.134287885361</v>
      </c>
    </row>
    <row r="1193" spans="1:20" x14ac:dyDescent="0.25">
      <c r="A1193" s="1" t="s">
        <v>107</v>
      </c>
      <c r="B1193">
        <v>1991</v>
      </c>
      <c r="C1193">
        <v>22974.409530000001</v>
      </c>
      <c r="D1193">
        <v>22974.409530000001</v>
      </c>
      <c r="E1193" t="s">
        <v>96</v>
      </c>
      <c r="F1193">
        <v>1.031496761138786</v>
      </c>
      <c r="G1193">
        <v>-0.25113242694147009</v>
      </c>
      <c r="H1193">
        <v>0.78036433419731599</v>
      </c>
      <c r="I1193" t="s">
        <v>96</v>
      </c>
      <c r="J1193">
        <v>4.6961277663298007E-5</v>
      </c>
      <c r="K1193">
        <v>1.457811189513518E-4</v>
      </c>
      <c r="L1193" t="s">
        <v>96</v>
      </c>
      <c r="M1193">
        <v>23698.02901927106</v>
      </c>
      <c r="N1193">
        <v>-5769.619222816139</v>
      </c>
      <c r="O1193">
        <v>17928.409796454918</v>
      </c>
      <c r="P1193" t="s">
        <v>96</v>
      </c>
      <c r="Q1193">
        <v>1.07890762508865</v>
      </c>
      <c r="R1193">
        <v>3.3492351285300002</v>
      </c>
      <c r="S1193" t="s">
        <v>96</v>
      </c>
      <c r="T1193">
        <v>-65753.739110437295</v>
      </c>
    </row>
    <row r="1194" spans="1:20" x14ac:dyDescent="0.25">
      <c r="A1194" s="1" t="s">
        <v>107</v>
      </c>
      <c r="B1194">
        <v>1992</v>
      </c>
      <c r="C1194">
        <v>22982.01093</v>
      </c>
      <c r="D1194">
        <v>22982.01093</v>
      </c>
      <c r="E1194" t="s">
        <v>96</v>
      </c>
      <c r="F1194">
        <v>1.0342462099287919</v>
      </c>
      <c r="G1194">
        <v>-0.25455218052040368</v>
      </c>
      <c r="H1194">
        <v>0.77969402940838839</v>
      </c>
      <c r="I1194" t="s">
        <v>96</v>
      </c>
      <c r="J1194">
        <v>1.3967066219984609E-4</v>
      </c>
      <c r="K1194">
        <v>4.3077161940676171E-4</v>
      </c>
      <c r="L1194" t="s">
        <v>96</v>
      </c>
      <c r="M1194">
        <v>23769.05770089458</v>
      </c>
      <c r="N1194">
        <v>-5850.1209949752511</v>
      </c>
      <c r="O1194">
        <v>17918.936705919321</v>
      </c>
      <c r="P1194" t="s">
        <v>96</v>
      </c>
      <c r="Q1194">
        <v>3.2099126852772</v>
      </c>
      <c r="R1194">
        <v>9.8999980655399984</v>
      </c>
      <c r="S1194" t="s">
        <v>96</v>
      </c>
      <c r="T1194">
        <v>-65750.837594463155</v>
      </c>
    </row>
    <row r="1195" spans="1:20" x14ac:dyDescent="0.25">
      <c r="A1195" s="1" t="s">
        <v>107</v>
      </c>
      <c r="B1195">
        <v>1993</v>
      </c>
      <c r="C1195">
        <v>22985.335709999999</v>
      </c>
      <c r="D1195">
        <v>22985.335709999999</v>
      </c>
      <c r="E1195" t="s">
        <v>96</v>
      </c>
      <c r="F1195">
        <v>1.037167218117329</v>
      </c>
      <c r="G1195">
        <v>-0.25293925227889369</v>
      </c>
      <c r="H1195">
        <v>0.78422796583843535</v>
      </c>
      <c r="I1195" t="s">
        <v>96</v>
      </c>
      <c r="J1195">
        <v>1.7919584435711509E-4</v>
      </c>
      <c r="K1195">
        <v>5.5758312428885552E-4</v>
      </c>
      <c r="L1195" t="s">
        <v>96</v>
      </c>
      <c r="M1195">
        <v>23839.6366958336</v>
      </c>
      <c r="N1195">
        <v>-5813.8936278667543</v>
      </c>
      <c r="O1195">
        <v>18025.743067966851</v>
      </c>
      <c r="P1195" t="s">
        <v>96</v>
      </c>
      <c r="Q1195">
        <v>4.1188766403852002</v>
      </c>
      <c r="R1195">
        <v>12.81623529801</v>
      </c>
      <c r="S1195" t="s">
        <v>96</v>
      </c>
      <c r="T1195">
        <v>-66156.486659658578</v>
      </c>
    </row>
    <row r="1196" spans="1:20" x14ac:dyDescent="0.25">
      <c r="A1196" s="1" t="s">
        <v>107</v>
      </c>
      <c r="B1196">
        <v>1994</v>
      </c>
      <c r="C1196">
        <v>22988.79063</v>
      </c>
      <c r="D1196">
        <v>22988.79063</v>
      </c>
      <c r="E1196" t="s">
        <v>96</v>
      </c>
      <c r="F1196">
        <v>1.0400664868995051</v>
      </c>
      <c r="G1196">
        <v>-0.21216470633966139</v>
      </c>
      <c r="H1196">
        <v>0.82790178055984376</v>
      </c>
      <c r="I1196" t="s">
        <v>96</v>
      </c>
      <c r="J1196">
        <v>2.1934482294719989E-4</v>
      </c>
      <c r="K1196">
        <v>6.9529453898941338E-4</v>
      </c>
      <c r="L1196" t="s">
        <v>96</v>
      </c>
      <c r="M1196">
        <v>23909.870708612361</v>
      </c>
      <c r="N1196">
        <v>-4877.4100131179102</v>
      </c>
      <c r="O1196">
        <v>19032.46069549445</v>
      </c>
      <c r="P1196" t="s">
        <v>96</v>
      </c>
      <c r="Q1196">
        <v>5.0424722105075999</v>
      </c>
      <c r="R1196">
        <v>15.98398058301</v>
      </c>
      <c r="S1196" t="s">
        <v>96</v>
      </c>
      <c r="T1196">
        <v>-69862.786210395585</v>
      </c>
    </row>
    <row r="1197" spans="1:20" x14ac:dyDescent="0.25">
      <c r="A1197" s="1" t="s">
        <v>107</v>
      </c>
      <c r="B1197">
        <v>1995</v>
      </c>
      <c r="C1197">
        <v>22992.438600000001</v>
      </c>
      <c r="D1197">
        <v>22992.438600000001</v>
      </c>
      <c r="E1197" t="s">
        <v>96</v>
      </c>
      <c r="F1197">
        <v>1.042952083310289</v>
      </c>
      <c r="G1197">
        <v>-0.26130626536217122</v>
      </c>
      <c r="H1197">
        <v>0.78164581794811805</v>
      </c>
      <c r="I1197" t="s">
        <v>96</v>
      </c>
      <c r="J1197">
        <v>2.6215220688459071E-4</v>
      </c>
      <c r="K1197">
        <v>8.3069671046550068E-4</v>
      </c>
      <c r="L1197" t="s">
        <v>96</v>
      </c>
      <c r="M1197">
        <v>23980.01173825391</v>
      </c>
      <c r="N1197">
        <v>-6008.068262135027</v>
      </c>
      <c r="O1197">
        <v>17971.943476118879</v>
      </c>
      <c r="P1197" t="s">
        <v>96</v>
      </c>
      <c r="Q1197">
        <v>6.0275185206484494</v>
      </c>
      <c r="R1197">
        <v>19.099743110599999</v>
      </c>
      <c r="S1197" t="s">
        <v>96</v>
      </c>
      <c r="T1197">
        <v>-65989.259371756474</v>
      </c>
    </row>
    <row r="1198" spans="1:20" x14ac:dyDescent="0.25">
      <c r="A1198" s="1" t="s">
        <v>107</v>
      </c>
      <c r="B1198">
        <v>1996</v>
      </c>
      <c r="C1198">
        <v>22995.49365</v>
      </c>
      <c r="D1198">
        <v>22995.49365</v>
      </c>
      <c r="E1198" t="s">
        <v>96</v>
      </c>
      <c r="F1198">
        <v>1.043725023163643</v>
      </c>
      <c r="G1198">
        <v>-0.2569776399846927</v>
      </c>
      <c r="H1198">
        <v>0.78674738317895077</v>
      </c>
      <c r="I1198" t="s">
        <v>96</v>
      </c>
      <c r="J1198">
        <v>2.9609689987156239E-4</v>
      </c>
      <c r="K1198">
        <v>9.532472801278615E-4</v>
      </c>
      <c r="L1198" t="s">
        <v>96</v>
      </c>
      <c r="M1198">
        <v>24000.97214250567</v>
      </c>
      <c r="N1198">
        <v>-5909.3276884599873</v>
      </c>
      <c r="O1198">
        <v>18091.64445404568</v>
      </c>
      <c r="P1198" t="s">
        <v>96</v>
      </c>
      <c r="Q1198">
        <v>6.8088943807811999</v>
      </c>
      <c r="R1198">
        <v>21.920391777060011</v>
      </c>
      <c r="S1198" t="s">
        <v>96</v>
      </c>
      <c r="T1198">
        <v>-66441.370380752283</v>
      </c>
    </row>
    <row r="1199" spans="1:20" x14ac:dyDescent="0.25">
      <c r="A1199" s="1" t="s">
        <v>107</v>
      </c>
      <c r="B1199">
        <v>1997</v>
      </c>
      <c r="C1199">
        <v>22996.497869999999</v>
      </c>
      <c r="D1199">
        <v>22996.497869999999</v>
      </c>
      <c r="E1199" t="s">
        <v>96</v>
      </c>
      <c r="F1199">
        <v>1.0468741361634979</v>
      </c>
      <c r="G1199">
        <v>-0.24059799589500039</v>
      </c>
      <c r="H1199">
        <v>0.80627614026849792</v>
      </c>
      <c r="I1199" t="s">
        <v>96</v>
      </c>
      <c r="J1199">
        <v>3.0690765027438938E-4</v>
      </c>
      <c r="K1199">
        <v>9.9631695355445926E-4</v>
      </c>
      <c r="L1199" t="s">
        <v>96</v>
      </c>
      <c r="M1199">
        <v>24074.438842441981</v>
      </c>
      <c r="N1199">
        <v>-5532.9113001256464</v>
      </c>
      <c r="O1199">
        <v>18541.527542316329</v>
      </c>
      <c r="P1199" t="s">
        <v>96</v>
      </c>
      <c r="Q1199">
        <v>7.0578011258217002</v>
      </c>
      <c r="R1199">
        <v>22.911800700260009</v>
      </c>
      <c r="S1199" t="s">
        <v>96</v>
      </c>
      <c r="T1199">
        <v>-68095.489528528386</v>
      </c>
    </row>
    <row r="1200" spans="1:20" x14ac:dyDescent="0.25">
      <c r="A1200" s="1" t="s">
        <v>107</v>
      </c>
      <c r="B1200">
        <v>1998</v>
      </c>
      <c r="C1200">
        <v>22997.885040000001</v>
      </c>
      <c r="D1200">
        <v>22997.885040000001</v>
      </c>
      <c r="E1200" t="s">
        <v>96</v>
      </c>
      <c r="F1200">
        <v>1.0498280788028489</v>
      </c>
      <c r="G1200">
        <v>-0.23721918842989359</v>
      </c>
      <c r="H1200">
        <v>0.81260889037295536</v>
      </c>
      <c r="I1200" t="s">
        <v>96</v>
      </c>
      <c r="J1200">
        <v>3.2055971095190107E-4</v>
      </c>
      <c r="K1200">
        <v>1.0521789461858269E-3</v>
      </c>
      <c r="L1200" t="s">
        <v>96</v>
      </c>
      <c r="M1200">
        <v>24143.82546807198</v>
      </c>
      <c r="N1200">
        <v>-5455.5396247927911</v>
      </c>
      <c r="O1200">
        <v>18688.285843279191</v>
      </c>
      <c r="P1200" t="s">
        <v>96</v>
      </c>
      <c r="Q1200">
        <v>7.3721953809274501</v>
      </c>
      <c r="R1200">
        <v>24.19789044589</v>
      </c>
      <c r="S1200" t="s">
        <v>96</v>
      </c>
      <c r="T1200">
        <v>-68639.471740061606</v>
      </c>
    </row>
    <row r="1201" spans="1:20" x14ac:dyDescent="0.25">
      <c r="A1201" s="1" t="s">
        <v>107</v>
      </c>
      <c r="B1201">
        <v>1999</v>
      </c>
      <c r="C1201">
        <v>22998.760829999999</v>
      </c>
      <c r="D1201">
        <v>22998.760829999999</v>
      </c>
      <c r="E1201" t="s">
        <v>96</v>
      </c>
      <c r="F1201">
        <v>1.0528642187789981</v>
      </c>
      <c r="G1201">
        <v>-0.23578080594649059</v>
      </c>
      <c r="H1201">
        <v>0.81708341283250707</v>
      </c>
      <c r="I1201" t="s">
        <v>96</v>
      </c>
      <c r="J1201">
        <v>3.2922787892731219E-4</v>
      </c>
      <c r="K1201">
        <v>1.0883967808216911E-3</v>
      </c>
      <c r="L1201" t="s">
        <v>96</v>
      </c>
      <c r="M1201">
        <v>24214.57235416296</v>
      </c>
      <c r="N1201">
        <v>-5422.6663642679778</v>
      </c>
      <c r="O1201">
        <v>18791.905989894982</v>
      </c>
      <c r="P1201" t="s">
        <v>96</v>
      </c>
      <c r="Q1201">
        <v>7.5718332460174507</v>
      </c>
      <c r="R1201">
        <v>25.031777250259999</v>
      </c>
      <c r="S1201" t="s">
        <v>96</v>
      </c>
      <c r="T1201">
        <v>-69023.201868107557</v>
      </c>
    </row>
    <row r="1202" spans="1:20" x14ac:dyDescent="0.25">
      <c r="A1202" s="1" t="s">
        <v>107</v>
      </c>
      <c r="B1202">
        <v>2000</v>
      </c>
      <c r="C1202">
        <v>22998.861359999999</v>
      </c>
      <c r="D1202">
        <v>22998.861359999999</v>
      </c>
      <c r="E1202" t="s">
        <v>96</v>
      </c>
      <c r="F1202">
        <v>1.0558307038428629</v>
      </c>
      <c r="G1202">
        <v>-0.26777343773808798</v>
      </c>
      <c r="H1202">
        <v>0.78805726610477556</v>
      </c>
      <c r="I1202" t="s">
        <v>96</v>
      </c>
      <c r="J1202">
        <v>3.3290996611498548E-4</v>
      </c>
      <c r="K1202">
        <v>1.103528600342413E-3</v>
      </c>
      <c r="L1202" t="s">
        <v>96</v>
      </c>
      <c r="M1202">
        <v>24282.903977313239</v>
      </c>
      <c r="N1202">
        <v>-6158.4841704288792</v>
      </c>
      <c r="O1202">
        <v>18124.419806884362</v>
      </c>
      <c r="P1202" t="s">
        <v>96</v>
      </c>
      <c r="Q1202">
        <v>7.6565501560408498</v>
      </c>
      <c r="R1202">
        <v>25.379901286070009</v>
      </c>
      <c r="S1202" t="s">
        <v>96</v>
      </c>
      <c r="T1202">
        <v>-66577.339613869772</v>
      </c>
    </row>
    <row r="1203" spans="1:20" x14ac:dyDescent="0.25">
      <c r="A1203" s="1" t="s">
        <v>107</v>
      </c>
      <c r="B1203">
        <v>2001</v>
      </c>
      <c r="C1203">
        <v>22999.939470000001</v>
      </c>
      <c r="D1203">
        <v>22999.939470000001</v>
      </c>
      <c r="E1203" t="s">
        <v>96</v>
      </c>
      <c r="F1203">
        <v>1.058560617607007</v>
      </c>
      <c r="G1203">
        <v>-0.25611061750988001</v>
      </c>
      <c r="H1203">
        <v>0.80245000009712664</v>
      </c>
      <c r="I1203" t="s">
        <v>96</v>
      </c>
      <c r="J1203">
        <v>3.645128393507354E-4</v>
      </c>
      <c r="K1203">
        <v>1.2134299612363291E-3</v>
      </c>
      <c r="L1203" t="s">
        <v>96</v>
      </c>
      <c r="M1203">
        <v>24346.83013028697</v>
      </c>
      <c r="N1203">
        <v>-5890.5287003515614</v>
      </c>
      <c r="O1203">
        <v>18456.301429935411</v>
      </c>
      <c r="P1203" t="s">
        <v>96</v>
      </c>
      <c r="Q1203">
        <v>8.3837732411047483</v>
      </c>
      <c r="R1203">
        <v>27.908815659520009</v>
      </c>
      <c r="S1203" t="s">
        <v>96</v>
      </c>
      <c r="T1203">
        <v>-67806.178069071611</v>
      </c>
    </row>
    <row r="1204" spans="1:20" x14ac:dyDescent="0.25">
      <c r="A1204" s="1" t="s">
        <v>107</v>
      </c>
      <c r="B1204">
        <v>2002</v>
      </c>
      <c r="C1204">
        <v>23001.638129999999</v>
      </c>
      <c r="D1204">
        <v>23001.638129999999</v>
      </c>
      <c r="E1204" t="s">
        <v>96</v>
      </c>
      <c r="F1204">
        <v>1.0611561083103029</v>
      </c>
      <c r="G1204">
        <v>-0.27777982275815277</v>
      </c>
      <c r="H1204">
        <v>0.78337628555214989</v>
      </c>
      <c r="I1204" t="s">
        <v>96</v>
      </c>
      <c r="J1204">
        <v>4.3277634531948428E-4</v>
      </c>
      <c r="K1204">
        <v>1.4481422421151709E-3</v>
      </c>
      <c r="L1204" t="s">
        <v>96</v>
      </c>
      <c r="M1204">
        <v>24408.328802792668</v>
      </c>
      <c r="N1204">
        <v>-6389.3909628985703</v>
      </c>
      <c r="O1204">
        <v>18018.937839894101</v>
      </c>
      <c r="P1204" t="s">
        <v>96</v>
      </c>
      <c r="Q1204">
        <v>9.9545648862626983</v>
      </c>
      <c r="R1204">
        <v>33.30964381390001</v>
      </c>
      <c r="S1204" t="s">
        <v>96</v>
      </c>
      <c r="T1204">
        <v>-66228.074178184979</v>
      </c>
    </row>
    <row r="1205" spans="1:20" x14ac:dyDescent="0.25">
      <c r="A1205" s="1" t="s">
        <v>107</v>
      </c>
      <c r="B1205">
        <v>2003</v>
      </c>
      <c r="C1205">
        <v>23002.276409999999</v>
      </c>
      <c r="D1205">
        <v>23002.276409999999</v>
      </c>
      <c r="E1205" t="s">
        <v>96</v>
      </c>
      <c r="F1205">
        <v>1.0642136454271049</v>
      </c>
      <c r="G1205">
        <v>-0.26821341461448228</v>
      </c>
      <c r="H1205">
        <v>0.79600023081262239</v>
      </c>
      <c r="I1205" t="s">
        <v>96</v>
      </c>
      <c r="J1205">
        <v>4.6493415089592641E-4</v>
      </c>
      <c r="K1205">
        <v>1.565717835962654E-3</v>
      </c>
      <c r="L1205" t="s">
        <v>96</v>
      </c>
      <c r="M1205">
        <v>24479.336431407999</v>
      </c>
      <c r="N1205">
        <v>-6169.5190998322569</v>
      </c>
      <c r="O1205">
        <v>18309.817331575741</v>
      </c>
      <c r="P1205" t="s">
        <v>96</v>
      </c>
      <c r="Q1205">
        <v>10.69454385135675</v>
      </c>
      <c r="R1205">
        <v>36.015074442880007</v>
      </c>
      <c r="S1205" t="s">
        <v>96</v>
      </c>
      <c r="T1205">
        <v>-67307.265482862713</v>
      </c>
    </row>
    <row r="1206" spans="1:20" x14ac:dyDescent="0.25">
      <c r="A1206" s="1" t="s">
        <v>107</v>
      </c>
      <c r="B1206">
        <v>2004</v>
      </c>
      <c r="C1206">
        <v>23003.552070000002</v>
      </c>
      <c r="D1206">
        <v>23003.552070000002</v>
      </c>
      <c r="E1206" t="s">
        <v>96</v>
      </c>
      <c r="F1206">
        <v>1.066662034341505</v>
      </c>
      <c r="G1206">
        <v>-0.28736494643729471</v>
      </c>
      <c r="H1206">
        <v>0.77929708790420982</v>
      </c>
      <c r="I1206" t="s">
        <v>96</v>
      </c>
      <c r="J1206">
        <v>5.3248809941594598E-4</v>
      </c>
      <c r="K1206">
        <v>1.8246607474747269E-3</v>
      </c>
      <c r="L1206" t="s">
        <v>96</v>
      </c>
      <c r="M1206">
        <v>24537.015648066928</v>
      </c>
      <c r="N1206">
        <v>-6610.4145084630709</v>
      </c>
      <c r="O1206">
        <v>17926.601139603859</v>
      </c>
      <c r="P1206" t="s">
        <v>96</v>
      </c>
      <c r="Q1206">
        <v>12.24911772157005</v>
      </c>
      <c r="R1206">
        <v>41.973678514619998</v>
      </c>
      <c r="S1206" t="s">
        <v>96</v>
      </c>
      <c r="T1206">
        <v>-65929.687764752845</v>
      </c>
    </row>
    <row r="1207" spans="1:20" x14ac:dyDescent="0.25">
      <c r="A1207" s="1" t="s">
        <v>107</v>
      </c>
      <c r="B1207">
        <v>2005</v>
      </c>
      <c r="C1207">
        <v>23004.179459999999</v>
      </c>
      <c r="D1207">
        <v>23004.179459999999</v>
      </c>
      <c r="E1207" t="s">
        <v>96</v>
      </c>
      <c r="F1207">
        <v>1.0696356118490149</v>
      </c>
      <c r="G1207">
        <v>-0.28133514161065581</v>
      </c>
      <c r="H1207">
        <v>0.78830047023835892</v>
      </c>
      <c r="I1207" t="s">
        <v>96</v>
      </c>
      <c r="J1207">
        <v>5.7129942624344304E-4</v>
      </c>
      <c r="K1207">
        <v>1.9676940256985798E-3</v>
      </c>
      <c r="L1207" t="s">
        <v>96</v>
      </c>
      <c r="M1207">
        <v>24606.089571781638</v>
      </c>
      <c r="N1207">
        <v>-6471.8840860160408</v>
      </c>
      <c r="O1207">
        <v>18134.2054857656</v>
      </c>
      <c r="P1207" t="s">
        <v>96</v>
      </c>
      <c r="Q1207">
        <v>13.1422745266992</v>
      </c>
      <c r="R1207">
        <v>45.26518648954</v>
      </c>
      <c r="S1207" t="s">
        <v>96</v>
      </c>
      <c r="T1207">
        <v>-66706.247471539493</v>
      </c>
    </row>
    <row r="1208" spans="1:20" x14ac:dyDescent="0.25">
      <c r="A1208" s="1" t="s">
        <v>107</v>
      </c>
      <c r="B1208">
        <v>2006</v>
      </c>
      <c r="C1208">
        <v>23005.450349999999</v>
      </c>
      <c r="D1208">
        <v>23005.450349999999</v>
      </c>
      <c r="E1208" t="s">
        <v>96</v>
      </c>
      <c r="F1208">
        <v>1.074609608150999</v>
      </c>
      <c r="G1208">
        <v>-0.27681013849628322</v>
      </c>
      <c r="H1208">
        <v>0.79779946965471626</v>
      </c>
      <c r="I1208" t="s">
        <v>96</v>
      </c>
      <c r="J1208">
        <v>6.4826181644230441E-4</v>
      </c>
      <c r="K1208">
        <v>2.2733049750204089E-3</v>
      </c>
      <c r="L1208" t="s">
        <v>96</v>
      </c>
      <c r="M1208">
        <v>24721.877985950781</v>
      </c>
      <c r="N1208">
        <v>-6368.1418975528686</v>
      </c>
      <c r="O1208">
        <v>18353.736088397909</v>
      </c>
      <c r="P1208" t="s">
        <v>96</v>
      </c>
      <c r="Q1208">
        <v>14.91355503196425</v>
      </c>
      <c r="R1208">
        <v>52.298404733240019</v>
      </c>
      <c r="S1208" t="s">
        <v>96</v>
      </c>
      <c r="T1208">
        <v>-67543.476176604207</v>
      </c>
    </row>
    <row r="1209" spans="1:20" x14ac:dyDescent="0.25">
      <c r="A1209" s="1" t="s">
        <v>107</v>
      </c>
      <c r="B1209">
        <v>2007</v>
      </c>
      <c r="C1209">
        <v>23006.106630000009</v>
      </c>
      <c r="D1209">
        <v>23006.106630000009</v>
      </c>
      <c r="E1209" t="s">
        <v>96</v>
      </c>
      <c r="F1209">
        <v>1.080161392849516</v>
      </c>
      <c r="G1209">
        <v>-0.2871707067993588</v>
      </c>
      <c r="H1209">
        <v>0.79299068605015766</v>
      </c>
      <c r="I1209" t="s">
        <v>96</v>
      </c>
      <c r="J1209">
        <v>6.9209939379231012E-4</v>
      </c>
      <c r="K1209">
        <v>2.4535552829261999E-3</v>
      </c>
      <c r="L1209" t="s">
        <v>96</v>
      </c>
      <c r="M1209">
        <v>24850.308181505301</v>
      </c>
      <c r="N1209">
        <v>-6606.6799016385166</v>
      </c>
      <c r="O1209">
        <v>18243.628279866789</v>
      </c>
      <c r="P1209" t="s">
        <v>96</v>
      </c>
      <c r="Q1209">
        <v>15.92251245214425</v>
      </c>
      <c r="R1209">
        <v>56.446754461599987</v>
      </c>
      <c r="S1209" t="s">
        <v>96</v>
      </c>
      <c r="T1209">
        <v>-67158.657671534704</v>
      </c>
    </row>
    <row r="1210" spans="1:20" x14ac:dyDescent="0.25">
      <c r="A1210" s="1" t="s">
        <v>107</v>
      </c>
      <c r="B1210">
        <v>2008</v>
      </c>
      <c r="C1210">
        <v>23006.95623</v>
      </c>
      <c r="D1210">
        <v>23006.95623</v>
      </c>
      <c r="E1210" t="s">
        <v>96</v>
      </c>
      <c r="F1210">
        <v>1.085278373222506</v>
      </c>
      <c r="G1210">
        <v>-0.31513355452855102</v>
      </c>
      <c r="H1210">
        <v>0.77014481869395446</v>
      </c>
      <c r="I1210" t="s">
        <v>96</v>
      </c>
      <c r="J1210">
        <v>7.5193353390247213E-4</v>
      </c>
      <c r="K1210">
        <v>2.6946318943016482E-3</v>
      </c>
      <c r="L1210" t="s">
        <v>96</v>
      </c>
      <c r="M1210">
        <v>24968.952030095788</v>
      </c>
      <c r="N1210">
        <v>-7250.2638956426908</v>
      </c>
      <c r="O1210">
        <v>17718.688134453099</v>
      </c>
      <c r="P1210" t="s">
        <v>96</v>
      </c>
      <c r="Q1210">
        <v>17.299701902363399</v>
      </c>
      <c r="R1210">
        <v>61.995278048160017</v>
      </c>
      <c r="S1210" t="s">
        <v>96</v>
      </c>
      <c r="T1210">
        <v>-65259.271419485893</v>
      </c>
    </row>
    <row r="1211" spans="1:20" x14ac:dyDescent="0.25">
      <c r="A1211" s="1" t="s">
        <v>107</v>
      </c>
      <c r="B1211">
        <v>2009</v>
      </c>
      <c r="C1211">
        <v>23007.495060000001</v>
      </c>
      <c r="D1211">
        <v>23007.495060000001</v>
      </c>
      <c r="E1211" t="s">
        <v>96</v>
      </c>
      <c r="F1211">
        <v>1.090433803625553</v>
      </c>
      <c r="G1211">
        <v>-0.31906629059446112</v>
      </c>
      <c r="H1211">
        <v>0.77136751303109163</v>
      </c>
      <c r="I1211" t="s">
        <v>96</v>
      </c>
      <c r="J1211">
        <v>7.8602467153902748E-4</v>
      </c>
      <c r="K1211">
        <v>2.841822722100804E-3</v>
      </c>
      <c r="L1211" t="s">
        <v>96</v>
      </c>
      <c r="M1211">
        <v>25088.15035017192</v>
      </c>
      <c r="N1211">
        <v>-7340.9161046645904</v>
      </c>
      <c r="O1211">
        <v>17747.23424550733</v>
      </c>
      <c r="P1211" t="s">
        <v>96</v>
      </c>
      <c r="Q1211">
        <v>18.084458747472301</v>
      </c>
      <c r="R1211">
        <v>65.383222240130024</v>
      </c>
      <c r="S1211" t="s">
        <v>96</v>
      </c>
      <c r="T1211">
        <v>-65379.240397154019</v>
      </c>
    </row>
    <row r="1212" spans="1:20" x14ac:dyDescent="0.25">
      <c r="A1212" s="1" t="s">
        <v>107</v>
      </c>
      <c r="B1212">
        <v>2010</v>
      </c>
      <c r="C1212">
        <v>23008.30992</v>
      </c>
      <c r="D1212">
        <v>23008.30992</v>
      </c>
      <c r="E1212" t="s">
        <v>96</v>
      </c>
      <c r="F1212">
        <v>1.1173163273925699</v>
      </c>
      <c r="G1212">
        <v>-0.33848750355639601</v>
      </c>
      <c r="H1212">
        <v>0.7788288238361738</v>
      </c>
      <c r="I1212" t="s">
        <v>96</v>
      </c>
      <c r="J1212">
        <v>8.4157920182055253E-4</v>
      </c>
      <c r="K1212">
        <v>3.0845029328555739E-3</v>
      </c>
      <c r="L1212" t="s">
        <v>96</v>
      </c>
      <c r="M1212">
        <v>25707.560339324438</v>
      </c>
      <c r="N1212">
        <v>-7788.0253858726628</v>
      </c>
      <c r="O1212">
        <v>17919.53495345177</v>
      </c>
      <c r="P1212" t="s">
        <v>96</v>
      </c>
      <c r="Q1212">
        <v>19.3633150977135</v>
      </c>
      <c r="R1212">
        <v>70.969199428290011</v>
      </c>
      <c r="S1212" t="s">
        <v>96</v>
      </c>
      <c r="T1212">
        <v>-66036.180715924522</v>
      </c>
    </row>
    <row r="1213" spans="1:20" x14ac:dyDescent="0.25">
      <c r="A1213" s="1" t="s">
        <v>107</v>
      </c>
      <c r="B1213">
        <v>2011</v>
      </c>
      <c r="C1213">
        <v>23004.578880000001</v>
      </c>
      <c r="D1213">
        <v>23004.578880000001</v>
      </c>
      <c r="E1213" t="s">
        <v>96</v>
      </c>
      <c r="F1213">
        <v>1.148059031357215</v>
      </c>
      <c r="G1213">
        <v>-0.34927806011157719</v>
      </c>
      <c r="H1213">
        <v>0.79878097124563796</v>
      </c>
      <c r="I1213" t="s">
        <v>96</v>
      </c>
      <c r="J1213">
        <v>8.1539369490594429E-4</v>
      </c>
      <c r="K1213">
        <v>3.027900292377793E-3</v>
      </c>
      <c r="L1213" t="s">
        <v>96</v>
      </c>
      <c r="M1213">
        <v>26410.614545753451</v>
      </c>
      <c r="N1213">
        <v>-8034.9946848901591</v>
      </c>
      <c r="O1213">
        <v>18375.619860863291</v>
      </c>
      <c r="P1213" t="s">
        <v>96</v>
      </c>
      <c r="Q1213">
        <v>18.75778857271845</v>
      </c>
      <c r="R1213">
        <v>69.65557111678001</v>
      </c>
      <c r="S1213" t="s">
        <v>96</v>
      </c>
      <c r="T1213">
        <v>-67701.455142033039</v>
      </c>
    </row>
    <row r="1214" spans="1:20" x14ac:dyDescent="0.25">
      <c r="A1214" s="1" t="s">
        <v>107</v>
      </c>
      <c r="B1214">
        <v>2012</v>
      </c>
      <c r="C1214">
        <v>22997.083500000001</v>
      </c>
      <c r="D1214">
        <v>22997.083500000001</v>
      </c>
      <c r="E1214" t="s">
        <v>96</v>
      </c>
      <c r="F1214">
        <v>1.147689857144905</v>
      </c>
      <c r="G1214">
        <v>-0.36146740924837528</v>
      </c>
      <c r="H1214">
        <v>0.78622244789653029</v>
      </c>
      <c r="I1214" t="s">
        <v>96</v>
      </c>
      <c r="J1214">
        <v>7.4551122874747357E-4</v>
      </c>
      <c r="K1214">
        <v>2.852843086399195E-3</v>
      </c>
      <c r="L1214" t="s">
        <v>96</v>
      </c>
      <c r="M1214">
        <v>26393.519476864469</v>
      </c>
      <c r="N1214">
        <v>-8312.6961930135603</v>
      </c>
      <c r="O1214">
        <v>18080.82328385091</v>
      </c>
      <c r="P1214" t="s">
        <v>96</v>
      </c>
      <c r="Q1214">
        <v>17.144583977693252</v>
      </c>
      <c r="R1214">
        <v>65.607070670320013</v>
      </c>
      <c r="S1214" t="s">
        <v>96</v>
      </c>
      <c r="T1214">
        <v>-66599.774774502104</v>
      </c>
    </row>
    <row r="1215" spans="1:20" x14ac:dyDescent="0.25">
      <c r="A1215" s="1" t="s">
        <v>107</v>
      </c>
      <c r="B1215">
        <v>2013</v>
      </c>
      <c r="C1215">
        <v>22993.674930000001</v>
      </c>
      <c r="D1215">
        <v>22993.674930000001</v>
      </c>
      <c r="E1215" t="s">
        <v>96</v>
      </c>
      <c r="F1215">
        <v>1.147421153705656</v>
      </c>
      <c r="G1215">
        <v>-0.33888879362717328</v>
      </c>
      <c r="H1215">
        <v>0.80853236007848261</v>
      </c>
      <c r="I1215" t="s">
        <v>96</v>
      </c>
      <c r="J1215">
        <v>7.1290932169619698E-4</v>
      </c>
      <c r="K1215">
        <v>2.7624230622068742E-3</v>
      </c>
      <c r="L1215" t="s">
        <v>96</v>
      </c>
      <c r="M1215">
        <v>26383.429016113419</v>
      </c>
      <c r="N1215">
        <v>-7792.2987580830786</v>
      </c>
      <c r="O1215">
        <v>18591.130258030342</v>
      </c>
      <c r="P1215" t="s">
        <v>96</v>
      </c>
      <c r="Q1215">
        <v>16.39240519764915</v>
      </c>
      <c r="R1215">
        <v>63.518257911520017</v>
      </c>
      <c r="S1215" t="s">
        <v>96</v>
      </c>
      <c r="T1215">
        <v>-68460.483377517754</v>
      </c>
    </row>
    <row r="1216" spans="1:20" x14ac:dyDescent="0.25">
      <c r="A1216" s="1" t="s">
        <v>107</v>
      </c>
      <c r="B1216">
        <v>2014</v>
      </c>
      <c r="C1216">
        <v>22990.140630000002</v>
      </c>
      <c r="D1216">
        <v>22990.140630000002</v>
      </c>
      <c r="E1216" t="s">
        <v>96</v>
      </c>
      <c r="F1216">
        <v>1.146955940641154</v>
      </c>
      <c r="G1216">
        <v>-0.35269108618721878</v>
      </c>
      <c r="H1216">
        <v>0.79426485445393569</v>
      </c>
      <c r="I1216" t="s">
        <v>96</v>
      </c>
      <c r="J1216">
        <v>6.8347026081585994E-4</v>
      </c>
      <c r="K1216">
        <v>2.6832526667654412E-3</v>
      </c>
      <c r="L1216" t="s">
        <v>96</v>
      </c>
      <c r="M1216">
        <v>26368.678371754071</v>
      </c>
      <c r="N1216">
        <v>-8108.4176703916091</v>
      </c>
      <c r="O1216">
        <v>18260.260701362458</v>
      </c>
      <c r="P1216" t="s">
        <v>96</v>
      </c>
      <c r="Q1216">
        <v>15.7130774125794</v>
      </c>
      <c r="R1216">
        <v>61.688356154760022</v>
      </c>
      <c r="S1216" t="s">
        <v>96</v>
      </c>
      <c r="T1216">
        <v>-67238.094494748715</v>
      </c>
    </row>
    <row r="1217" spans="1:20" x14ac:dyDescent="0.25">
      <c r="A1217" s="1" t="s">
        <v>107</v>
      </c>
      <c r="B1217">
        <v>2015</v>
      </c>
      <c r="C1217">
        <v>22986.423719999999</v>
      </c>
      <c r="D1217">
        <v>22986.423719999999</v>
      </c>
      <c r="E1217" t="s">
        <v>96</v>
      </c>
      <c r="F1217">
        <v>1.1270033965596691</v>
      </c>
      <c r="G1217">
        <v>-0.38196021684615189</v>
      </c>
      <c r="H1217">
        <v>0.7450431797135173</v>
      </c>
      <c r="I1217" t="s">
        <v>96</v>
      </c>
      <c r="J1217">
        <v>6.523590807433941E-4</v>
      </c>
      <c r="K1217">
        <v>2.6099785136184731E-3</v>
      </c>
      <c r="L1217" t="s">
        <v>96</v>
      </c>
      <c r="M1217">
        <v>25905.77760719975</v>
      </c>
      <c r="N1217">
        <v>-8779.8993886087301</v>
      </c>
      <c r="O1217">
        <v>17125.87821859102</v>
      </c>
      <c r="P1217" t="s">
        <v>96</v>
      </c>
      <c r="Q1217">
        <v>14.995402247557349</v>
      </c>
      <c r="R1217">
        <v>59.994072014130012</v>
      </c>
      <c r="S1217" t="s">
        <v>96</v>
      </c>
      <c r="T1217">
        <v>-63069.848207132323</v>
      </c>
    </row>
    <row r="1218" spans="1:20" x14ac:dyDescent="0.25">
      <c r="A1218" s="1" t="s">
        <v>107</v>
      </c>
      <c r="B1218">
        <v>2016</v>
      </c>
      <c r="C1218">
        <v>23064.847752195499</v>
      </c>
      <c r="D1218">
        <v>23064.847752195499</v>
      </c>
      <c r="E1218" t="s">
        <v>96</v>
      </c>
      <c r="F1218">
        <v>1.128465744207567</v>
      </c>
      <c r="G1218">
        <v>-0.38328662706224881</v>
      </c>
      <c r="H1218">
        <v>0.74517911714531793</v>
      </c>
      <c r="I1218" t="s">
        <v>96</v>
      </c>
      <c r="J1218">
        <v>6.3067287354789849E-4</v>
      </c>
      <c r="K1218">
        <v>2.5493569211024691E-3</v>
      </c>
      <c r="L1218" t="s">
        <v>96</v>
      </c>
      <c r="M1218">
        <v>26027.890583715511</v>
      </c>
      <c r="N1218">
        <v>-8840.4476986433019</v>
      </c>
      <c r="O1218">
        <v>17187.442885072211</v>
      </c>
      <c r="P1218" t="s">
        <v>96</v>
      </c>
      <c r="Q1218">
        <v>14.546373809821921</v>
      </c>
      <c r="R1218">
        <v>58.800529251234309</v>
      </c>
      <c r="S1218" t="s">
        <v>96</v>
      </c>
      <c r="T1218">
        <v>-63289.562556494413</v>
      </c>
    </row>
    <row r="1219" spans="1:20" x14ac:dyDescent="0.25">
      <c r="A1219" s="1" t="s">
        <v>107</v>
      </c>
      <c r="B1219">
        <v>2017</v>
      </c>
      <c r="C1219">
        <v>23059.06994841135</v>
      </c>
      <c r="D1219">
        <v>23059.06994841135</v>
      </c>
      <c r="E1219" t="s">
        <v>96</v>
      </c>
      <c r="F1219">
        <v>1.1282572298333171</v>
      </c>
      <c r="G1219">
        <v>-0.34904409291063099</v>
      </c>
      <c r="H1219">
        <v>0.77921313692268568</v>
      </c>
      <c r="I1219" t="s">
        <v>96</v>
      </c>
      <c r="J1219">
        <v>6.3322623475100051E-4</v>
      </c>
      <c r="K1219">
        <v>2.5740208728899298E-3</v>
      </c>
      <c r="L1219" t="s">
        <v>96</v>
      </c>
      <c r="M1219">
        <v>26016.562382527271</v>
      </c>
      <c r="N1219">
        <v>-8048.6321535060324</v>
      </c>
      <c r="O1219">
        <v>17967.93022902124</v>
      </c>
      <c r="P1219" t="s">
        <v>96</v>
      </c>
      <c r="Q1219">
        <v>14.60160804029247</v>
      </c>
      <c r="R1219">
        <v>59.35452735663975</v>
      </c>
      <c r="S1219" t="s">
        <v>96</v>
      </c>
      <c r="T1219">
        <v>-66153.583336205993</v>
      </c>
    </row>
    <row r="1220" spans="1:20" x14ac:dyDescent="0.25">
      <c r="A1220" s="1" t="s">
        <v>107</v>
      </c>
      <c r="B1220">
        <v>2018</v>
      </c>
      <c r="C1220">
        <v>23056.279134987231</v>
      </c>
      <c r="D1220">
        <v>23056.279134987231</v>
      </c>
      <c r="E1220" t="s">
        <v>96</v>
      </c>
      <c r="F1220">
        <v>1.132906263553946</v>
      </c>
      <c r="G1220">
        <v>-0.42248429677492799</v>
      </c>
      <c r="H1220">
        <v>0.71042196677901825</v>
      </c>
      <c r="I1220" t="s">
        <v>96</v>
      </c>
      <c r="J1220">
        <v>6.44410508738231E-4</v>
      </c>
      <c r="K1220">
        <v>2.6542441487685561E-3</v>
      </c>
      <c r="L1220" t="s">
        <v>96</v>
      </c>
      <c r="M1220">
        <v>26120.603046275191</v>
      </c>
      <c r="N1220">
        <v>-9740.9158765915236</v>
      </c>
      <c r="O1220">
        <v>16379.68716968367</v>
      </c>
      <c r="P1220" t="s">
        <v>96</v>
      </c>
      <c r="Q1220">
        <v>14.85770856698778</v>
      </c>
      <c r="R1220">
        <v>61.196993986414391</v>
      </c>
      <c r="S1220" t="s">
        <v>96</v>
      </c>
      <c r="T1220">
        <v>-60337.720198208081</v>
      </c>
    </row>
    <row r="1221" spans="1:20" x14ac:dyDescent="0.25">
      <c r="A1221" s="1" t="s">
        <v>107</v>
      </c>
      <c r="B1221">
        <v>2019</v>
      </c>
      <c r="C1221">
        <v>23048.652233579789</v>
      </c>
      <c r="D1221">
        <v>23048.652233579789</v>
      </c>
      <c r="E1221" t="s">
        <v>96</v>
      </c>
      <c r="F1221">
        <v>1.130118177974873</v>
      </c>
      <c r="G1221">
        <v>-0.48799250682667689</v>
      </c>
      <c r="H1221">
        <v>0.64212567114819574</v>
      </c>
      <c r="I1221" t="s">
        <v>96</v>
      </c>
      <c r="J1221">
        <v>6.3480153555055404E-4</v>
      </c>
      <c r="K1221">
        <v>2.6052694403969272E-3</v>
      </c>
      <c r="L1221" t="s">
        <v>96</v>
      </c>
      <c r="M1221">
        <v>26047.700866989671</v>
      </c>
      <c r="N1221">
        <v>-11247.56958244089</v>
      </c>
      <c r="O1221">
        <v>14800.13128454879</v>
      </c>
      <c r="P1221" t="s">
        <v>96</v>
      </c>
      <c r="Q1221">
        <v>14.631319830247159</v>
      </c>
      <c r="R1221">
        <v>60.047949306481797</v>
      </c>
      <c r="S1221" t="s">
        <v>96</v>
      </c>
      <c r="T1221">
        <v>-54540.972030185178</v>
      </c>
    </row>
    <row r="1222" spans="1:20" x14ac:dyDescent="0.25">
      <c r="A1222" s="1" t="s">
        <v>107</v>
      </c>
      <c r="B1222">
        <v>2020</v>
      </c>
      <c r="C1222">
        <v>23040.556714136768</v>
      </c>
      <c r="D1222">
        <v>23040.556714136768</v>
      </c>
      <c r="E1222" t="s">
        <v>96</v>
      </c>
      <c r="F1222">
        <v>1.1175282541256391</v>
      </c>
      <c r="G1222">
        <v>-0.53417293203219052</v>
      </c>
      <c r="H1222">
        <v>0.58335532209344898</v>
      </c>
      <c r="I1222" t="s">
        <v>96</v>
      </c>
      <c r="J1222">
        <v>6.4393196021664712E-4</v>
      </c>
      <c r="K1222">
        <v>2.6554692883365171E-3</v>
      </c>
      <c r="L1222" t="s">
        <v>96</v>
      </c>
      <c r="M1222">
        <v>25748.47311883204</v>
      </c>
      <c r="N1222">
        <v>-12307.641735644411</v>
      </c>
      <c r="O1222">
        <v>13440.831383187629</v>
      </c>
      <c r="P1222" t="s">
        <v>96</v>
      </c>
      <c r="Q1222">
        <v>14.83655084941692</v>
      </c>
      <c r="R1222">
        <v>61.183490740565922</v>
      </c>
      <c r="S1222" t="s">
        <v>96</v>
      </c>
      <c r="T1222">
        <v>-49561.788557522443</v>
      </c>
    </row>
    <row r="1223" spans="1:20" x14ac:dyDescent="0.25">
      <c r="A1223" s="1" t="s">
        <v>107</v>
      </c>
      <c r="B1223">
        <v>2021</v>
      </c>
      <c r="C1223">
        <v>23094.229824819031</v>
      </c>
      <c r="D1223">
        <v>23094.229824819031</v>
      </c>
      <c r="E1223" t="s">
        <v>96</v>
      </c>
      <c r="F1223">
        <v>1.099852184478312</v>
      </c>
      <c r="G1223">
        <v>-0.58490432041247375</v>
      </c>
      <c r="H1223">
        <v>0.51494786406583859</v>
      </c>
      <c r="I1223" t="s">
        <v>96</v>
      </c>
      <c r="J1223">
        <v>6.1094601835158589E-4</v>
      </c>
      <c r="K1223">
        <v>2.5397935678027721E-3</v>
      </c>
      <c r="L1223" t="s">
        <v>96</v>
      </c>
      <c r="M1223">
        <v>25400.23912167141</v>
      </c>
      <c r="N1223">
        <v>-13507.914801135261</v>
      </c>
      <c r="O1223">
        <v>11892.32432053615</v>
      </c>
      <c r="P1223" t="s">
        <v>96</v>
      </c>
      <c r="Q1223">
        <v>14.109327758369631</v>
      </c>
      <c r="R1223">
        <v>58.654576362434312</v>
      </c>
      <c r="S1223" t="s">
        <v>96</v>
      </c>
      <c r="T1223">
        <v>-43871.990157079483</v>
      </c>
    </row>
    <row r="1224" spans="1:20" x14ac:dyDescent="0.25">
      <c r="A1224" s="1" t="s">
        <v>107</v>
      </c>
      <c r="B1224">
        <v>2022</v>
      </c>
      <c r="C1224">
        <v>23099.206672068431</v>
      </c>
      <c r="D1224">
        <v>23099.206672068431</v>
      </c>
      <c r="E1224" t="s">
        <v>96</v>
      </c>
      <c r="F1224">
        <v>1.091657213695443</v>
      </c>
      <c r="G1224">
        <v>-0.55419576800013992</v>
      </c>
      <c r="H1224">
        <v>0.53746144569530274</v>
      </c>
      <c r="I1224" t="s">
        <v>96</v>
      </c>
      <c r="J1224">
        <v>5.6718399354982615E-4</v>
      </c>
      <c r="K1224">
        <v>2.40033114614264E-3</v>
      </c>
      <c r="L1224" t="s">
        <v>96</v>
      </c>
      <c r="M1224">
        <v>25216.415594205399</v>
      </c>
      <c r="N1224">
        <v>-12801.482581820919</v>
      </c>
      <c r="O1224">
        <v>12414.933012384479</v>
      </c>
      <c r="P1224" t="s">
        <v>96</v>
      </c>
      <c r="Q1224">
        <v>13.10150028809656</v>
      </c>
      <c r="R1224">
        <v>55.445745226151708</v>
      </c>
      <c r="S1224" t="s">
        <v>96</v>
      </c>
      <c r="T1224">
        <v>-45772.760945632828</v>
      </c>
    </row>
    <row r="1225" spans="1:20" x14ac:dyDescent="0.25">
      <c r="A1225" s="1" t="s">
        <v>107</v>
      </c>
      <c r="B1225">
        <v>2023</v>
      </c>
      <c r="C1225">
        <v>23256.75891377285</v>
      </c>
      <c r="D1225">
        <v>23256.75891377285</v>
      </c>
      <c r="E1225" t="s">
        <v>96</v>
      </c>
      <c r="F1225">
        <v>1.143853321086707</v>
      </c>
      <c r="G1225">
        <v>-0.4883979700338954</v>
      </c>
      <c r="H1225">
        <v>0.65545535105281183</v>
      </c>
      <c r="I1225" t="s">
        <v>96</v>
      </c>
      <c r="J1225">
        <v>7.6095660694020244E-4</v>
      </c>
      <c r="K1225">
        <v>3.1882364897341249E-3</v>
      </c>
      <c r="L1225" t="s">
        <v>96</v>
      </c>
      <c r="M1225">
        <v>26602.32092123196</v>
      </c>
      <c r="N1225">
        <v>-11358.55384305436</v>
      </c>
      <c r="O1225">
        <v>15243.7670781776</v>
      </c>
      <c r="P1225" t="s">
        <v>96</v>
      </c>
      <c r="Q1225">
        <v>17.6973843514509</v>
      </c>
      <c r="R1225">
        <v>74.148047401839989</v>
      </c>
      <c r="S1225" t="s">
        <v>96</v>
      </c>
      <c r="T1225">
        <v>-56230.579203085043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46F5-517F-469A-833D-C273487F6EE6}">
  <dimension ref="A1:C1191"/>
  <sheetViews>
    <sheetView workbookViewId="0">
      <selection activeCell="C17" sqref="C17"/>
    </sheetView>
  </sheetViews>
  <sheetFormatPr baseColWidth="10" defaultColWidth="9.140625" defaultRowHeight="15" x14ac:dyDescent="0.25"/>
  <cols>
    <col min="3" max="3" width="37.28515625" bestFit="1" customWidth="1"/>
  </cols>
  <sheetData>
    <row r="1" spans="1:3" x14ac:dyDescent="0.25">
      <c r="A1" s="1" t="s">
        <v>12</v>
      </c>
      <c r="B1" s="1" t="s">
        <v>108</v>
      </c>
      <c r="C1" s="1" t="s">
        <v>66</v>
      </c>
    </row>
    <row r="2" spans="1:3" x14ac:dyDescent="0.25">
      <c r="A2" t="s">
        <v>97</v>
      </c>
      <c r="B2">
        <v>1990</v>
      </c>
      <c r="C2">
        <v>26863.430950000002</v>
      </c>
    </row>
    <row r="3" spans="1:3" x14ac:dyDescent="0.25">
      <c r="A3" t="s">
        <v>97</v>
      </c>
      <c r="B3">
        <v>1991</v>
      </c>
      <c r="C3">
        <v>26256.507693</v>
      </c>
    </row>
    <row r="4" spans="1:3" x14ac:dyDescent="0.25">
      <c r="A4" t="s">
        <v>97</v>
      </c>
      <c r="B4">
        <v>1992</v>
      </c>
      <c r="C4">
        <v>27722.670187</v>
      </c>
    </row>
    <row r="5" spans="1:3" x14ac:dyDescent="0.25">
      <c r="A5" t="s">
        <v>97</v>
      </c>
      <c r="B5">
        <v>1993</v>
      </c>
      <c r="C5">
        <v>27691.5880908</v>
      </c>
    </row>
    <row r="6" spans="1:3" x14ac:dyDescent="0.25">
      <c r="A6" t="s">
        <v>97</v>
      </c>
      <c r="B6">
        <v>1994</v>
      </c>
      <c r="C6">
        <v>27977.829433800001</v>
      </c>
    </row>
    <row r="7" spans="1:3" x14ac:dyDescent="0.25">
      <c r="A7" t="s">
        <v>97</v>
      </c>
      <c r="B7">
        <v>1995</v>
      </c>
      <c r="C7">
        <v>28402.352312300001</v>
      </c>
    </row>
    <row r="8" spans="1:3" x14ac:dyDescent="0.25">
      <c r="A8" t="s">
        <v>97</v>
      </c>
      <c r="B8">
        <v>1996</v>
      </c>
      <c r="C8">
        <v>27614.349467100001</v>
      </c>
    </row>
    <row r="9" spans="1:3" x14ac:dyDescent="0.25">
      <c r="A9" t="s">
        <v>97</v>
      </c>
      <c r="B9">
        <v>1997</v>
      </c>
      <c r="C9">
        <v>27714.4943231</v>
      </c>
    </row>
    <row r="10" spans="1:3" x14ac:dyDescent="0.25">
      <c r="A10" t="s">
        <v>97</v>
      </c>
      <c r="B10">
        <v>1998</v>
      </c>
      <c r="C10">
        <v>23726.2196171</v>
      </c>
    </row>
    <row r="11" spans="1:3" x14ac:dyDescent="0.25">
      <c r="A11" t="s">
        <v>97</v>
      </c>
      <c r="B11">
        <v>1999</v>
      </c>
      <c r="C11">
        <v>26872.5193956</v>
      </c>
    </row>
    <row r="12" spans="1:3" x14ac:dyDescent="0.25">
      <c r="A12" t="s">
        <v>97</v>
      </c>
      <c r="B12">
        <v>2000</v>
      </c>
      <c r="C12">
        <v>27436.7253375</v>
      </c>
    </row>
    <row r="13" spans="1:3" x14ac:dyDescent="0.25">
      <c r="A13" t="s">
        <v>97</v>
      </c>
      <c r="B13">
        <v>2001</v>
      </c>
      <c r="C13">
        <v>23519.041841900002</v>
      </c>
    </row>
    <row r="14" spans="1:3" x14ac:dyDescent="0.25">
      <c r="A14" t="s">
        <v>97</v>
      </c>
      <c r="B14">
        <v>2002</v>
      </c>
      <c r="C14">
        <v>24871.101563290002</v>
      </c>
    </row>
    <row r="15" spans="1:3" x14ac:dyDescent="0.25">
      <c r="A15" t="s">
        <v>97</v>
      </c>
      <c r="B15">
        <v>2003</v>
      </c>
      <c r="C15">
        <v>20229.458371709999</v>
      </c>
    </row>
    <row r="16" spans="1:3" x14ac:dyDescent="0.25">
      <c r="A16" t="s">
        <v>97</v>
      </c>
      <c r="B16">
        <v>2004</v>
      </c>
      <c r="C16">
        <v>26116.321671000009</v>
      </c>
    </row>
    <row r="17" spans="1:3" x14ac:dyDescent="0.25">
      <c r="A17" t="s">
        <v>97</v>
      </c>
      <c r="B17">
        <v>2005</v>
      </c>
      <c r="C17">
        <v>24985.320114859998</v>
      </c>
    </row>
    <row r="18" spans="1:3" x14ac:dyDescent="0.25">
      <c r="A18" t="s">
        <v>97</v>
      </c>
      <c r="B18">
        <v>2006</v>
      </c>
      <c r="C18">
        <v>21650.534958010001</v>
      </c>
    </row>
    <row r="19" spans="1:3" x14ac:dyDescent="0.25">
      <c r="A19" t="s">
        <v>97</v>
      </c>
      <c r="B19">
        <v>2007</v>
      </c>
      <c r="C19">
        <v>21349.410496500001</v>
      </c>
    </row>
    <row r="20" spans="1:3" x14ac:dyDescent="0.25">
      <c r="A20" t="s">
        <v>97</v>
      </c>
      <c r="B20">
        <v>2008</v>
      </c>
      <c r="C20">
        <v>19723.6030785</v>
      </c>
    </row>
    <row r="21" spans="1:3" x14ac:dyDescent="0.25">
      <c r="A21" t="s">
        <v>97</v>
      </c>
      <c r="B21">
        <v>2009</v>
      </c>
      <c r="C21">
        <v>17864.041867299999</v>
      </c>
    </row>
    <row r="22" spans="1:3" x14ac:dyDescent="0.25">
      <c r="A22" t="s">
        <v>97</v>
      </c>
      <c r="B22">
        <v>2010</v>
      </c>
      <c r="C22">
        <v>22294.700722900001</v>
      </c>
    </row>
    <row r="23" spans="1:3" x14ac:dyDescent="0.25">
      <c r="A23" t="s">
        <v>97</v>
      </c>
      <c r="B23">
        <v>2011</v>
      </c>
      <c r="C23">
        <v>22837.840943300002</v>
      </c>
    </row>
    <row r="24" spans="1:3" x14ac:dyDescent="0.25">
      <c r="A24" t="s">
        <v>97</v>
      </c>
      <c r="B24">
        <v>2012</v>
      </c>
      <c r="C24">
        <v>23056.872939749999</v>
      </c>
    </row>
    <row r="25" spans="1:3" x14ac:dyDescent="0.25">
      <c r="A25" t="s">
        <v>97</v>
      </c>
      <c r="B25">
        <v>2013</v>
      </c>
      <c r="C25">
        <v>22984.862701509999</v>
      </c>
    </row>
    <row r="26" spans="1:3" x14ac:dyDescent="0.25">
      <c r="A26" t="s">
        <v>97</v>
      </c>
      <c r="B26">
        <v>2014</v>
      </c>
      <c r="C26">
        <v>22500.571049599999</v>
      </c>
    </row>
    <row r="27" spans="1:3" x14ac:dyDescent="0.25">
      <c r="A27" t="s">
        <v>97</v>
      </c>
      <c r="B27">
        <v>2015</v>
      </c>
      <c r="C27">
        <v>23397.092961300001</v>
      </c>
    </row>
    <row r="28" spans="1:3" x14ac:dyDescent="0.25">
      <c r="A28" t="s">
        <v>97</v>
      </c>
      <c r="B28">
        <v>2016</v>
      </c>
      <c r="C28">
        <v>22150.6655307</v>
      </c>
    </row>
    <row r="29" spans="1:3" x14ac:dyDescent="0.25">
      <c r="A29" t="s">
        <v>97</v>
      </c>
      <c r="B29">
        <v>2017</v>
      </c>
      <c r="C29">
        <v>22135.402766499999</v>
      </c>
    </row>
    <row r="30" spans="1:3" x14ac:dyDescent="0.25">
      <c r="A30" t="s">
        <v>97</v>
      </c>
      <c r="B30">
        <v>2018</v>
      </c>
      <c r="C30">
        <v>23601.026689400001</v>
      </c>
    </row>
    <row r="31" spans="1:3" x14ac:dyDescent="0.25">
      <c r="A31" t="s">
        <v>97</v>
      </c>
      <c r="B31">
        <v>2019</v>
      </c>
      <c r="C31">
        <v>20924.412562000001</v>
      </c>
    </row>
    <row r="32" spans="1:3" x14ac:dyDescent="0.25">
      <c r="A32" t="s">
        <v>97</v>
      </c>
      <c r="B32">
        <v>2020</v>
      </c>
      <c r="C32">
        <v>21803.408793999999</v>
      </c>
    </row>
    <row r="33" spans="1:3" x14ac:dyDescent="0.25">
      <c r="A33" t="s">
        <v>97</v>
      </c>
      <c r="B33">
        <v>2021</v>
      </c>
      <c r="C33">
        <v>21448.118263799999</v>
      </c>
    </row>
    <row r="34" spans="1:3" x14ac:dyDescent="0.25">
      <c r="A34" t="s">
        <v>97</v>
      </c>
      <c r="B34">
        <v>2022</v>
      </c>
      <c r="C34">
        <v>21265.0791818</v>
      </c>
    </row>
    <row r="35" spans="1:3" x14ac:dyDescent="0.25">
      <c r="A35" t="s">
        <v>97</v>
      </c>
      <c r="B35">
        <v>2023</v>
      </c>
      <c r="C35">
        <v>21043.269333299999</v>
      </c>
    </row>
    <row r="36" spans="1:3" x14ac:dyDescent="0.25">
      <c r="A36" t="s">
        <v>27</v>
      </c>
      <c r="B36">
        <v>1990</v>
      </c>
      <c r="C36" t="s">
        <v>96</v>
      </c>
    </row>
    <row r="37" spans="1:3" x14ac:dyDescent="0.25">
      <c r="A37" t="s">
        <v>27</v>
      </c>
      <c r="B37">
        <v>1991</v>
      </c>
      <c r="C37" t="s">
        <v>96</v>
      </c>
    </row>
    <row r="38" spans="1:3" x14ac:dyDescent="0.25">
      <c r="A38" t="s">
        <v>27</v>
      </c>
      <c r="B38">
        <v>1992</v>
      </c>
      <c r="C38" t="s">
        <v>96</v>
      </c>
    </row>
    <row r="39" spans="1:3" x14ac:dyDescent="0.25">
      <c r="A39" t="s">
        <v>27</v>
      </c>
      <c r="B39">
        <v>1993</v>
      </c>
      <c r="C39" t="s">
        <v>96</v>
      </c>
    </row>
    <row r="40" spans="1:3" x14ac:dyDescent="0.25">
      <c r="A40" t="s">
        <v>27</v>
      </c>
      <c r="B40">
        <v>1994</v>
      </c>
      <c r="C40" t="s">
        <v>96</v>
      </c>
    </row>
    <row r="41" spans="1:3" x14ac:dyDescent="0.25">
      <c r="A41" t="s">
        <v>27</v>
      </c>
      <c r="B41">
        <v>1995</v>
      </c>
      <c r="C41" t="s">
        <v>96</v>
      </c>
    </row>
    <row r="42" spans="1:3" x14ac:dyDescent="0.25">
      <c r="A42" t="s">
        <v>27</v>
      </c>
      <c r="B42">
        <v>1996</v>
      </c>
      <c r="C42" t="s">
        <v>96</v>
      </c>
    </row>
    <row r="43" spans="1:3" x14ac:dyDescent="0.25">
      <c r="A43" t="s">
        <v>27</v>
      </c>
      <c r="B43">
        <v>1997</v>
      </c>
      <c r="C43" t="s">
        <v>96</v>
      </c>
    </row>
    <row r="44" spans="1:3" x14ac:dyDescent="0.25">
      <c r="A44" t="s">
        <v>27</v>
      </c>
      <c r="B44">
        <v>1998</v>
      </c>
      <c r="C44" t="s">
        <v>96</v>
      </c>
    </row>
    <row r="45" spans="1:3" x14ac:dyDescent="0.25">
      <c r="A45" t="s">
        <v>27</v>
      </c>
      <c r="B45">
        <v>1999</v>
      </c>
      <c r="C45" t="s">
        <v>96</v>
      </c>
    </row>
    <row r="46" spans="1:3" x14ac:dyDescent="0.25">
      <c r="A46" t="s">
        <v>27</v>
      </c>
      <c r="B46">
        <v>2000</v>
      </c>
      <c r="C46" t="s">
        <v>96</v>
      </c>
    </row>
    <row r="47" spans="1:3" x14ac:dyDescent="0.25">
      <c r="A47" t="s">
        <v>27</v>
      </c>
      <c r="B47">
        <v>2001</v>
      </c>
      <c r="C47" t="s">
        <v>96</v>
      </c>
    </row>
    <row r="48" spans="1:3" x14ac:dyDescent="0.25">
      <c r="A48" t="s">
        <v>27</v>
      </c>
      <c r="B48">
        <v>2002</v>
      </c>
      <c r="C48" t="s">
        <v>96</v>
      </c>
    </row>
    <row r="49" spans="1:3" x14ac:dyDescent="0.25">
      <c r="A49" t="s">
        <v>27</v>
      </c>
      <c r="B49">
        <v>2003</v>
      </c>
      <c r="C49" t="s">
        <v>96</v>
      </c>
    </row>
    <row r="50" spans="1:3" x14ac:dyDescent="0.25">
      <c r="A50" t="s">
        <v>27</v>
      </c>
      <c r="B50">
        <v>2004</v>
      </c>
      <c r="C50" t="s">
        <v>96</v>
      </c>
    </row>
    <row r="51" spans="1:3" x14ac:dyDescent="0.25">
      <c r="A51" t="s">
        <v>27</v>
      </c>
      <c r="B51">
        <v>2005</v>
      </c>
      <c r="C51" t="s">
        <v>96</v>
      </c>
    </row>
    <row r="52" spans="1:3" x14ac:dyDescent="0.25">
      <c r="A52" t="s">
        <v>27</v>
      </c>
      <c r="B52">
        <v>2006</v>
      </c>
      <c r="C52" t="s">
        <v>96</v>
      </c>
    </row>
    <row r="53" spans="1:3" x14ac:dyDescent="0.25">
      <c r="A53" t="s">
        <v>27</v>
      </c>
      <c r="B53">
        <v>2007</v>
      </c>
      <c r="C53" t="s">
        <v>96</v>
      </c>
    </row>
    <row r="54" spans="1:3" x14ac:dyDescent="0.25">
      <c r="A54" t="s">
        <v>27</v>
      </c>
      <c r="B54">
        <v>2008</v>
      </c>
      <c r="C54" t="s">
        <v>96</v>
      </c>
    </row>
    <row r="55" spans="1:3" x14ac:dyDescent="0.25">
      <c r="A55" t="s">
        <v>27</v>
      </c>
      <c r="B55">
        <v>2009</v>
      </c>
      <c r="C55" t="s">
        <v>96</v>
      </c>
    </row>
    <row r="56" spans="1:3" x14ac:dyDescent="0.25">
      <c r="A56" t="s">
        <v>27</v>
      </c>
      <c r="B56">
        <v>2010</v>
      </c>
      <c r="C56" t="s">
        <v>96</v>
      </c>
    </row>
    <row r="57" spans="1:3" x14ac:dyDescent="0.25">
      <c r="A57" t="s">
        <v>27</v>
      </c>
      <c r="B57">
        <v>2011</v>
      </c>
      <c r="C57" t="s">
        <v>96</v>
      </c>
    </row>
    <row r="58" spans="1:3" x14ac:dyDescent="0.25">
      <c r="A58" t="s">
        <v>27</v>
      </c>
      <c r="B58">
        <v>2012</v>
      </c>
      <c r="C58" t="s">
        <v>96</v>
      </c>
    </row>
    <row r="59" spans="1:3" x14ac:dyDescent="0.25">
      <c r="A59" t="s">
        <v>27</v>
      </c>
      <c r="B59">
        <v>2013</v>
      </c>
      <c r="C59" t="s">
        <v>96</v>
      </c>
    </row>
    <row r="60" spans="1:3" x14ac:dyDescent="0.25">
      <c r="A60" t="s">
        <v>27</v>
      </c>
      <c r="B60">
        <v>2014</v>
      </c>
      <c r="C60" t="s">
        <v>96</v>
      </c>
    </row>
    <row r="61" spans="1:3" x14ac:dyDescent="0.25">
      <c r="A61" t="s">
        <v>27</v>
      </c>
      <c r="B61">
        <v>2015</v>
      </c>
      <c r="C61" t="s">
        <v>96</v>
      </c>
    </row>
    <row r="62" spans="1:3" x14ac:dyDescent="0.25">
      <c r="A62" t="s">
        <v>27</v>
      </c>
      <c r="B62">
        <v>2016</v>
      </c>
      <c r="C62" t="s">
        <v>96</v>
      </c>
    </row>
    <row r="63" spans="1:3" x14ac:dyDescent="0.25">
      <c r="A63" t="s">
        <v>27</v>
      </c>
      <c r="B63">
        <v>2017</v>
      </c>
      <c r="C63" t="s">
        <v>96</v>
      </c>
    </row>
    <row r="64" spans="1:3" x14ac:dyDescent="0.25">
      <c r="A64" t="s">
        <v>27</v>
      </c>
      <c r="B64">
        <v>2018</v>
      </c>
      <c r="C64" t="s">
        <v>96</v>
      </c>
    </row>
    <row r="65" spans="1:3" x14ac:dyDescent="0.25">
      <c r="A65" t="s">
        <v>27</v>
      </c>
      <c r="B65">
        <v>2019</v>
      </c>
      <c r="C65" t="s">
        <v>96</v>
      </c>
    </row>
    <row r="66" spans="1:3" x14ac:dyDescent="0.25">
      <c r="A66" t="s">
        <v>27</v>
      </c>
      <c r="B66">
        <v>2020</v>
      </c>
      <c r="C66" t="s">
        <v>96</v>
      </c>
    </row>
    <row r="67" spans="1:3" x14ac:dyDescent="0.25">
      <c r="A67" t="s">
        <v>27</v>
      </c>
      <c r="B67">
        <v>2021</v>
      </c>
      <c r="C67" t="s">
        <v>96</v>
      </c>
    </row>
    <row r="68" spans="1:3" x14ac:dyDescent="0.25">
      <c r="A68" t="s">
        <v>27</v>
      </c>
      <c r="B68">
        <v>2022</v>
      </c>
      <c r="C68" t="s">
        <v>96</v>
      </c>
    </row>
    <row r="69" spans="1:3" x14ac:dyDescent="0.25">
      <c r="A69" t="s">
        <v>27</v>
      </c>
      <c r="B69">
        <v>2023</v>
      </c>
      <c r="C69" t="s">
        <v>96</v>
      </c>
    </row>
    <row r="70" spans="1:3" x14ac:dyDescent="0.25">
      <c r="A70" t="s">
        <v>35</v>
      </c>
      <c r="B70">
        <v>1990</v>
      </c>
      <c r="C70">
        <v>1012.458717687584</v>
      </c>
    </row>
    <row r="71" spans="1:3" x14ac:dyDescent="0.25">
      <c r="A71" t="s">
        <v>35</v>
      </c>
      <c r="B71">
        <v>1991</v>
      </c>
      <c r="C71">
        <v>995.10054353113026</v>
      </c>
    </row>
    <row r="72" spans="1:3" x14ac:dyDescent="0.25">
      <c r="A72" t="s">
        <v>35</v>
      </c>
      <c r="B72">
        <v>1992</v>
      </c>
      <c r="C72">
        <v>1023.2665907078811</v>
      </c>
    </row>
    <row r="73" spans="1:3" x14ac:dyDescent="0.25">
      <c r="A73" t="s">
        <v>35</v>
      </c>
      <c r="B73">
        <v>1993</v>
      </c>
      <c r="C73">
        <v>1048.765355566899</v>
      </c>
    </row>
    <row r="74" spans="1:3" x14ac:dyDescent="0.25">
      <c r="A74" t="s">
        <v>35</v>
      </c>
      <c r="B74">
        <v>1994</v>
      </c>
      <c r="C74">
        <v>1123.135166864548</v>
      </c>
    </row>
    <row r="75" spans="1:3" x14ac:dyDescent="0.25">
      <c r="A75" t="s">
        <v>35</v>
      </c>
      <c r="B75">
        <v>1995</v>
      </c>
      <c r="C75">
        <v>1158.05051810192</v>
      </c>
    </row>
    <row r="76" spans="1:3" x14ac:dyDescent="0.25">
      <c r="A76" t="s">
        <v>35</v>
      </c>
      <c r="B76">
        <v>1996</v>
      </c>
      <c r="C76">
        <v>1163.1195818791459</v>
      </c>
    </row>
    <row r="77" spans="1:3" x14ac:dyDescent="0.25">
      <c r="A77" t="s">
        <v>35</v>
      </c>
      <c r="B77">
        <v>1997</v>
      </c>
      <c r="C77">
        <v>1217.359844234375</v>
      </c>
    </row>
    <row r="78" spans="1:3" x14ac:dyDescent="0.25">
      <c r="A78" t="s">
        <v>35</v>
      </c>
      <c r="B78">
        <v>1998</v>
      </c>
      <c r="C78">
        <v>1212.0952763191669</v>
      </c>
    </row>
    <row r="79" spans="1:3" x14ac:dyDescent="0.25">
      <c r="A79" t="s">
        <v>35</v>
      </c>
      <c r="B79">
        <v>1999</v>
      </c>
      <c r="C79">
        <v>1279.4300291404261</v>
      </c>
    </row>
    <row r="80" spans="1:3" x14ac:dyDescent="0.25">
      <c r="A80" t="s">
        <v>35</v>
      </c>
      <c r="B80">
        <v>2000</v>
      </c>
      <c r="C80">
        <v>1352.912354364636</v>
      </c>
    </row>
    <row r="81" spans="1:3" x14ac:dyDescent="0.25">
      <c r="A81" t="s">
        <v>35</v>
      </c>
      <c r="B81">
        <v>2001</v>
      </c>
      <c r="C81">
        <v>1329.2067168975659</v>
      </c>
    </row>
    <row r="82" spans="1:3" x14ac:dyDescent="0.25">
      <c r="A82" t="s">
        <v>35</v>
      </c>
      <c r="B82">
        <v>2002</v>
      </c>
      <c r="C82">
        <v>1334.6919841461879</v>
      </c>
    </row>
    <row r="83" spans="1:3" x14ac:dyDescent="0.25">
      <c r="A83" t="s">
        <v>35</v>
      </c>
      <c r="B83">
        <v>2003</v>
      </c>
      <c r="C83">
        <v>1368.4902873277119</v>
      </c>
    </row>
    <row r="84" spans="1:3" x14ac:dyDescent="0.25">
      <c r="A84" t="s">
        <v>35</v>
      </c>
      <c r="B84">
        <v>2004</v>
      </c>
      <c r="C84">
        <v>1343.2134262622201</v>
      </c>
    </row>
    <row r="85" spans="1:3" x14ac:dyDescent="0.25">
      <c r="A85" t="s">
        <v>35</v>
      </c>
      <c r="B85">
        <v>2005</v>
      </c>
      <c r="C85">
        <v>1311.6546492044631</v>
      </c>
    </row>
    <row r="86" spans="1:3" x14ac:dyDescent="0.25">
      <c r="A86" t="s">
        <v>35</v>
      </c>
      <c r="B86">
        <v>2006</v>
      </c>
      <c r="C86">
        <v>1287.7313462111631</v>
      </c>
    </row>
    <row r="87" spans="1:3" x14ac:dyDescent="0.25">
      <c r="A87" t="s">
        <v>35</v>
      </c>
      <c r="B87">
        <v>2007</v>
      </c>
      <c r="C87">
        <v>1327.611749863946</v>
      </c>
    </row>
    <row r="88" spans="1:3" x14ac:dyDescent="0.25">
      <c r="A88" t="s">
        <v>35</v>
      </c>
      <c r="B88">
        <v>2008</v>
      </c>
      <c r="C88">
        <v>1229.9874903088059</v>
      </c>
    </row>
    <row r="89" spans="1:3" x14ac:dyDescent="0.25">
      <c r="A89" t="s">
        <v>35</v>
      </c>
      <c r="B89">
        <v>2009</v>
      </c>
      <c r="C89">
        <v>1249.5451511077131</v>
      </c>
    </row>
    <row r="90" spans="1:3" x14ac:dyDescent="0.25">
      <c r="A90" t="s">
        <v>35</v>
      </c>
      <c r="B90">
        <v>2010</v>
      </c>
      <c r="C90">
        <v>1295.0926472773581</v>
      </c>
    </row>
    <row r="91" spans="1:3" x14ac:dyDescent="0.25">
      <c r="A91" t="s">
        <v>35</v>
      </c>
      <c r="B91">
        <v>2011</v>
      </c>
      <c r="C91">
        <v>1360.1280491291591</v>
      </c>
    </row>
    <row r="92" spans="1:3" x14ac:dyDescent="0.25">
      <c r="A92" t="s">
        <v>35</v>
      </c>
      <c r="B92">
        <v>2012</v>
      </c>
      <c r="C92">
        <v>1454.7870803458391</v>
      </c>
    </row>
    <row r="93" spans="1:3" x14ac:dyDescent="0.25">
      <c r="A93" t="s">
        <v>35</v>
      </c>
      <c r="B93">
        <v>2013</v>
      </c>
      <c r="C93">
        <v>1426.40154240077</v>
      </c>
    </row>
    <row r="94" spans="1:3" x14ac:dyDescent="0.25">
      <c r="A94" t="s">
        <v>35</v>
      </c>
      <c r="B94">
        <v>2014</v>
      </c>
      <c r="C94">
        <v>1423.239284193668</v>
      </c>
    </row>
    <row r="95" spans="1:3" x14ac:dyDescent="0.25">
      <c r="A95" t="s">
        <v>35</v>
      </c>
      <c r="B95">
        <v>2015</v>
      </c>
      <c r="C95">
        <v>1489.109357521374</v>
      </c>
    </row>
    <row r="96" spans="1:3" x14ac:dyDescent="0.25">
      <c r="A96" t="s">
        <v>35</v>
      </c>
      <c r="B96">
        <v>2016</v>
      </c>
      <c r="C96">
        <v>1457.4703121581661</v>
      </c>
    </row>
    <row r="97" spans="1:3" x14ac:dyDescent="0.25">
      <c r="A97" t="s">
        <v>35</v>
      </c>
      <c r="B97">
        <v>2017</v>
      </c>
      <c r="C97">
        <v>1406.8038230983309</v>
      </c>
    </row>
    <row r="98" spans="1:3" x14ac:dyDescent="0.25">
      <c r="A98" t="s">
        <v>35</v>
      </c>
      <c r="B98">
        <v>2018</v>
      </c>
      <c r="C98">
        <v>1404.0971541449201</v>
      </c>
    </row>
    <row r="99" spans="1:3" x14ac:dyDescent="0.25">
      <c r="A99" t="s">
        <v>35</v>
      </c>
      <c r="B99">
        <v>2019</v>
      </c>
      <c r="C99">
        <v>1372.0002595985441</v>
      </c>
    </row>
    <row r="100" spans="1:3" x14ac:dyDescent="0.25">
      <c r="A100" t="s">
        <v>35</v>
      </c>
      <c r="B100">
        <v>2020</v>
      </c>
      <c r="C100">
        <v>1368.921652416238</v>
      </c>
    </row>
    <row r="101" spans="1:3" x14ac:dyDescent="0.25">
      <c r="A101" t="s">
        <v>35</v>
      </c>
      <c r="B101">
        <v>2021</v>
      </c>
      <c r="C101">
        <v>1470.890675804379</v>
      </c>
    </row>
    <row r="102" spans="1:3" x14ac:dyDescent="0.25">
      <c r="A102" t="s">
        <v>35</v>
      </c>
      <c r="B102">
        <v>2022</v>
      </c>
      <c r="C102">
        <v>1478.5484970167779</v>
      </c>
    </row>
    <row r="103" spans="1:3" x14ac:dyDescent="0.25">
      <c r="A103" t="s">
        <v>35</v>
      </c>
      <c r="B103">
        <v>2023</v>
      </c>
      <c r="C103">
        <v>1483.78497412399</v>
      </c>
    </row>
    <row r="104" spans="1:3" x14ac:dyDescent="0.25">
      <c r="A104" t="s">
        <v>99</v>
      </c>
      <c r="B104">
        <v>1990</v>
      </c>
      <c r="C104" t="s">
        <v>96</v>
      </c>
    </row>
    <row r="105" spans="1:3" x14ac:dyDescent="0.25">
      <c r="A105" t="s">
        <v>99</v>
      </c>
      <c r="B105">
        <v>1991</v>
      </c>
      <c r="C105" t="s">
        <v>96</v>
      </c>
    </row>
    <row r="106" spans="1:3" x14ac:dyDescent="0.25">
      <c r="A106" t="s">
        <v>99</v>
      </c>
      <c r="B106">
        <v>1992</v>
      </c>
      <c r="C106" t="s">
        <v>96</v>
      </c>
    </row>
    <row r="107" spans="1:3" x14ac:dyDescent="0.25">
      <c r="A107" t="s">
        <v>99</v>
      </c>
      <c r="B107">
        <v>1993</v>
      </c>
      <c r="C107" t="s">
        <v>96</v>
      </c>
    </row>
    <row r="108" spans="1:3" x14ac:dyDescent="0.25">
      <c r="A108" t="s">
        <v>99</v>
      </c>
      <c r="B108">
        <v>1994</v>
      </c>
      <c r="C108" t="s">
        <v>96</v>
      </c>
    </row>
    <row r="109" spans="1:3" x14ac:dyDescent="0.25">
      <c r="A109" t="s">
        <v>99</v>
      </c>
      <c r="B109">
        <v>1995</v>
      </c>
      <c r="C109" t="s">
        <v>96</v>
      </c>
    </row>
    <row r="110" spans="1:3" x14ac:dyDescent="0.25">
      <c r="A110" t="s">
        <v>99</v>
      </c>
      <c r="B110">
        <v>1996</v>
      </c>
      <c r="C110" t="s">
        <v>96</v>
      </c>
    </row>
    <row r="111" spans="1:3" x14ac:dyDescent="0.25">
      <c r="A111" t="s">
        <v>99</v>
      </c>
      <c r="B111">
        <v>1997</v>
      </c>
      <c r="C111" t="s">
        <v>96</v>
      </c>
    </row>
    <row r="112" spans="1:3" x14ac:dyDescent="0.25">
      <c r="A112" t="s">
        <v>99</v>
      </c>
      <c r="B112">
        <v>1998</v>
      </c>
      <c r="C112" t="s">
        <v>96</v>
      </c>
    </row>
    <row r="113" spans="1:3" x14ac:dyDescent="0.25">
      <c r="A113" t="s">
        <v>99</v>
      </c>
      <c r="B113">
        <v>1999</v>
      </c>
      <c r="C113" t="s">
        <v>96</v>
      </c>
    </row>
    <row r="114" spans="1:3" x14ac:dyDescent="0.25">
      <c r="A114" t="s">
        <v>99</v>
      </c>
      <c r="B114">
        <v>2000</v>
      </c>
      <c r="C114" t="s">
        <v>96</v>
      </c>
    </row>
    <row r="115" spans="1:3" x14ac:dyDescent="0.25">
      <c r="A115" t="s">
        <v>99</v>
      </c>
      <c r="B115">
        <v>2001</v>
      </c>
      <c r="C115" t="s">
        <v>96</v>
      </c>
    </row>
    <row r="116" spans="1:3" x14ac:dyDescent="0.25">
      <c r="A116" t="s">
        <v>99</v>
      </c>
      <c r="B116">
        <v>2002</v>
      </c>
      <c r="C116" t="s">
        <v>96</v>
      </c>
    </row>
    <row r="117" spans="1:3" x14ac:dyDescent="0.25">
      <c r="A117" t="s">
        <v>99</v>
      </c>
      <c r="B117">
        <v>2003</v>
      </c>
      <c r="C117" t="s">
        <v>96</v>
      </c>
    </row>
    <row r="118" spans="1:3" x14ac:dyDescent="0.25">
      <c r="A118" t="s">
        <v>99</v>
      </c>
      <c r="B118">
        <v>2004</v>
      </c>
      <c r="C118" t="s">
        <v>96</v>
      </c>
    </row>
    <row r="119" spans="1:3" x14ac:dyDescent="0.25">
      <c r="A119" t="s">
        <v>99</v>
      </c>
      <c r="B119">
        <v>2005</v>
      </c>
      <c r="C119" t="s">
        <v>96</v>
      </c>
    </row>
    <row r="120" spans="1:3" x14ac:dyDescent="0.25">
      <c r="A120" t="s">
        <v>99</v>
      </c>
      <c r="B120">
        <v>2006</v>
      </c>
      <c r="C120" t="s">
        <v>96</v>
      </c>
    </row>
    <row r="121" spans="1:3" x14ac:dyDescent="0.25">
      <c r="A121" t="s">
        <v>99</v>
      </c>
      <c r="B121">
        <v>2007</v>
      </c>
      <c r="C121" t="s">
        <v>96</v>
      </c>
    </row>
    <row r="122" spans="1:3" x14ac:dyDescent="0.25">
      <c r="A122" t="s">
        <v>99</v>
      </c>
      <c r="B122">
        <v>2008</v>
      </c>
      <c r="C122" t="s">
        <v>96</v>
      </c>
    </row>
    <row r="123" spans="1:3" x14ac:dyDescent="0.25">
      <c r="A123" t="s">
        <v>99</v>
      </c>
      <c r="B123">
        <v>2009</v>
      </c>
      <c r="C123" t="s">
        <v>96</v>
      </c>
    </row>
    <row r="124" spans="1:3" x14ac:dyDescent="0.25">
      <c r="A124" t="s">
        <v>99</v>
      </c>
      <c r="B124">
        <v>2010</v>
      </c>
      <c r="C124" t="s">
        <v>96</v>
      </c>
    </row>
    <row r="125" spans="1:3" x14ac:dyDescent="0.25">
      <c r="A125" t="s">
        <v>99</v>
      </c>
      <c r="B125">
        <v>2011</v>
      </c>
      <c r="C125" t="s">
        <v>96</v>
      </c>
    </row>
    <row r="126" spans="1:3" x14ac:dyDescent="0.25">
      <c r="A126" t="s">
        <v>99</v>
      </c>
      <c r="B126">
        <v>2012</v>
      </c>
      <c r="C126" t="s">
        <v>96</v>
      </c>
    </row>
    <row r="127" spans="1:3" x14ac:dyDescent="0.25">
      <c r="A127" t="s">
        <v>99</v>
      </c>
      <c r="B127">
        <v>2013</v>
      </c>
      <c r="C127" t="s">
        <v>96</v>
      </c>
    </row>
    <row r="128" spans="1:3" x14ac:dyDescent="0.25">
      <c r="A128" t="s">
        <v>99</v>
      </c>
      <c r="B128">
        <v>2014</v>
      </c>
      <c r="C128" t="s">
        <v>96</v>
      </c>
    </row>
    <row r="129" spans="1:3" x14ac:dyDescent="0.25">
      <c r="A129" t="s">
        <v>99</v>
      </c>
      <c r="B129">
        <v>2015</v>
      </c>
      <c r="C129" t="s">
        <v>96</v>
      </c>
    </row>
    <row r="130" spans="1:3" x14ac:dyDescent="0.25">
      <c r="A130" t="s">
        <v>99</v>
      </c>
      <c r="B130">
        <v>2016</v>
      </c>
      <c r="C130" t="s">
        <v>96</v>
      </c>
    </row>
    <row r="131" spans="1:3" x14ac:dyDescent="0.25">
      <c r="A131" t="s">
        <v>99</v>
      </c>
      <c r="B131">
        <v>2017</v>
      </c>
      <c r="C131" t="s">
        <v>96</v>
      </c>
    </row>
    <row r="132" spans="1:3" x14ac:dyDescent="0.25">
      <c r="A132" t="s">
        <v>99</v>
      </c>
      <c r="B132">
        <v>2018</v>
      </c>
      <c r="C132" t="s">
        <v>96</v>
      </c>
    </row>
    <row r="133" spans="1:3" x14ac:dyDescent="0.25">
      <c r="A133" t="s">
        <v>99</v>
      </c>
      <c r="B133">
        <v>2019</v>
      </c>
      <c r="C133" t="s">
        <v>96</v>
      </c>
    </row>
    <row r="134" spans="1:3" x14ac:dyDescent="0.25">
      <c r="A134" t="s">
        <v>99</v>
      </c>
      <c r="B134">
        <v>2020</v>
      </c>
      <c r="C134" t="s">
        <v>96</v>
      </c>
    </row>
    <row r="135" spans="1:3" x14ac:dyDescent="0.25">
      <c r="A135" t="s">
        <v>99</v>
      </c>
      <c r="B135">
        <v>2021</v>
      </c>
      <c r="C135" t="s">
        <v>96</v>
      </c>
    </row>
    <row r="136" spans="1:3" x14ac:dyDescent="0.25">
      <c r="A136" t="s">
        <v>99</v>
      </c>
      <c r="B136">
        <v>2022</v>
      </c>
      <c r="C136" t="s">
        <v>96</v>
      </c>
    </row>
    <row r="137" spans="1:3" x14ac:dyDescent="0.25">
      <c r="A137" t="s">
        <v>99</v>
      </c>
      <c r="B137">
        <v>2023</v>
      </c>
      <c r="C137" t="s">
        <v>96</v>
      </c>
    </row>
    <row r="138" spans="1:3" x14ac:dyDescent="0.25">
      <c r="A138" t="s">
        <v>100</v>
      </c>
      <c r="B138">
        <v>1990</v>
      </c>
      <c r="C138">
        <v>4893.7003352781967</v>
      </c>
    </row>
    <row r="139" spans="1:3" x14ac:dyDescent="0.25">
      <c r="A139" t="s">
        <v>100</v>
      </c>
      <c r="B139">
        <v>1991</v>
      </c>
      <c r="C139">
        <v>4686.4785120724946</v>
      </c>
    </row>
    <row r="140" spans="1:3" x14ac:dyDescent="0.25">
      <c r="A140" t="s">
        <v>100</v>
      </c>
      <c r="B140">
        <v>1992</v>
      </c>
      <c r="C140">
        <v>4560.0707735011574</v>
      </c>
    </row>
    <row r="141" spans="1:3" x14ac:dyDescent="0.25">
      <c r="A141" t="s">
        <v>100</v>
      </c>
      <c r="B141">
        <v>1993</v>
      </c>
      <c r="C141">
        <v>4458.0158640868303</v>
      </c>
    </row>
    <row r="142" spans="1:3" x14ac:dyDescent="0.25">
      <c r="A142" t="s">
        <v>100</v>
      </c>
      <c r="B142">
        <v>1994</v>
      </c>
      <c r="C142">
        <v>4344.8405461748489</v>
      </c>
    </row>
    <row r="143" spans="1:3" x14ac:dyDescent="0.25">
      <c r="A143" t="s">
        <v>100</v>
      </c>
      <c r="B143">
        <v>1995</v>
      </c>
      <c r="C143">
        <v>4147.3858290171283</v>
      </c>
    </row>
    <row r="144" spans="1:3" x14ac:dyDescent="0.25">
      <c r="A144" t="s">
        <v>100</v>
      </c>
      <c r="B144">
        <v>1996</v>
      </c>
      <c r="C144">
        <v>4285.6102116689244</v>
      </c>
    </row>
    <row r="145" spans="1:3" x14ac:dyDescent="0.25">
      <c r="A145" t="s">
        <v>100</v>
      </c>
      <c r="B145">
        <v>1997</v>
      </c>
      <c r="C145">
        <v>3968.4471778160319</v>
      </c>
    </row>
    <row r="146" spans="1:3" x14ac:dyDescent="0.25">
      <c r="A146" t="s">
        <v>100</v>
      </c>
      <c r="B146">
        <v>1998</v>
      </c>
      <c r="C146">
        <v>3716.640588932351</v>
      </c>
    </row>
    <row r="147" spans="1:3" x14ac:dyDescent="0.25">
      <c r="A147" t="s">
        <v>100</v>
      </c>
      <c r="B147">
        <v>1999</v>
      </c>
      <c r="C147">
        <v>3615.728713498303</v>
      </c>
    </row>
    <row r="148" spans="1:3" x14ac:dyDescent="0.25">
      <c r="A148" t="s">
        <v>100</v>
      </c>
      <c r="B148">
        <v>2000</v>
      </c>
      <c r="C148">
        <v>3552.0477508730478</v>
      </c>
    </row>
    <row r="149" spans="1:3" x14ac:dyDescent="0.25">
      <c r="A149" t="s">
        <v>100</v>
      </c>
      <c r="B149">
        <v>2001</v>
      </c>
      <c r="C149">
        <v>3392.8006609573899</v>
      </c>
    </row>
    <row r="150" spans="1:3" x14ac:dyDescent="0.25">
      <c r="A150" t="s">
        <v>100</v>
      </c>
      <c r="B150">
        <v>2002</v>
      </c>
      <c r="C150">
        <v>3371.9873055653188</v>
      </c>
    </row>
    <row r="151" spans="1:3" x14ac:dyDescent="0.25">
      <c r="A151" t="s">
        <v>100</v>
      </c>
      <c r="B151">
        <v>2003</v>
      </c>
      <c r="C151">
        <v>3375.2485406036922</v>
      </c>
    </row>
    <row r="152" spans="1:3" x14ac:dyDescent="0.25">
      <c r="A152" t="s">
        <v>100</v>
      </c>
      <c r="B152">
        <v>2004</v>
      </c>
      <c r="C152">
        <v>3402.5323586645382</v>
      </c>
    </row>
    <row r="153" spans="1:3" x14ac:dyDescent="0.25">
      <c r="A153" t="s">
        <v>100</v>
      </c>
      <c r="B153">
        <v>2005</v>
      </c>
      <c r="C153">
        <v>3488.1260834459431</v>
      </c>
    </row>
    <row r="154" spans="1:3" x14ac:dyDescent="0.25">
      <c r="A154" t="s">
        <v>100</v>
      </c>
      <c r="B154">
        <v>2006</v>
      </c>
      <c r="C154">
        <v>3573.1053240245751</v>
      </c>
    </row>
    <row r="155" spans="1:3" x14ac:dyDescent="0.25">
      <c r="A155" t="s">
        <v>100</v>
      </c>
      <c r="B155">
        <v>2007</v>
      </c>
      <c r="C155">
        <v>3635.5589791297421</v>
      </c>
    </row>
    <row r="156" spans="1:3" x14ac:dyDescent="0.25">
      <c r="A156" t="s">
        <v>100</v>
      </c>
      <c r="B156">
        <v>2008</v>
      </c>
      <c r="C156">
        <v>3672.208063854242</v>
      </c>
    </row>
    <row r="157" spans="1:3" x14ac:dyDescent="0.25">
      <c r="A157" t="s">
        <v>100</v>
      </c>
      <c r="B157">
        <v>2009</v>
      </c>
      <c r="C157">
        <v>3306.2739828407389</v>
      </c>
    </row>
    <row r="158" spans="1:3" x14ac:dyDescent="0.25">
      <c r="A158" t="s">
        <v>100</v>
      </c>
      <c r="B158">
        <v>2010</v>
      </c>
      <c r="C158">
        <v>3376.540280063622</v>
      </c>
    </row>
    <row r="159" spans="1:3" x14ac:dyDescent="0.25">
      <c r="A159" t="s">
        <v>100</v>
      </c>
      <c r="B159">
        <v>2011</v>
      </c>
      <c r="C159">
        <v>3370.0487115096021</v>
      </c>
    </row>
    <row r="160" spans="1:3" x14ac:dyDescent="0.25">
      <c r="A160" t="s">
        <v>100</v>
      </c>
      <c r="B160">
        <v>2012</v>
      </c>
      <c r="C160">
        <v>3395.1109015142301</v>
      </c>
    </row>
    <row r="161" spans="1:3" x14ac:dyDescent="0.25">
      <c r="A161" t="s">
        <v>100</v>
      </c>
      <c r="B161">
        <v>2013</v>
      </c>
      <c r="C161">
        <v>3530.2484328160208</v>
      </c>
    </row>
    <row r="162" spans="1:3" x14ac:dyDescent="0.25">
      <c r="A162" t="s">
        <v>100</v>
      </c>
      <c r="B162">
        <v>2014</v>
      </c>
      <c r="C162">
        <v>3499.6357594501251</v>
      </c>
    </row>
    <row r="163" spans="1:3" x14ac:dyDescent="0.25">
      <c r="A163" t="s">
        <v>100</v>
      </c>
      <c r="B163">
        <v>2015</v>
      </c>
      <c r="C163">
        <v>3511.3423719799021</v>
      </c>
    </row>
    <row r="164" spans="1:3" x14ac:dyDescent="0.25">
      <c r="A164" t="s">
        <v>100</v>
      </c>
      <c r="B164">
        <v>2016</v>
      </c>
      <c r="C164">
        <v>3593.3388895464882</v>
      </c>
    </row>
    <row r="165" spans="1:3" x14ac:dyDescent="0.25">
      <c r="A165" t="s">
        <v>100</v>
      </c>
      <c r="B165">
        <v>2017</v>
      </c>
      <c r="C165">
        <v>3624.7056263943018</v>
      </c>
    </row>
    <row r="166" spans="1:3" x14ac:dyDescent="0.25">
      <c r="A166" t="s">
        <v>100</v>
      </c>
      <c r="B166">
        <v>2018</v>
      </c>
      <c r="C166">
        <v>3584.6260579312279</v>
      </c>
    </row>
    <row r="167" spans="1:3" x14ac:dyDescent="0.25">
      <c r="A167" t="s">
        <v>100</v>
      </c>
      <c r="B167">
        <v>2019</v>
      </c>
      <c r="C167">
        <v>3636.4754666289641</v>
      </c>
    </row>
    <row r="168" spans="1:3" x14ac:dyDescent="0.25">
      <c r="A168" t="s">
        <v>100</v>
      </c>
      <c r="B168">
        <v>2020</v>
      </c>
      <c r="C168">
        <v>3346.7619054063871</v>
      </c>
    </row>
    <row r="169" spans="1:3" x14ac:dyDescent="0.25">
      <c r="A169" t="s">
        <v>100</v>
      </c>
      <c r="B169">
        <v>2021</v>
      </c>
      <c r="C169">
        <v>3570.9087353195132</v>
      </c>
    </row>
    <row r="170" spans="1:3" x14ac:dyDescent="0.25">
      <c r="A170" t="s">
        <v>100</v>
      </c>
      <c r="B170">
        <v>2022</v>
      </c>
      <c r="C170">
        <v>3488.4846331467729</v>
      </c>
    </row>
    <row r="171" spans="1:3" x14ac:dyDescent="0.25">
      <c r="A171" t="s">
        <v>100</v>
      </c>
      <c r="B171">
        <v>2023</v>
      </c>
      <c r="C171">
        <v>3351.9620959284339</v>
      </c>
    </row>
    <row r="172" spans="1:3" x14ac:dyDescent="0.25">
      <c r="A172" t="s">
        <v>101</v>
      </c>
      <c r="B172">
        <v>1990</v>
      </c>
      <c r="C172" t="s">
        <v>96</v>
      </c>
    </row>
    <row r="173" spans="1:3" x14ac:dyDescent="0.25">
      <c r="A173" t="s">
        <v>101</v>
      </c>
      <c r="B173">
        <v>1991</v>
      </c>
      <c r="C173" t="s">
        <v>96</v>
      </c>
    </row>
    <row r="174" spans="1:3" x14ac:dyDescent="0.25">
      <c r="A174" t="s">
        <v>101</v>
      </c>
      <c r="B174">
        <v>1992</v>
      </c>
      <c r="C174" t="s">
        <v>96</v>
      </c>
    </row>
    <row r="175" spans="1:3" x14ac:dyDescent="0.25">
      <c r="A175" t="s">
        <v>101</v>
      </c>
      <c r="B175">
        <v>1993</v>
      </c>
      <c r="C175" t="s">
        <v>96</v>
      </c>
    </row>
    <row r="176" spans="1:3" x14ac:dyDescent="0.25">
      <c r="A176" t="s">
        <v>101</v>
      </c>
      <c r="B176">
        <v>1994</v>
      </c>
      <c r="C176" t="s">
        <v>96</v>
      </c>
    </row>
    <row r="177" spans="1:3" x14ac:dyDescent="0.25">
      <c r="A177" t="s">
        <v>101</v>
      </c>
      <c r="B177">
        <v>1995</v>
      </c>
      <c r="C177" t="s">
        <v>96</v>
      </c>
    </row>
    <row r="178" spans="1:3" x14ac:dyDescent="0.25">
      <c r="A178" t="s">
        <v>101</v>
      </c>
      <c r="B178">
        <v>1996</v>
      </c>
      <c r="C178" t="s">
        <v>96</v>
      </c>
    </row>
    <row r="179" spans="1:3" x14ac:dyDescent="0.25">
      <c r="A179" t="s">
        <v>101</v>
      </c>
      <c r="B179">
        <v>1997</v>
      </c>
      <c r="C179" t="s">
        <v>96</v>
      </c>
    </row>
    <row r="180" spans="1:3" x14ac:dyDescent="0.25">
      <c r="A180" t="s">
        <v>101</v>
      </c>
      <c r="B180">
        <v>1998</v>
      </c>
      <c r="C180" t="s">
        <v>96</v>
      </c>
    </row>
    <row r="181" spans="1:3" x14ac:dyDescent="0.25">
      <c r="A181" t="s">
        <v>101</v>
      </c>
      <c r="B181">
        <v>1999</v>
      </c>
      <c r="C181" t="s">
        <v>96</v>
      </c>
    </row>
    <row r="182" spans="1:3" x14ac:dyDescent="0.25">
      <c r="A182" t="s">
        <v>101</v>
      </c>
      <c r="B182">
        <v>2000</v>
      </c>
      <c r="C182" t="s">
        <v>96</v>
      </c>
    </row>
    <row r="183" spans="1:3" x14ac:dyDescent="0.25">
      <c r="A183" t="s">
        <v>101</v>
      </c>
      <c r="B183">
        <v>2001</v>
      </c>
      <c r="C183" t="s">
        <v>96</v>
      </c>
    </row>
    <row r="184" spans="1:3" x14ac:dyDescent="0.25">
      <c r="A184" t="s">
        <v>101</v>
      </c>
      <c r="B184">
        <v>2002</v>
      </c>
      <c r="C184" t="s">
        <v>96</v>
      </c>
    </row>
    <row r="185" spans="1:3" x14ac:dyDescent="0.25">
      <c r="A185" t="s">
        <v>101</v>
      </c>
      <c r="B185">
        <v>2003</v>
      </c>
      <c r="C185" t="s">
        <v>96</v>
      </c>
    </row>
    <row r="186" spans="1:3" x14ac:dyDescent="0.25">
      <c r="A186" t="s">
        <v>101</v>
      </c>
      <c r="B186">
        <v>2004</v>
      </c>
      <c r="C186" t="s">
        <v>96</v>
      </c>
    </row>
    <row r="187" spans="1:3" x14ac:dyDescent="0.25">
      <c r="A187" t="s">
        <v>101</v>
      </c>
      <c r="B187">
        <v>2005</v>
      </c>
      <c r="C187" t="s">
        <v>96</v>
      </c>
    </row>
    <row r="188" spans="1:3" x14ac:dyDescent="0.25">
      <c r="A188" t="s">
        <v>101</v>
      </c>
      <c r="B188">
        <v>2006</v>
      </c>
      <c r="C188" t="s">
        <v>96</v>
      </c>
    </row>
    <row r="189" spans="1:3" x14ac:dyDescent="0.25">
      <c r="A189" t="s">
        <v>101</v>
      </c>
      <c r="B189">
        <v>2007</v>
      </c>
      <c r="C189" t="s">
        <v>96</v>
      </c>
    </row>
    <row r="190" spans="1:3" x14ac:dyDescent="0.25">
      <c r="A190" t="s">
        <v>101</v>
      </c>
      <c r="B190">
        <v>2008</v>
      </c>
      <c r="C190" t="s">
        <v>96</v>
      </c>
    </row>
    <row r="191" spans="1:3" x14ac:dyDescent="0.25">
      <c r="A191" t="s">
        <v>101</v>
      </c>
      <c r="B191">
        <v>2009</v>
      </c>
      <c r="C191" t="s">
        <v>96</v>
      </c>
    </row>
    <row r="192" spans="1:3" x14ac:dyDescent="0.25">
      <c r="A192" t="s">
        <v>101</v>
      </c>
      <c r="B192">
        <v>2010</v>
      </c>
      <c r="C192" t="s">
        <v>96</v>
      </c>
    </row>
    <row r="193" spans="1:3" x14ac:dyDescent="0.25">
      <c r="A193" t="s">
        <v>101</v>
      </c>
      <c r="B193">
        <v>2011</v>
      </c>
      <c r="C193" t="s">
        <v>96</v>
      </c>
    </row>
    <row r="194" spans="1:3" x14ac:dyDescent="0.25">
      <c r="A194" t="s">
        <v>101</v>
      </c>
      <c r="B194">
        <v>2012</v>
      </c>
      <c r="C194" t="s">
        <v>96</v>
      </c>
    </row>
    <row r="195" spans="1:3" x14ac:dyDescent="0.25">
      <c r="A195" t="s">
        <v>101</v>
      </c>
      <c r="B195">
        <v>2013</v>
      </c>
      <c r="C195" t="s">
        <v>96</v>
      </c>
    </row>
    <row r="196" spans="1:3" x14ac:dyDescent="0.25">
      <c r="A196" t="s">
        <v>101</v>
      </c>
      <c r="B196">
        <v>2014</v>
      </c>
      <c r="C196" t="s">
        <v>96</v>
      </c>
    </row>
    <row r="197" spans="1:3" x14ac:dyDescent="0.25">
      <c r="A197" t="s">
        <v>101</v>
      </c>
      <c r="B197">
        <v>2015</v>
      </c>
      <c r="C197" t="s">
        <v>96</v>
      </c>
    </row>
    <row r="198" spans="1:3" x14ac:dyDescent="0.25">
      <c r="A198" t="s">
        <v>101</v>
      </c>
      <c r="B198">
        <v>2016</v>
      </c>
      <c r="C198" t="s">
        <v>96</v>
      </c>
    </row>
    <row r="199" spans="1:3" x14ac:dyDescent="0.25">
      <c r="A199" t="s">
        <v>101</v>
      </c>
      <c r="B199">
        <v>2017</v>
      </c>
      <c r="C199" t="s">
        <v>96</v>
      </c>
    </row>
    <row r="200" spans="1:3" x14ac:dyDescent="0.25">
      <c r="A200" t="s">
        <v>101</v>
      </c>
      <c r="B200">
        <v>2018</v>
      </c>
      <c r="C200" t="s">
        <v>96</v>
      </c>
    </row>
    <row r="201" spans="1:3" x14ac:dyDescent="0.25">
      <c r="A201" t="s">
        <v>101</v>
      </c>
      <c r="B201">
        <v>2019</v>
      </c>
      <c r="C201" t="s">
        <v>96</v>
      </c>
    </row>
    <row r="202" spans="1:3" x14ac:dyDescent="0.25">
      <c r="A202" t="s">
        <v>101</v>
      </c>
      <c r="B202">
        <v>2020</v>
      </c>
      <c r="C202" t="s">
        <v>96</v>
      </c>
    </row>
    <row r="203" spans="1:3" x14ac:dyDescent="0.25">
      <c r="A203" t="s">
        <v>101</v>
      </c>
      <c r="B203">
        <v>2021</v>
      </c>
      <c r="C203" t="s">
        <v>96</v>
      </c>
    </row>
    <row r="204" spans="1:3" x14ac:dyDescent="0.25">
      <c r="A204" t="s">
        <v>101</v>
      </c>
      <c r="B204">
        <v>2022</v>
      </c>
      <c r="C204" t="s">
        <v>96</v>
      </c>
    </row>
    <row r="205" spans="1:3" x14ac:dyDescent="0.25">
      <c r="A205" t="s">
        <v>101</v>
      </c>
      <c r="B205">
        <v>2023</v>
      </c>
      <c r="C205" t="s">
        <v>96</v>
      </c>
    </row>
    <row r="206" spans="1:3" x14ac:dyDescent="0.25">
      <c r="A206" t="s">
        <v>103</v>
      </c>
      <c r="B206">
        <v>1990</v>
      </c>
      <c r="C206" t="s">
        <v>96</v>
      </c>
    </row>
    <row r="207" spans="1:3" x14ac:dyDescent="0.25">
      <c r="A207" t="s">
        <v>103</v>
      </c>
      <c r="B207">
        <v>1991</v>
      </c>
      <c r="C207" t="s">
        <v>96</v>
      </c>
    </row>
    <row r="208" spans="1:3" x14ac:dyDescent="0.25">
      <c r="A208" t="s">
        <v>103</v>
      </c>
      <c r="B208">
        <v>1992</v>
      </c>
      <c r="C208" t="s">
        <v>96</v>
      </c>
    </row>
    <row r="209" spans="1:3" x14ac:dyDescent="0.25">
      <c r="A209" t="s">
        <v>103</v>
      </c>
      <c r="B209">
        <v>1993</v>
      </c>
      <c r="C209" t="s">
        <v>96</v>
      </c>
    </row>
    <row r="210" spans="1:3" x14ac:dyDescent="0.25">
      <c r="A210" t="s">
        <v>103</v>
      </c>
      <c r="B210">
        <v>1994</v>
      </c>
      <c r="C210" t="s">
        <v>96</v>
      </c>
    </row>
    <row r="211" spans="1:3" x14ac:dyDescent="0.25">
      <c r="A211" t="s">
        <v>103</v>
      </c>
      <c r="B211">
        <v>1995</v>
      </c>
      <c r="C211" t="s">
        <v>96</v>
      </c>
    </row>
    <row r="212" spans="1:3" x14ac:dyDescent="0.25">
      <c r="A212" t="s">
        <v>103</v>
      </c>
      <c r="B212">
        <v>1996</v>
      </c>
      <c r="C212" t="s">
        <v>96</v>
      </c>
    </row>
    <row r="213" spans="1:3" x14ac:dyDescent="0.25">
      <c r="A213" t="s">
        <v>103</v>
      </c>
      <c r="B213">
        <v>1997</v>
      </c>
      <c r="C213" t="s">
        <v>96</v>
      </c>
    </row>
    <row r="214" spans="1:3" x14ac:dyDescent="0.25">
      <c r="A214" t="s">
        <v>103</v>
      </c>
      <c r="B214">
        <v>1998</v>
      </c>
      <c r="C214" t="s">
        <v>96</v>
      </c>
    </row>
    <row r="215" spans="1:3" x14ac:dyDescent="0.25">
      <c r="A215" t="s">
        <v>103</v>
      </c>
      <c r="B215">
        <v>1999</v>
      </c>
      <c r="C215" t="s">
        <v>96</v>
      </c>
    </row>
    <row r="216" spans="1:3" x14ac:dyDescent="0.25">
      <c r="A216" t="s">
        <v>103</v>
      </c>
      <c r="B216">
        <v>2000</v>
      </c>
      <c r="C216" t="s">
        <v>96</v>
      </c>
    </row>
    <row r="217" spans="1:3" x14ac:dyDescent="0.25">
      <c r="A217" t="s">
        <v>103</v>
      </c>
      <c r="B217">
        <v>2001</v>
      </c>
      <c r="C217" t="s">
        <v>96</v>
      </c>
    </row>
    <row r="218" spans="1:3" x14ac:dyDescent="0.25">
      <c r="A218" t="s">
        <v>103</v>
      </c>
      <c r="B218">
        <v>2002</v>
      </c>
      <c r="C218" t="s">
        <v>96</v>
      </c>
    </row>
    <row r="219" spans="1:3" x14ac:dyDescent="0.25">
      <c r="A219" t="s">
        <v>103</v>
      </c>
      <c r="B219">
        <v>2003</v>
      </c>
      <c r="C219" t="s">
        <v>96</v>
      </c>
    </row>
    <row r="220" spans="1:3" x14ac:dyDescent="0.25">
      <c r="A220" t="s">
        <v>103</v>
      </c>
      <c r="B220">
        <v>2004</v>
      </c>
      <c r="C220" t="s">
        <v>96</v>
      </c>
    </row>
    <row r="221" spans="1:3" x14ac:dyDescent="0.25">
      <c r="A221" t="s">
        <v>103</v>
      </c>
      <c r="B221">
        <v>2005</v>
      </c>
      <c r="C221" t="s">
        <v>96</v>
      </c>
    </row>
    <row r="222" spans="1:3" x14ac:dyDescent="0.25">
      <c r="A222" t="s">
        <v>103</v>
      </c>
      <c r="B222">
        <v>2006</v>
      </c>
      <c r="C222" t="s">
        <v>96</v>
      </c>
    </row>
    <row r="223" spans="1:3" x14ac:dyDescent="0.25">
      <c r="A223" t="s">
        <v>103</v>
      </c>
      <c r="B223">
        <v>2007</v>
      </c>
      <c r="C223" t="s">
        <v>96</v>
      </c>
    </row>
    <row r="224" spans="1:3" x14ac:dyDescent="0.25">
      <c r="A224" t="s">
        <v>103</v>
      </c>
      <c r="B224">
        <v>2008</v>
      </c>
      <c r="C224" t="s">
        <v>96</v>
      </c>
    </row>
    <row r="225" spans="1:3" x14ac:dyDescent="0.25">
      <c r="A225" t="s">
        <v>103</v>
      </c>
      <c r="B225">
        <v>2009</v>
      </c>
      <c r="C225" t="s">
        <v>96</v>
      </c>
    </row>
    <row r="226" spans="1:3" x14ac:dyDescent="0.25">
      <c r="A226" t="s">
        <v>103</v>
      </c>
      <c r="B226">
        <v>2010</v>
      </c>
      <c r="C226" t="s">
        <v>96</v>
      </c>
    </row>
    <row r="227" spans="1:3" x14ac:dyDescent="0.25">
      <c r="A227" t="s">
        <v>103</v>
      </c>
      <c r="B227">
        <v>2011</v>
      </c>
      <c r="C227" t="s">
        <v>96</v>
      </c>
    </row>
    <row r="228" spans="1:3" x14ac:dyDescent="0.25">
      <c r="A228" t="s">
        <v>103</v>
      </c>
      <c r="B228">
        <v>2012</v>
      </c>
      <c r="C228" t="s">
        <v>96</v>
      </c>
    </row>
    <row r="229" spans="1:3" x14ac:dyDescent="0.25">
      <c r="A229" t="s">
        <v>103</v>
      </c>
      <c r="B229">
        <v>2013</v>
      </c>
      <c r="C229" t="s">
        <v>96</v>
      </c>
    </row>
    <row r="230" spans="1:3" x14ac:dyDescent="0.25">
      <c r="A230" t="s">
        <v>103</v>
      </c>
      <c r="B230">
        <v>2014</v>
      </c>
      <c r="C230" t="s">
        <v>96</v>
      </c>
    </row>
    <row r="231" spans="1:3" x14ac:dyDescent="0.25">
      <c r="A231" t="s">
        <v>103</v>
      </c>
      <c r="B231">
        <v>2015</v>
      </c>
      <c r="C231" t="s">
        <v>96</v>
      </c>
    </row>
    <row r="232" spans="1:3" x14ac:dyDescent="0.25">
      <c r="A232" t="s">
        <v>103</v>
      </c>
      <c r="B232">
        <v>2016</v>
      </c>
      <c r="C232" t="s">
        <v>96</v>
      </c>
    </row>
    <row r="233" spans="1:3" x14ac:dyDescent="0.25">
      <c r="A233" t="s">
        <v>103</v>
      </c>
      <c r="B233">
        <v>2017</v>
      </c>
      <c r="C233" t="s">
        <v>96</v>
      </c>
    </row>
    <row r="234" spans="1:3" x14ac:dyDescent="0.25">
      <c r="A234" t="s">
        <v>103</v>
      </c>
      <c r="B234">
        <v>2018</v>
      </c>
      <c r="C234" t="s">
        <v>96</v>
      </c>
    </row>
    <row r="235" spans="1:3" x14ac:dyDescent="0.25">
      <c r="A235" t="s">
        <v>103</v>
      </c>
      <c r="B235">
        <v>2019</v>
      </c>
      <c r="C235" t="s">
        <v>96</v>
      </c>
    </row>
    <row r="236" spans="1:3" x14ac:dyDescent="0.25">
      <c r="A236" t="s">
        <v>103</v>
      </c>
      <c r="B236">
        <v>2020</v>
      </c>
      <c r="C236" t="s">
        <v>96</v>
      </c>
    </row>
    <row r="237" spans="1:3" x14ac:dyDescent="0.25">
      <c r="A237" t="s">
        <v>103</v>
      </c>
      <c r="B237">
        <v>2021</v>
      </c>
      <c r="C237" t="s">
        <v>96</v>
      </c>
    </row>
    <row r="238" spans="1:3" x14ac:dyDescent="0.25">
      <c r="A238" t="s">
        <v>103</v>
      </c>
      <c r="B238">
        <v>2022</v>
      </c>
      <c r="C238" t="s">
        <v>96</v>
      </c>
    </row>
    <row r="239" spans="1:3" x14ac:dyDescent="0.25">
      <c r="A239" t="s">
        <v>103</v>
      </c>
      <c r="B239">
        <v>2023</v>
      </c>
      <c r="C239" t="s">
        <v>96</v>
      </c>
    </row>
    <row r="240" spans="1:3" x14ac:dyDescent="0.25">
      <c r="A240" t="s">
        <v>42</v>
      </c>
      <c r="B240">
        <v>1990</v>
      </c>
      <c r="C240">
        <v>670.81999999999994</v>
      </c>
    </row>
    <row r="241" spans="1:3" x14ac:dyDescent="0.25">
      <c r="A241" t="s">
        <v>42</v>
      </c>
      <c r="B241">
        <v>1991</v>
      </c>
      <c r="C241">
        <v>605.54999999999995</v>
      </c>
    </row>
    <row r="242" spans="1:3" x14ac:dyDescent="0.25">
      <c r="A242" t="s">
        <v>42</v>
      </c>
      <c r="B242">
        <v>1992</v>
      </c>
      <c r="C242">
        <v>586.25</v>
      </c>
    </row>
    <row r="243" spans="1:3" x14ac:dyDescent="0.25">
      <c r="A243" t="s">
        <v>42</v>
      </c>
      <c r="B243">
        <v>1993</v>
      </c>
      <c r="C243">
        <v>543.69000000000005</v>
      </c>
    </row>
    <row r="244" spans="1:3" x14ac:dyDescent="0.25">
      <c r="A244" t="s">
        <v>42</v>
      </c>
      <c r="B244">
        <v>1994</v>
      </c>
      <c r="C244">
        <v>620.6</v>
      </c>
    </row>
    <row r="245" spans="1:3" x14ac:dyDescent="0.25">
      <c r="A245" t="s">
        <v>42</v>
      </c>
      <c r="B245">
        <v>1995</v>
      </c>
      <c r="C245">
        <v>548.45999999999992</v>
      </c>
    </row>
    <row r="246" spans="1:3" x14ac:dyDescent="0.25">
      <c r="A246" t="s">
        <v>42</v>
      </c>
      <c r="B246">
        <v>1996</v>
      </c>
      <c r="C246">
        <v>577.38</v>
      </c>
    </row>
    <row r="247" spans="1:3" x14ac:dyDescent="0.25">
      <c r="A247" t="s">
        <v>42</v>
      </c>
      <c r="B247">
        <v>1997</v>
      </c>
      <c r="C247">
        <v>563.76</v>
      </c>
    </row>
    <row r="248" spans="1:3" x14ac:dyDescent="0.25">
      <c r="A248" t="s">
        <v>42</v>
      </c>
      <c r="B248">
        <v>1998</v>
      </c>
      <c r="C248">
        <v>604.95000000000005</v>
      </c>
    </row>
    <row r="249" spans="1:3" x14ac:dyDescent="0.25">
      <c r="A249" t="s">
        <v>42</v>
      </c>
      <c r="B249">
        <v>1999</v>
      </c>
      <c r="C249">
        <v>512.6</v>
      </c>
    </row>
    <row r="250" spans="1:3" x14ac:dyDescent="0.25">
      <c r="A250" t="s">
        <v>42</v>
      </c>
      <c r="B250">
        <v>2000</v>
      </c>
      <c r="C250">
        <v>547.04999999999995</v>
      </c>
    </row>
    <row r="251" spans="1:3" x14ac:dyDescent="0.25">
      <c r="A251" t="s">
        <v>42</v>
      </c>
      <c r="B251">
        <v>2001</v>
      </c>
      <c r="C251">
        <v>516.18000000000006</v>
      </c>
    </row>
    <row r="252" spans="1:3" x14ac:dyDescent="0.25">
      <c r="A252" t="s">
        <v>42</v>
      </c>
      <c r="B252">
        <v>2002</v>
      </c>
      <c r="C252">
        <v>524.43999999999994</v>
      </c>
    </row>
    <row r="253" spans="1:3" x14ac:dyDescent="0.25">
      <c r="A253" t="s">
        <v>42</v>
      </c>
      <c r="B253">
        <v>2003</v>
      </c>
      <c r="C253">
        <v>550.32999999999993</v>
      </c>
    </row>
    <row r="254" spans="1:3" x14ac:dyDescent="0.25">
      <c r="A254" t="s">
        <v>42</v>
      </c>
      <c r="B254">
        <v>2004</v>
      </c>
      <c r="C254">
        <v>599.46</v>
      </c>
    </row>
    <row r="255" spans="1:3" x14ac:dyDescent="0.25">
      <c r="A255" t="s">
        <v>42</v>
      </c>
      <c r="B255">
        <v>2005</v>
      </c>
      <c r="C255">
        <v>640.46</v>
      </c>
    </row>
    <row r="256" spans="1:3" x14ac:dyDescent="0.25">
      <c r="A256" t="s">
        <v>42</v>
      </c>
      <c r="B256">
        <v>2006</v>
      </c>
      <c r="C256">
        <v>664.93000000000006</v>
      </c>
    </row>
    <row r="257" spans="1:3" x14ac:dyDescent="0.25">
      <c r="A257" t="s">
        <v>42</v>
      </c>
      <c r="B257">
        <v>2007</v>
      </c>
      <c r="C257">
        <v>667.3</v>
      </c>
    </row>
    <row r="258" spans="1:3" x14ac:dyDescent="0.25">
      <c r="A258" t="s">
        <v>42</v>
      </c>
      <c r="B258">
        <v>2008</v>
      </c>
      <c r="C258">
        <v>589.8900000000001</v>
      </c>
    </row>
    <row r="259" spans="1:3" x14ac:dyDescent="0.25">
      <c r="A259" t="s">
        <v>42</v>
      </c>
      <c r="B259">
        <v>2009</v>
      </c>
      <c r="C259">
        <v>507.89</v>
      </c>
    </row>
    <row r="260" spans="1:3" x14ac:dyDescent="0.25">
      <c r="A260" t="s">
        <v>42</v>
      </c>
      <c r="B260">
        <v>2010</v>
      </c>
      <c r="C260">
        <v>553.98</v>
      </c>
    </row>
    <row r="261" spans="1:3" x14ac:dyDescent="0.25">
      <c r="A261" t="s">
        <v>42</v>
      </c>
      <c r="B261">
        <v>2011</v>
      </c>
      <c r="C261">
        <v>548.04</v>
      </c>
    </row>
    <row r="262" spans="1:3" x14ac:dyDescent="0.25">
      <c r="A262" t="s">
        <v>42</v>
      </c>
      <c r="B262">
        <v>2012</v>
      </c>
      <c r="C262">
        <v>533.01</v>
      </c>
    </row>
    <row r="263" spans="1:3" x14ac:dyDescent="0.25">
      <c r="A263" t="s">
        <v>42</v>
      </c>
      <c r="B263">
        <v>2013</v>
      </c>
      <c r="C263">
        <v>476.25</v>
      </c>
    </row>
    <row r="264" spans="1:3" x14ac:dyDescent="0.25">
      <c r="A264" t="s">
        <v>42</v>
      </c>
      <c r="B264">
        <v>2014</v>
      </c>
      <c r="C264">
        <v>511.72</v>
      </c>
    </row>
    <row r="265" spans="1:3" x14ac:dyDescent="0.25">
      <c r="A265" t="s">
        <v>42</v>
      </c>
      <c r="B265">
        <v>2015</v>
      </c>
      <c r="C265">
        <v>508.87</v>
      </c>
    </row>
    <row r="266" spans="1:3" x14ac:dyDescent="0.25">
      <c r="A266" t="s">
        <v>42</v>
      </c>
      <c r="B266">
        <v>2016</v>
      </c>
      <c r="C266">
        <v>544.77</v>
      </c>
    </row>
    <row r="267" spans="1:3" x14ac:dyDescent="0.25">
      <c r="A267" t="s">
        <v>42</v>
      </c>
      <c r="B267">
        <v>2017</v>
      </c>
      <c r="C267">
        <v>574.58000000000004</v>
      </c>
    </row>
    <row r="268" spans="1:3" x14ac:dyDescent="0.25">
      <c r="A268" t="s">
        <v>42</v>
      </c>
      <c r="B268">
        <v>2018</v>
      </c>
      <c r="C268">
        <v>535.48</v>
      </c>
    </row>
    <row r="269" spans="1:3" x14ac:dyDescent="0.25">
      <c r="A269" t="s">
        <v>42</v>
      </c>
      <c r="B269">
        <v>2019</v>
      </c>
      <c r="C269">
        <v>602.08000000000004</v>
      </c>
    </row>
    <row r="270" spans="1:3" x14ac:dyDescent="0.25">
      <c r="A270" t="s">
        <v>42</v>
      </c>
      <c r="B270">
        <v>2020</v>
      </c>
      <c r="C270">
        <v>523.14</v>
      </c>
    </row>
    <row r="271" spans="1:3" x14ac:dyDescent="0.25">
      <c r="A271" t="s">
        <v>42</v>
      </c>
      <c r="B271">
        <v>2021</v>
      </c>
      <c r="C271">
        <v>570.57999999999993</v>
      </c>
    </row>
    <row r="272" spans="1:3" x14ac:dyDescent="0.25">
      <c r="A272" t="s">
        <v>42</v>
      </c>
      <c r="B272">
        <v>2022</v>
      </c>
      <c r="C272">
        <v>530.01</v>
      </c>
    </row>
    <row r="273" spans="1:3" x14ac:dyDescent="0.25">
      <c r="A273" t="s">
        <v>42</v>
      </c>
      <c r="B273">
        <v>2023</v>
      </c>
      <c r="C273">
        <v>511.17</v>
      </c>
    </row>
    <row r="274" spans="1:3" x14ac:dyDescent="0.25">
      <c r="A274" t="s">
        <v>106</v>
      </c>
      <c r="B274">
        <v>1990</v>
      </c>
      <c r="C274" t="s">
        <v>96</v>
      </c>
    </row>
    <row r="275" spans="1:3" x14ac:dyDescent="0.25">
      <c r="A275" t="s">
        <v>106</v>
      </c>
      <c r="B275">
        <v>1991</v>
      </c>
      <c r="C275" t="s">
        <v>96</v>
      </c>
    </row>
    <row r="276" spans="1:3" x14ac:dyDescent="0.25">
      <c r="A276" t="s">
        <v>106</v>
      </c>
      <c r="B276">
        <v>1992</v>
      </c>
      <c r="C276" t="s">
        <v>96</v>
      </c>
    </row>
    <row r="277" spans="1:3" x14ac:dyDescent="0.25">
      <c r="A277" t="s">
        <v>106</v>
      </c>
      <c r="B277">
        <v>1993</v>
      </c>
      <c r="C277" t="s">
        <v>96</v>
      </c>
    </row>
    <row r="278" spans="1:3" x14ac:dyDescent="0.25">
      <c r="A278" t="s">
        <v>106</v>
      </c>
      <c r="B278">
        <v>1994</v>
      </c>
      <c r="C278" t="s">
        <v>96</v>
      </c>
    </row>
    <row r="279" spans="1:3" x14ac:dyDescent="0.25">
      <c r="A279" t="s">
        <v>106</v>
      </c>
      <c r="B279">
        <v>1995</v>
      </c>
      <c r="C279" t="s">
        <v>96</v>
      </c>
    </row>
    <row r="280" spans="1:3" x14ac:dyDescent="0.25">
      <c r="A280" t="s">
        <v>106</v>
      </c>
      <c r="B280">
        <v>1996</v>
      </c>
      <c r="C280" t="s">
        <v>96</v>
      </c>
    </row>
    <row r="281" spans="1:3" x14ac:dyDescent="0.25">
      <c r="A281" t="s">
        <v>106</v>
      </c>
      <c r="B281">
        <v>1997</v>
      </c>
      <c r="C281" t="s">
        <v>96</v>
      </c>
    </row>
    <row r="282" spans="1:3" x14ac:dyDescent="0.25">
      <c r="A282" t="s">
        <v>106</v>
      </c>
      <c r="B282">
        <v>1998</v>
      </c>
      <c r="C282" t="s">
        <v>96</v>
      </c>
    </row>
    <row r="283" spans="1:3" x14ac:dyDescent="0.25">
      <c r="A283" t="s">
        <v>106</v>
      </c>
      <c r="B283">
        <v>1999</v>
      </c>
      <c r="C283" t="s">
        <v>96</v>
      </c>
    </row>
    <row r="284" spans="1:3" x14ac:dyDescent="0.25">
      <c r="A284" t="s">
        <v>106</v>
      </c>
      <c r="B284">
        <v>2000</v>
      </c>
      <c r="C284" t="s">
        <v>96</v>
      </c>
    </row>
    <row r="285" spans="1:3" x14ac:dyDescent="0.25">
      <c r="A285" t="s">
        <v>106</v>
      </c>
      <c r="B285">
        <v>2001</v>
      </c>
      <c r="C285" t="s">
        <v>96</v>
      </c>
    </row>
    <row r="286" spans="1:3" x14ac:dyDescent="0.25">
      <c r="A286" t="s">
        <v>106</v>
      </c>
      <c r="B286">
        <v>2002</v>
      </c>
      <c r="C286" t="s">
        <v>96</v>
      </c>
    </row>
    <row r="287" spans="1:3" x14ac:dyDescent="0.25">
      <c r="A287" t="s">
        <v>106</v>
      </c>
      <c r="B287">
        <v>2003</v>
      </c>
      <c r="C287" t="s">
        <v>96</v>
      </c>
    </row>
    <row r="288" spans="1:3" x14ac:dyDescent="0.25">
      <c r="A288" t="s">
        <v>106</v>
      </c>
      <c r="B288">
        <v>2004</v>
      </c>
      <c r="C288" t="s">
        <v>96</v>
      </c>
    </row>
    <row r="289" spans="1:3" x14ac:dyDescent="0.25">
      <c r="A289" t="s">
        <v>106</v>
      </c>
      <c r="B289">
        <v>2005</v>
      </c>
      <c r="C289" t="s">
        <v>96</v>
      </c>
    </row>
    <row r="290" spans="1:3" x14ac:dyDescent="0.25">
      <c r="A290" t="s">
        <v>106</v>
      </c>
      <c r="B290">
        <v>2006</v>
      </c>
      <c r="C290" t="s">
        <v>96</v>
      </c>
    </row>
    <row r="291" spans="1:3" x14ac:dyDescent="0.25">
      <c r="A291" t="s">
        <v>106</v>
      </c>
      <c r="B291">
        <v>2007</v>
      </c>
      <c r="C291" t="s">
        <v>96</v>
      </c>
    </row>
    <row r="292" spans="1:3" x14ac:dyDescent="0.25">
      <c r="A292" t="s">
        <v>106</v>
      </c>
      <c r="B292">
        <v>2008</v>
      </c>
      <c r="C292" t="s">
        <v>96</v>
      </c>
    </row>
    <row r="293" spans="1:3" x14ac:dyDescent="0.25">
      <c r="A293" t="s">
        <v>106</v>
      </c>
      <c r="B293">
        <v>2009</v>
      </c>
      <c r="C293" t="s">
        <v>96</v>
      </c>
    </row>
    <row r="294" spans="1:3" x14ac:dyDescent="0.25">
      <c r="A294" t="s">
        <v>106</v>
      </c>
      <c r="B294">
        <v>2010</v>
      </c>
      <c r="C294" t="s">
        <v>96</v>
      </c>
    </row>
    <row r="295" spans="1:3" x14ac:dyDescent="0.25">
      <c r="A295" t="s">
        <v>106</v>
      </c>
      <c r="B295">
        <v>2011</v>
      </c>
      <c r="C295" t="s">
        <v>96</v>
      </c>
    </row>
    <row r="296" spans="1:3" x14ac:dyDescent="0.25">
      <c r="A296" t="s">
        <v>106</v>
      </c>
      <c r="B296">
        <v>2012</v>
      </c>
      <c r="C296" t="s">
        <v>96</v>
      </c>
    </row>
    <row r="297" spans="1:3" x14ac:dyDescent="0.25">
      <c r="A297" t="s">
        <v>106</v>
      </c>
      <c r="B297">
        <v>2013</v>
      </c>
      <c r="C297" t="s">
        <v>96</v>
      </c>
    </row>
    <row r="298" spans="1:3" x14ac:dyDescent="0.25">
      <c r="A298" t="s">
        <v>106</v>
      </c>
      <c r="B298">
        <v>2014</v>
      </c>
      <c r="C298" t="s">
        <v>96</v>
      </c>
    </row>
    <row r="299" spans="1:3" x14ac:dyDescent="0.25">
      <c r="A299" t="s">
        <v>106</v>
      </c>
      <c r="B299">
        <v>2015</v>
      </c>
      <c r="C299" t="s">
        <v>96</v>
      </c>
    </row>
    <row r="300" spans="1:3" x14ac:dyDescent="0.25">
      <c r="A300" t="s">
        <v>106</v>
      </c>
      <c r="B300">
        <v>2016</v>
      </c>
      <c r="C300" t="s">
        <v>96</v>
      </c>
    </row>
    <row r="301" spans="1:3" x14ac:dyDescent="0.25">
      <c r="A301" t="s">
        <v>106</v>
      </c>
      <c r="B301">
        <v>2017</v>
      </c>
      <c r="C301" t="s">
        <v>96</v>
      </c>
    </row>
    <row r="302" spans="1:3" x14ac:dyDescent="0.25">
      <c r="A302" t="s">
        <v>106</v>
      </c>
      <c r="B302">
        <v>2018</v>
      </c>
      <c r="C302" t="s">
        <v>96</v>
      </c>
    </row>
    <row r="303" spans="1:3" x14ac:dyDescent="0.25">
      <c r="A303" t="s">
        <v>106</v>
      </c>
      <c r="B303">
        <v>2019</v>
      </c>
      <c r="C303" t="s">
        <v>96</v>
      </c>
    </row>
    <row r="304" spans="1:3" x14ac:dyDescent="0.25">
      <c r="A304" t="s">
        <v>106</v>
      </c>
      <c r="B304">
        <v>2020</v>
      </c>
      <c r="C304" t="s">
        <v>96</v>
      </c>
    </row>
    <row r="305" spans="1:3" x14ac:dyDescent="0.25">
      <c r="A305" t="s">
        <v>106</v>
      </c>
      <c r="B305">
        <v>2021</v>
      </c>
      <c r="C305" t="s">
        <v>96</v>
      </c>
    </row>
    <row r="306" spans="1:3" x14ac:dyDescent="0.25">
      <c r="A306" t="s">
        <v>106</v>
      </c>
      <c r="B306">
        <v>2022</v>
      </c>
      <c r="C306" t="s">
        <v>96</v>
      </c>
    </row>
    <row r="307" spans="1:3" x14ac:dyDescent="0.25">
      <c r="A307" t="s">
        <v>106</v>
      </c>
      <c r="B307">
        <v>2023</v>
      </c>
      <c r="C307" t="s">
        <v>96</v>
      </c>
    </row>
    <row r="308" spans="1:3" x14ac:dyDescent="0.25">
      <c r="A308" t="s">
        <v>107</v>
      </c>
      <c r="B308">
        <v>1990</v>
      </c>
      <c r="C308" t="s">
        <v>96</v>
      </c>
    </row>
    <row r="309" spans="1:3" x14ac:dyDescent="0.25">
      <c r="A309" t="s">
        <v>107</v>
      </c>
      <c r="B309">
        <v>1991</v>
      </c>
      <c r="C309" t="s">
        <v>96</v>
      </c>
    </row>
    <row r="310" spans="1:3" x14ac:dyDescent="0.25">
      <c r="A310" t="s">
        <v>107</v>
      </c>
      <c r="B310">
        <v>1992</v>
      </c>
      <c r="C310" t="s">
        <v>96</v>
      </c>
    </row>
    <row r="311" spans="1:3" x14ac:dyDescent="0.25">
      <c r="A311" t="s">
        <v>107</v>
      </c>
      <c r="B311">
        <v>1993</v>
      </c>
      <c r="C311" t="s">
        <v>96</v>
      </c>
    </row>
    <row r="312" spans="1:3" x14ac:dyDescent="0.25">
      <c r="A312" t="s">
        <v>107</v>
      </c>
      <c r="B312">
        <v>1994</v>
      </c>
      <c r="C312" t="s">
        <v>96</v>
      </c>
    </row>
    <row r="313" spans="1:3" x14ac:dyDescent="0.25">
      <c r="A313" t="s">
        <v>107</v>
      </c>
      <c r="B313">
        <v>1995</v>
      </c>
      <c r="C313" t="s">
        <v>96</v>
      </c>
    </row>
    <row r="314" spans="1:3" x14ac:dyDescent="0.25">
      <c r="A314" t="s">
        <v>107</v>
      </c>
      <c r="B314">
        <v>1996</v>
      </c>
      <c r="C314" t="s">
        <v>96</v>
      </c>
    </row>
    <row r="315" spans="1:3" x14ac:dyDescent="0.25">
      <c r="A315" t="s">
        <v>107</v>
      </c>
      <c r="B315">
        <v>1997</v>
      </c>
      <c r="C315" t="s">
        <v>96</v>
      </c>
    </row>
    <row r="316" spans="1:3" x14ac:dyDescent="0.25">
      <c r="A316" t="s">
        <v>107</v>
      </c>
      <c r="B316">
        <v>1998</v>
      </c>
      <c r="C316" t="s">
        <v>96</v>
      </c>
    </row>
    <row r="317" spans="1:3" x14ac:dyDescent="0.25">
      <c r="A317" t="s">
        <v>107</v>
      </c>
      <c r="B317">
        <v>1999</v>
      </c>
      <c r="C317" t="s">
        <v>96</v>
      </c>
    </row>
    <row r="318" spans="1:3" x14ac:dyDescent="0.25">
      <c r="A318" t="s">
        <v>107</v>
      </c>
      <c r="B318">
        <v>2000</v>
      </c>
      <c r="C318" t="s">
        <v>96</v>
      </c>
    </row>
    <row r="319" spans="1:3" x14ac:dyDescent="0.25">
      <c r="A319" t="s">
        <v>107</v>
      </c>
      <c r="B319">
        <v>2001</v>
      </c>
      <c r="C319" t="s">
        <v>96</v>
      </c>
    </row>
    <row r="320" spans="1:3" x14ac:dyDescent="0.25">
      <c r="A320" t="s">
        <v>107</v>
      </c>
      <c r="B320">
        <v>2002</v>
      </c>
      <c r="C320" t="s">
        <v>96</v>
      </c>
    </row>
    <row r="321" spans="1:3" x14ac:dyDescent="0.25">
      <c r="A321" t="s">
        <v>107</v>
      </c>
      <c r="B321">
        <v>2003</v>
      </c>
      <c r="C321" t="s">
        <v>96</v>
      </c>
    </row>
    <row r="322" spans="1:3" x14ac:dyDescent="0.25">
      <c r="A322" t="s">
        <v>107</v>
      </c>
      <c r="B322">
        <v>2004</v>
      </c>
      <c r="C322" t="s">
        <v>96</v>
      </c>
    </row>
    <row r="323" spans="1:3" x14ac:dyDescent="0.25">
      <c r="A323" t="s">
        <v>107</v>
      </c>
      <c r="B323">
        <v>2005</v>
      </c>
      <c r="C323" t="s">
        <v>96</v>
      </c>
    </row>
    <row r="324" spans="1:3" x14ac:dyDescent="0.25">
      <c r="A324" t="s">
        <v>107</v>
      </c>
      <c r="B324">
        <v>2006</v>
      </c>
      <c r="C324" t="s">
        <v>96</v>
      </c>
    </row>
    <row r="325" spans="1:3" x14ac:dyDescent="0.25">
      <c r="A325" t="s">
        <v>107</v>
      </c>
      <c r="B325">
        <v>2007</v>
      </c>
      <c r="C325" t="s">
        <v>96</v>
      </c>
    </row>
    <row r="326" spans="1:3" x14ac:dyDescent="0.25">
      <c r="A326" t="s">
        <v>107</v>
      </c>
      <c r="B326">
        <v>2008</v>
      </c>
      <c r="C326" t="s">
        <v>96</v>
      </c>
    </row>
    <row r="327" spans="1:3" x14ac:dyDescent="0.25">
      <c r="A327" t="s">
        <v>107</v>
      </c>
      <c r="B327">
        <v>2009</v>
      </c>
      <c r="C327" t="s">
        <v>96</v>
      </c>
    </row>
    <row r="328" spans="1:3" x14ac:dyDescent="0.25">
      <c r="A328" t="s">
        <v>107</v>
      </c>
      <c r="B328">
        <v>2010</v>
      </c>
      <c r="C328" t="s">
        <v>96</v>
      </c>
    </row>
    <row r="329" spans="1:3" x14ac:dyDescent="0.25">
      <c r="A329" t="s">
        <v>107</v>
      </c>
      <c r="B329">
        <v>2011</v>
      </c>
      <c r="C329" t="s">
        <v>96</v>
      </c>
    </row>
    <row r="330" spans="1:3" x14ac:dyDescent="0.25">
      <c r="A330" t="s">
        <v>107</v>
      </c>
      <c r="B330">
        <v>2012</v>
      </c>
      <c r="C330" t="s">
        <v>96</v>
      </c>
    </row>
    <row r="331" spans="1:3" x14ac:dyDescent="0.25">
      <c r="A331" t="s">
        <v>107</v>
      </c>
      <c r="B331">
        <v>2013</v>
      </c>
      <c r="C331" t="s">
        <v>96</v>
      </c>
    </row>
    <row r="332" spans="1:3" x14ac:dyDescent="0.25">
      <c r="A332" t="s">
        <v>107</v>
      </c>
      <c r="B332">
        <v>2014</v>
      </c>
      <c r="C332" t="s">
        <v>96</v>
      </c>
    </row>
    <row r="333" spans="1:3" x14ac:dyDescent="0.25">
      <c r="A333" t="s">
        <v>107</v>
      </c>
      <c r="B333">
        <v>2015</v>
      </c>
      <c r="C333" t="s">
        <v>96</v>
      </c>
    </row>
    <row r="334" spans="1:3" x14ac:dyDescent="0.25">
      <c r="A334" t="s">
        <v>107</v>
      </c>
      <c r="B334">
        <v>2016</v>
      </c>
      <c r="C334" t="s">
        <v>96</v>
      </c>
    </row>
    <row r="335" spans="1:3" x14ac:dyDescent="0.25">
      <c r="A335" t="s">
        <v>107</v>
      </c>
      <c r="B335">
        <v>2017</v>
      </c>
      <c r="C335" t="s">
        <v>96</v>
      </c>
    </row>
    <row r="336" spans="1:3" x14ac:dyDescent="0.25">
      <c r="A336" t="s">
        <v>107</v>
      </c>
      <c r="B336">
        <v>2018</v>
      </c>
      <c r="C336" t="s">
        <v>96</v>
      </c>
    </row>
    <row r="337" spans="1:3" x14ac:dyDescent="0.25">
      <c r="A337" t="s">
        <v>107</v>
      </c>
      <c r="B337">
        <v>2019</v>
      </c>
      <c r="C337" t="s">
        <v>96</v>
      </c>
    </row>
    <row r="338" spans="1:3" x14ac:dyDescent="0.25">
      <c r="A338" t="s">
        <v>107</v>
      </c>
      <c r="B338">
        <v>2020</v>
      </c>
      <c r="C338" t="s">
        <v>96</v>
      </c>
    </row>
    <row r="339" spans="1:3" x14ac:dyDescent="0.25">
      <c r="A339" t="s">
        <v>107</v>
      </c>
      <c r="B339">
        <v>2021</v>
      </c>
      <c r="C339" t="s">
        <v>96</v>
      </c>
    </row>
    <row r="340" spans="1:3" x14ac:dyDescent="0.25">
      <c r="A340" t="s">
        <v>107</v>
      </c>
      <c r="B340">
        <v>2022</v>
      </c>
      <c r="C340" t="s">
        <v>96</v>
      </c>
    </row>
    <row r="341" spans="1:3" x14ac:dyDescent="0.25">
      <c r="A341" t="s">
        <v>107</v>
      </c>
      <c r="B341">
        <v>2023</v>
      </c>
      <c r="C341" t="s">
        <v>96</v>
      </c>
    </row>
    <row r="342" spans="1:3" x14ac:dyDescent="0.25">
      <c r="A342" t="s">
        <v>33</v>
      </c>
      <c r="B342">
        <v>1990</v>
      </c>
      <c r="C342">
        <v>1279.845</v>
      </c>
    </row>
    <row r="343" spans="1:3" x14ac:dyDescent="0.25">
      <c r="A343" t="s">
        <v>33</v>
      </c>
      <c r="B343">
        <v>1991</v>
      </c>
      <c r="C343">
        <v>956.85200000000009</v>
      </c>
    </row>
    <row r="344" spans="1:3" x14ac:dyDescent="0.25">
      <c r="A344" t="s">
        <v>33</v>
      </c>
      <c r="B344">
        <v>1992</v>
      </c>
      <c r="C344">
        <v>1059.23</v>
      </c>
    </row>
    <row r="345" spans="1:3" x14ac:dyDescent="0.25">
      <c r="A345" t="s">
        <v>33</v>
      </c>
      <c r="B345">
        <v>1993</v>
      </c>
      <c r="C345">
        <v>1014.124</v>
      </c>
    </row>
    <row r="346" spans="1:3" x14ac:dyDescent="0.25">
      <c r="A346" t="s">
        <v>33</v>
      </c>
      <c r="B346">
        <v>1994</v>
      </c>
      <c r="C346">
        <v>1167.8510000000001</v>
      </c>
    </row>
    <row r="347" spans="1:3" x14ac:dyDescent="0.25">
      <c r="A347" t="s">
        <v>33</v>
      </c>
      <c r="B347">
        <v>1995</v>
      </c>
      <c r="C347">
        <v>1176.1289999999999</v>
      </c>
    </row>
    <row r="348" spans="1:3" x14ac:dyDescent="0.25">
      <c r="A348" t="s">
        <v>33</v>
      </c>
      <c r="B348">
        <v>1996</v>
      </c>
      <c r="C348">
        <v>1231.472</v>
      </c>
    </row>
    <row r="349" spans="1:3" x14ac:dyDescent="0.25">
      <c r="A349" t="s">
        <v>33</v>
      </c>
      <c r="B349">
        <v>1997</v>
      </c>
      <c r="C349">
        <v>1494.1780000000001</v>
      </c>
    </row>
    <row r="350" spans="1:3" x14ac:dyDescent="0.25">
      <c r="A350" t="s">
        <v>33</v>
      </c>
      <c r="B350">
        <v>1998</v>
      </c>
      <c r="C350">
        <v>1467.2660000000001</v>
      </c>
    </row>
    <row r="351" spans="1:3" x14ac:dyDescent="0.25">
      <c r="A351" t="s">
        <v>33</v>
      </c>
      <c r="B351">
        <v>1999</v>
      </c>
      <c r="C351">
        <v>1479.11</v>
      </c>
    </row>
    <row r="352" spans="1:3" x14ac:dyDescent="0.25">
      <c r="A352" t="s">
        <v>33</v>
      </c>
      <c r="B352">
        <v>2000</v>
      </c>
      <c r="C352">
        <v>1624.769</v>
      </c>
    </row>
    <row r="353" spans="1:3" x14ac:dyDescent="0.25">
      <c r="A353" t="s">
        <v>33</v>
      </c>
      <c r="B353">
        <v>2001</v>
      </c>
      <c r="C353">
        <v>1411.306</v>
      </c>
    </row>
    <row r="354" spans="1:3" x14ac:dyDescent="0.25">
      <c r="A354" t="s">
        <v>33</v>
      </c>
      <c r="B354">
        <v>2002</v>
      </c>
      <c r="C354">
        <v>1377.45</v>
      </c>
    </row>
    <row r="355" spans="1:3" x14ac:dyDescent="0.25">
      <c r="A355" t="s">
        <v>33</v>
      </c>
      <c r="B355">
        <v>2003</v>
      </c>
      <c r="C355">
        <v>1454.5719999999999</v>
      </c>
    </row>
    <row r="356" spans="1:3" x14ac:dyDescent="0.25">
      <c r="A356" t="s">
        <v>33</v>
      </c>
      <c r="B356">
        <v>2004</v>
      </c>
      <c r="C356">
        <v>1384.856</v>
      </c>
    </row>
    <row r="357" spans="1:3" x14ac:dyDescent="0.25">
      <c r="A357" t="s">
        <v>33</v>
      </c>
      <c r="B357">
        <v>2005</v>
      </c>
      <c r="C357">
        <v>1227.2429999999999</v>
      </c>
    </row>
    <row r="358" spans="1:3" x14ac:dyDescent="0.25">
      <c r="A358" t="s">
        <v>33</v>
      </c>
      <c r="B358">
        <v>2006</v>
      </c>
      <c r="C358">
        <v>1249.954</v>
      </c>
    </row>
    <row r="359" spans="1:3" x14ac:dyDescent="0.25">
      <c r="A359" t="s">
        <v>33</v>
      </c>
      <c r="B359">
        <v>2007</v>
      </c>
      <c r="C359">
        <v>1499.624</v>
      </c>
    </row>
    <row r="360" spans="1:3" x14ac:dyDescent="0.25">
      <c r="A360" t="s">
        <v>33</v>
      </c>
      <c r="B360">
        <v>2008</v>
      </c>
      <c r="C360">
        <v>1207.732</v>
      </c>
    </row>
    <row r="361" spans="1:3" x14ac:dyDescent="0.25">
      <c r="A361" t="s">
        <v>33</v>
      </c>
      <c r="B361">
        <v>2009</v>
      </c>
      <c r="C361">
        <v>914.12300000000005</v>
      </c>
    </row>
    <row r="362" spans="1:3" x14ac:dyDescent="0.25">
      <c r="A362" t="s">
        <v>33</v>
      </c>
      <c r="B362">
        <v>2010</v>
      </c>
      <c r="C362">
        <v>1077.3420000000001</v>
      </c>
    </row>
    <row r="363" spans="1:3" x14ac:dyDescent="0.25">
      <c r="A363" t="s">
        <v>33</v>
      </c>
      <c r="B363">
        <v>2011</v>
      </c>
      <c r="C363">
        <v>1052.0160000000001</v>
      </c>
    </row>
    <row r="364" spans="1:3" x14ac:dyDescent="0.25">
      <c r="A364" t="s">
        <v>33</v>
      </c>
      <c r="B364">
        <v>2012</v>
      </c>
      <c r="C364">
        <v>943.28800000000001</v>
      </c>
    </row>
    <row r="365" spans="1:3" x14ac:dyDescent="0.25">
      <c r="A365" t="s">
        <v>33</v>
      </c>
      <c r="B365">
        <v>2013</v>
      </c>
      <c r="C365">
        <v>941.36500000000001</v>
      </c>
    </row>
    <row r="366" spans="1:3" x14ac:dyDescent="0.25">
      <c r="A366" t="s">
        <v>33</v>
      </c>
      <c r="B366">
        <v>2014</v>
      </c>
      <c r="C366">
        <v>939.25699999999995</v>
      </c>
    </row>
    <row r="367" spans="1:3" x14ac:dyDescent="0.25">
      <c r="A367" t="s">
        <v>33</v>
      </c>
      <c r="B367">
        <v>2015</v>
      </c>
      <c r="C367">
        <v>773.40000000000009</v>
      </c>
    </row>
    <row r="368" spans="1:3" x14ac:dyDescent="0.25">
      <c r="A368" t="s">
        <v>33</v>
      </c>
      <c r="B368">
        <v>2016</v>
      </c>
      <c r="C368">
        <v>800.48900000000003</v>
      </c>
    </row>
    <row r="369" spans="1:3" x14ac:dyDescent="0.25">
      <c r="A369" t="s">
        <v>33</v>
      </c>
      <c r="B369">
        <v>2017</v>
      </c>
      <c r="C369">
        <v>705.01599999999996</v>
      </c>
    </row>
    <row r="370" spans="1:3" x14ac:dyDescent="0.25">
      <c r="A370" t="s">
        <v>33</v>
      </c>
      <c r="B370">
        <v>2018</v>
      </c>
      <c r="C370">
        <v>869.95799999999997</v>
      </c>
    </row>
    <row r="371" spans="1:3" x14ac:dyDescent="0.25">
      <c r="A371" t="s">
        <v>33</v>
      </c>
      <c r="B371">
        <v>2019</v>
      </c>
      <c r="C371">
        <v>679.59899999999993</v>
      </c>
    </row>
    <row r="372" spans="1:3" x14ac:dyDescent="0.25">
      <c r="A372" t="s">
        <v>33</v>
      </c>
      <c r="B372">
        <v>2020</v>
      </c>
      <c r="C372">
        <v>719.52299999999991</v>
      </c>
    </row>
    <row r="373" spans="1:3" x14ac:dyDescent="0.25">
      <c r="A373" t="s">
        <v>33</v>
      </c>
      <c r="B373">
        <v>2021</v>
      </c>
      <c r="C373">
        <v>822.64400000000001</v>
      </c>
    </row>
    <row r="374" spans="1:3" x14ac:dyDescent="0.25">
      <c r="A374" t="s">
        <v>33</v>
      </c>
      <c r="B374">
        <v>2022</v>
      </c>
      <c r="C374">
        <v>723.27100000000007</v>
      </c>
    </row>
    <row r="375" spans="1:3" x14ac:dyDescent="0.25">
      <c r="A375" t="s">
        <v>33</v>
      </c>
      <c r="B375">
        <v>2023</v>
      </c>
      <c r="C375">
        <v>614.447</v>
      </c>
    </row>
    <row r="376" spans="1:3" x14ac:dyDescent="0.25">
      <c r="A376" t="s">
        <v>24</v>
      </c>
      <c r="B376">
        <v>1990</v>
      </c>
      <c r="C376" t="s">
        <v>96</v>
      </c>
    </row>
    <row r="377" spans="1:3" x14ac:dyDescent="0.25">
      <c r="A377" t="s">
        <v>24</v>
      </c>
      <c r="B377">
        <v>1991</v>
      </c>
      <c r="C377" t="s">
        <v>96</v>
      </c>
    </row>
    <row r="378" spans="1:3" x14ac:dyDescent="0.25">
      <c r="A378" t="s">
        <v>24</v>
      </c>
      <c r="B378">
        <v>1992</v>
      </c>
      <c r="C378" t="s">
        <v>96</v>
      </c>
    </row>
    <row r="379" spans="1:3" x14ac:dyDescent="0.25">
      <c r="A379" t="s">
        <v>24</v>
      </c>
      <c r="B379">
        <v>1993</v>
      </c>
      <c r="C379" t="s">
        <v>96</v>
      </c>
    </row>
    <row r="380" spans="1:3" x14ac:dyDescent="0.25">
      <c r="A380" t="s">
        <v>24</v>
      </c>
      <c r="B380">
        <v>1994</v>
      </c>
      <c r="C380" t="s">
        <v>96</v>
      </c>
    </row>
    <row r="381" spans="1:3" x14ac:dyDescent="0.25">
      <c r="A381" t="s">
        <v>24</v>
      </c>
      <c r="B381">
        <v>1995</v>
      </c>
      <c r="C381" t="s">
        <v>96</v>
      </c>
    </row>
    <row r="382" spans="1:3" x14ac:dyDescent="0.25">
      <c r="A382" t="s">
        <v>24</v>
      </c>
      <c r="B382">
        <v>1996</v>
      </c>
      <c r="C382" t="s">
        <v>96</v>
      </c>
    </row>
    <row r="383" spans="1:3" x14ac:dyDescent="0.25">
      <c r="A383" t="s">
        <v>24</v>
      </c>
      <c r="B383">
        <v>1997</v>
      </c>
      <c r="C383" t="s">
        <v>96</v>
      </c>
    </row>
    <row r="384" spans="1:3" x14ac:dyDescent="0.25">
      <c r="A384" t="s">
        <v>24</v>
      </c>
      <c r="B384">
        <v>1998</v>
      </c>
      <c r="C384" t="s">
        <v>96</v>
      </c>
    </row>
    <row r="385" spans="1:3" x14ac:dyDescent="0.25">
      <c r="A385" t="s">
        <v>24</v>
      </c>
      <c r="B385">
        <v>1999</v>
      </c>
      <c r="C385" t="s">
        <v>96</v>
      </c>
    </row>
    <row r="386" spans="1:3" x14ac:dyDescent="0.25">
      <c r="A386" t="s">
        <v>24</v>
      </c>
      <c r="B386">
        <v>2000</v>
      </c>
      <c r="C386" t="s">
        <v>96</v>
      </c>
    </row>
    <row r="387" spans="1:3" x14ac:dyDescent="0.25">
      <c r="A387" t="s">
        <v>24</v>
      </c>
      <c r="B387">
        <v>2001</v>
      </c>
      <c r="C387" t="s">
        <v>96</v>
      </c>
    </row>
    <row r="388" spans="1:3" x14ac:dyDescent="0.25">
      <c r="A388" t="s">
        <v>24</v>
      </c>
      <c r="B388">
        <v>2002</v>
      </c>
      <c r="C388" t="s">
        <v>96</v>
      </c>
    </row>
    <row r="389" spans="1:3" x14ac:dyDescent="0.25">
      <c r="A389" t="s">
        <v>24</v>
      </c>
      <c r="B389">
        <v>2003</v>
      </c>
      <c r="C389" t="s">
        <v>96</v>
      </c>
    </row>
    <row r="390" spans="1:3" x14ac:dyDescent="0.25">
      <c r="A390" t="s">
        <v>24</v>
      </c>
      <c r="B390">
        <v>2004</v>
      </c>
      <c r="C390" t="s">
        <v>96</v>
      </c>
    </row>
    <row r="391" spans="1:3" x14ac:dyDescent="0.25">
      <c r="A391" t="s">
        <v>24</v>
      </c>
      <c r="B391">
        <v>2005</v>
      </c>
      <c r="C391" t="s">
        <v>96</v>
      </c>
    </row>
    <row r="392" spans="1:3" x14ac:dyDescent="0.25">
      <c r="A392" t="s">
        <v>24</v>
      </c>
      <c r="B392">
        <v>2006</v>
      </c>
      <c r="C392" t="s">
        <v>96</v>
      </c>
    </row>
    <row r="393" spans="1:3" x14ac:dyDescent="0.25">
      <c r="A393" t="s">
        <v>24</v>
      </c>
      <c r="B393">
        <v>2007</v>
      </c>
      <c r="C393" t="s">
        <v>96</v>
      </c>
    </row>
    <row r="394" spans="1:3" x14ac:dyDescent="0.25">
      <c r="A394" t="s">
        <v>24</v>
      </c>
      <c r="B394">
        <v>2008</v>
      </c>
      <c r="C394" t="s">
        <v>96</v>
      </c>
    </row>
    <row r="395" spans="1:3" x14ac:dyDescent="0.25">
      <c r="A395" t="s">
        <v>24</v>
      </c>
      <c r="B395">
        <v>2009</v>
      </c>
      <c r="C395" t="s">
        <v>96</v>
      </c>
    </row>
    <row r="396" spans="1:3" x14ac:dyDescent="0.25">
      <c r="A396" t="s">
        <v>24</v>
      </c>
      <c r="B396">
        <v>2010</v>
      </c>
      <c r="C396" t="s">
        <v>96</v>
      </c>
    </row>
    <row r="397" spans="1:3" x14ac:dyDescent="0.25">
      <c r="A397" t="s">
        <v>24</v>
      </c>
      <c r="B397">
        <v>2011</v>
      </c>
      <c r="C397" t="s">
        <v>96</v>
      </c>
    </row>
    <row r="398" spans="1:3" x14ac:dyDescent="0.25">
      <c r="A398" t="s">
        <v>24</v>
      </c>
      <c r="B398">
        <v>2012</v>
      </c>
      <c r="C398" t="s">
        <v>96</v>
      </c>
    </row>
    <row r="399" spans="1:3" x14ac:dyDescent="0.25">
      <c r="A399" t="s">
        <v>24</v>
      </c>
      <c r="B399">
        <v>2013</v>
      </c>
      <c r="C399" t="s">
        <v>96</v>
      </c>
    </row>
    <row r="400" spans="1:3" x14ac:dyDescent="0.25">
      <c r="A400" t="s">
        <v>24</v>
      </c>
      <c r="B400">
        <v>2014</v>
      </c>
      <c r="C400" t="s">
        <v>96</v>
      </c>
    </row>
    <row r="401" spans="1:3" x14ac:dyDescent="0.25">
      <c r="A401" t="s">
        <v>24</v>
      </c>
      <c r="B401">
        <v>2015</v>
      </c>
      <c r="C401" t="s">
        <v>96</v>
      </c>
    </row>
    <row r="402" spans="1:3" x14ac:dyDescent="0.25">
      <c r="A402" t="s">
        <v>24</v>
      </c>
      <c r="B402">
        <v>2016</v>
      </c>
      <c r="C402" t="s">
        <v>96</v>
      </c>
    </row>
    <row r="403" spans="1:3" x14ac:dyDescent="0.25">
      <c r="A403" t="s">
        <v>24</v>
      </c>
      <c r="B403">
        <v>2017</v>
      </c>
      <c r="C403" t="s">
        <v>96</v>
      </c>
    </row>
    <row r="404" spans="1:3" x14ac:dyDescent="0.25">
      <c r="A404" t="s">
        <v>24</v>
      </c>
      <c r="B404">
        <v>2018</v>
      </c>
      <c r="C404" t="s">
        <v>96</v>
      </c>
    </row>
    <row r="405" spans="1:3" x14ac:dyDescent="0.25">
      <c r="A405" t="s">
        <v>24</v>
      </c>
      <c r="B405">
        <v>2019</v>
      </c>
      <c r="C405" t="s">
        <v>96</v>
      </c>
    </row>
    <row r="406" spans="1:3" x14ac:dyDescent="0.25">
      <c r="A406" t="s">
        <v>24</v>
      </c>
      <c r="B406">
        <v>2020</v>
      </c>
      <c r="C406" t="s">
        <v>96</v>
      </c>
    </row>
    <row r="407" spans="1:3" x14ac:dyDescent="0.25">
      <c r="A407" t="s">
        <v>24</v>
      </c>
      <c r="B407">
        <v>2021</v>
      </c>
      <c r="C407" t="s">
        <v>96</v>
      </c>
    </row>
    <row r="408" spans="1:3" x14ac:dyDescent="0.25">
      <c r="A408" t="s">
        <v>24</v>
      </c>
      <c r="B408">
        <v>2022</v>
      </c>
      <c r="C408" t="s">
        <v>96</v>
      </c>
    </row>
    <row r="409" spans="1:3" x14ac:dyDescent="0.25">
      <c r="A409" t="s">
        <v>24</v>
      </c>
      <c r="B409">
        <v>2023</v>
      </c>
      <c r="C409" t="s">
        <v>96</v>
      </c>
    </row>
    <row r="410" spans="1:3" x14ac:dyDescent="0.25">
      <c r="A410" t="s">
        <v>25</v>
      </c>
      <c r="B410">
        <v>1990</v>
      </c>
      <c r="C410" t="s">
        <v>96</v>
      </c>
    </row>
    <row r="411" spans="1:3" x14ac:dyDescent="0.25">
      <c r="A411" t="s">
        <v>25</v>
      </c>
      <c r="B411">
        <v>1991</v>
      </c>
      <c r="C411" t="s">
        <v>96</v>
      </c>
    </row>
    <row r="412" spans="1:3" x14ac:dyDescent="0.25">
      <c r="A412" t="s">
        <v>25</v>
      </c>
      <c r="B412">
        <v>1992</v>
      </c>
      <c r="C412" t="s">
        <v>96</v>
      </c>
    </row>
    <row r="413" spans="1:3" x14ac:dyDescent="0.25">
      <c r="A413" t="s">
        <v>25</v>
      </c>
      <c r="B413">
        <v>1993</v>
      </c>
      <c r="C413" t="s">
        <v>96</v>
      </c>
    </row>
    <row r="414" spans="1:3" x14ac:dyDescent="0.25">
      <c r="A414" t="s">
        <v>25</v>
      </c>
      <c r="B414">
        <v>1994</v>
      </c>
      <c r="C414" t="s">
        <v>96</v>
      </c>
    </row>
    <row r="415" spans="1:3" x14ac:dyDescent="0.25">
      <c r="A415" t="s">
        <v>25</v>
      </c>
      <c r="B415">
        <v>1995</v>
      </c>
      <c r="C415" t="s">
        <v>96</v>
      </c>
    </row>
    <row r="416" spans="1:3" x14ac:dyDescent="0.25">
      <c r="A416" t="s">
        <v>25</v>
      </c>
      <c r="B416">
        <v>1996</v>
      </c>
      <c r="C416" t="s">
        <v>96</v>
      </c>
    </row>
    <row r="417" spans="1:3" x14ac:dyDescent="0.25">
      <c r="A417" t="s">
        <v>25</v>
      </c>
      <c r="B417">
        <v>1997</v>
      </c>
      <c r="C417" t="s">
        <v>96</v>
      </c>
    </row>
    <row r="418" spans="1:3" x14ac:dyDescent="0.25">
      <c r="A418" t="s">
        <v>25</v>
      </c>
      <c r="B418">
        <v>1998</v>
      </c>
      <c r="C418" t="s">
        <v>96</v>
      </c>
    </row>
    <row r="419" spans="1:3" x14ac:dyDescent="0.25">
      <c r="A419" t="s">
        <v>25</v>
      </c>
      <c r="B419">
        <v>1999</v>
      </c>
      <c r="C419" t="s">
        <v>96</v>
      </c>
    </row>
    <row r="420" spans="1:3" x14ac:dyDescent="0.25">
      <c r="A420" t="s">
        <v>25</v>
      </c>
      <c r="B420">
        <v>2000</v>
      </c>
      <c r="C420" t="s">
        <v>96</v>
      </c>
    </row>
    <row r="421" spans="1:3" x14ac:dyDescent="0.25">
      <c r="A421" t="s">
        <v>25</v>
      </c>
      <c r="B421">
        <v>2001</v>
      </c>
      <c r="C421" t="s">
        <v>96</v>
      </c>
    </row>
    <row r="422" spans="1:3" x14ac:dyDescent="0.25">
      <c r="A422" t="s">
        <v>25</v>
      </c>
      <c r="B422">
        <v>2002</v>
      </c>
      <c r="C422" t="s">
        <v>96</v>
      </c>
    </row>
    <row r="423" spans="1:3" x14ac:dyDescent="0.25">
      <c r="A423" t="s">
        <v>25</v>
      </c>
      <c r="B423">
        <v>2003</v>
      </c>
      <c r="C423" t="s">
        <v>96</v>
      </c>
    </row>
    <row r="424" spans="1:3" x14ac:dyDescent="0.25">
      <c r="A424" t="s">
        <v>25</v>
      </c>
      <c r="B424">
        <v>2004</v>
      </c>
      <c r="C424" t="s">
        <v>96</v>
      </c>
    </row>
    <row r="425" spans="1:3" x14ac:dyDescent="0.25">
      <c r="A425" t="s">
        <v>25</v>
      </c>
      <c r="B425">
        <v>2005</v>
      </c>
      <c r="C425" t="s">
        <v>96</v>
      </c>
    </row>
    <row r="426" spans="1:3" x14ac:dyDescent="0.25">
      <c r="A426" t="s">
        <v>25</v>
      </c>
      <c r="B426">
        <v>2006</v>
      </c>
      <c r="C426" t="s">
        <v>96</v>
      </c>
    </row>
    <row r="427" spans="1:3" x14ac:dyDescent="0.25">
      <c r="A427" t="s">
        <v>25</v>
      </c>
      <c r="B427">
        <v>2007</v>
      </c>
      <c r="C427" t="s">
        <v>96</v>
      </c>
    </row>
    <row r="428" spans="1:3" x14ac:dyDescent="0.25">
      <c r="A428" t="s">
        <v>25</v>
      </c>
      <c r="B428">
        <v>2008</v>
      </c>
      <c r="C428" t="s">
        <v>96</v>
      </c>
    </row>
    <row r="429" spans="1:3" x14ac:dyDescent="0.25">
      <c r="A429" t="s">
        <v>25</v>
      </c>
      <c r="B429">
        <v>2009</v>
      </c>
      <c r="C429" t="s">
        <v>96</v>
      </c>
    </row>
    <row r="430" spans="1:3" x14ac:dyDescent="0.25">
      <c r="A430" t="s">
        <v>25</v>
      </c>
      <c r="B430">
        <v>2010</v>
      </c>
      <c r="C430" t="s">
        <v>96</v>
      </c>
    </row>
    <row r="431" spans="1:3" x14ac:dyDescent="0.25">
      <c r="A431" t="s">
        <v>25</v>
      </c>
      <c r="B431">
        <v>2011</v>
      </c>
      <c r="C431" t="s">
        <v>96</v>
      </c>
    </row>
    <row r="432" spans="1:3" x14ac:dyDescent="0.25">
      <c r="A432" t="s">
        <v>25</v>
      </c>
      <c r="B432">
        <v>2012</v>
      </c>
      <c r="C432" t="s">
        <v>96</v>
      </c>
    </row>
    <row r="433" spans="1:3" x14ac:dyDescent="0.25">
      <c r="A433" t="s">
        <v>25</v>
      </c>
      <c r="B433">
        <v>2013</v>
      </c>
      <c r="C433" t="s">
        <v>96</v>
      </c>
    </row>
    <row r="434" spans="1:3" x14ac:dyDescent="0.25">
      <c r="A434" t="s">
        <v>25</v>
      </c>
      <c r="B434">
        <v>2014</v>
      </c>
      <c r="C434" t="s">
        <v>96</v>
      </c>
    </row>
    <row r="435" spans="1:3" x14ac:dyDescent="0.25">
      <c r="A435" t="s">
        <v>25</v>
      </c>
      <c r="B435">
        <v>2015</v>
      </c>
      <c r="C435" t="s">
        <v>96</v>
      </c>
    </row>
    <row r="436" spans="1:3" x14ac:dyDescent="0.25">
      <c r="A436" t="s">
        <v>25</v>
      </c>
      <c r="B436">
        <v>2016</v>
      </c>
      <c r="C436" t="s">
        <v>96</v>
      </c>
    </row>
    <row r="437" spans="1:3" x14ac:dyDescent="0.25">
      <c r="A437" t="s">
        <v>25</v>
      </c>
      <c r="B437">
        <v>2017</v>
      </c>
      <c r="C437" t="s">
        <v>96</v>
      </c>
    </row>
    <row r="438" spans="1:3" x14ac:dyDescent="0.25">
      <c r="A438" t="s">
        <v>25</v>
      </c>
      <c r="B438">
        <v>2018</v>
      </c>
      <c r="C438" t="s">
        <v>96</v>
      </c>
    </row>
    <row r="439" spans="1:3" x14ac:dyDescent="0.25">
      <c r="A439" t="s">
        <v>25</v>
      </c>
      <c r="B439">
        <v>2019</v>
      </c>
      <c r="C439" t="s">
        <v>96</v>
      </c>
    </row>
    <row r="440" spans="1:3" x14ac:dyDescent="0.25">
      <c r="A440" t="s">
        <v>25</v>
      </c>
      <c r="B440">
        <v>2020</v>
      </c>
      <c r="C440" t="s">
        <v>96</v>
      </c>
    </row>
    <row r="441" spans="1:3" x14ac:dyDescent="0.25">
      <c r="A441" t="s">
        <v>25</v>
      </c>
      <c r="B441">
        <v>2021</v>
      </c>
      <c r="C441" t="s">
        <v>96</v>
      </c>
    </row>
    <row r="442" spans="1:3" x14ac:dyDescent="0.25">
      <c r="A442" t="s">
        <v>25</v>
      </c>
      <c r="B442">
        <v>2022</v>
      </c>
      <c r="C442" t="s">
        <v>96</v>
      </c>
    </row>
    <row r="443" spans="1:3" x14ac:dyDescent="0.25">
      <c r="A443" t="s">
        <v>25</v>
      </c>
      <c r="B443">
        <v>2023</v>
      </c>
      <c r="C443" t="s">
        <v>96</v>
      </c>
    </row>
    <row r="444" spans="1:3" x14ac:dyDescent="0.25">
      <c r="A444" t="s">
        <v>26</v>
      </c>
      <c r="B444">
        <v>1990</v>
      </c>
      <c r="C444">
        <v>429.03661099999999</v>
      </c>
    </row>
    <row r="445" spans="1:3" x14ac:dyDescent="0.25">
      <c r="A445" t="s">
        <v>26</v>
      </c>
      <c r="B445">
        <v>1991</v>
      </c>
      <c r="C445">
        <v>394.18358490000003</v>
      </c>
    </row>
    <row r="446" spans="1:3" x14ac:dyDescent="0.25">
      <c r="A446" t="s">
        <v>26</v>
      </c>
      <c r="B446">
        <v>1992</v>
      </c>
      <c r="C446">
        <v>169.38207779999999</v>
      </c>
    </row>
    <row r="447" spans="1:3" x14ac:dyDescent="0.25">
      <c r="A447" t="s">
        <v>26</v>
      </c>
      <c r="B447">
        <v>1993</v>
      </c>
      <c r="C447">
        <v>166.46742520000001</v>
      </c>
    </row>
    <row r="448" spans="1:3" x14ac:dyDescent="0.25">
      <c r="A448" t="s">
        <v>26</v>
      </c>
      <c r="B448">
        <v>1994</v>
      </c>
      <c r="C448">
        <v>170.2576502</v>
      </c>
    </row>
    <row r="449" spans="1:3" x14ac:dyDescent="0.25">
      <c r="A449" t="s">
        <v>26</v>
      </c>
      <c r="B449">
        <v>1995</v>
      </c>
      <c r="C449">
        <v>172.08728640000001</v>
      </c>
    </row>
    <row r="450" spans="1:3" x14ac:dyDescent="0.25">
      <c r="A450" t="s">
        <v>26</v>
      </c>
      <c r="B450">
        <v>1996</v>
      </c>
      <c r="C450">
        <v>163.3886038</v>
      </c>
    </row>
    <row r="451" spans="1:3" x14ac:dyDescent="0.25">
      <c r="A451" t="s">
        <v>26</v>
      </c>
      <c r="B451">
        <v>1997</v>
      </c>
      <c r="C451">
        <v>168.16558979999999</v>
      </c>
    </row>
    <row r="452" spans="1:3" x14ac:dyDescent="0.25">
      <c r="A452" t="s">
        <v>26</v>
      </c>
      <c r="B452">
        <v>1998</v>
      </c>
      <c r="C452">
        <v>153.84775769999999</v>
      </c>
    </row>
    <row r="453" spans="1:3" x14ac:dyDescent="0.25">
      <c r="A453" t="s">
        <v>26</v>
      </c>
      <c r="B453">
        <v>1999</v>
      </c>
      <c r="C453">
        <v>160.80212169999999</v>
      </c>
    </row>
    <row r="454" spans="1:3" x14ac:dyDescent="0.25">
      <c r="A454" t="s">
        <v>26</v>
      </c>
      <c r="B454">
        <v>2000</v>
      </c>
      <c r="C454">
        <v>228.96275199999999</v>
      </c>
    </row>
    <row r="455" spans="1:3" x14ac:dyDescent="0.25">
      <c r="A455" t="s">
        <v>26</v>
      </c>
      <c r="B455">
        <v>2001</v>
      </c>
      <c r="C455">
        <v>261.02059600000001</v>
      </c>
    </row>
    <row r="456" spans="1:3" x14ac:dyDescent="0.25">
      <c r="A456" t="s">
        <v>26</v>
      </c>
      <c r="B456">
        <v>2002</v>
      </c>
      <c r="C456">
        <v>263.555567</v>
      </c>
    </row>
    <row r="457" spans="1:3" x14ac:dyDescent="0.25">
      <c r="A457" t="s">
        <v>26</v>
      </c>
      <c r="B457">
        <v>2003</v>
      </c>
      <c r="C457">
        <v>259.99476499999997</v>
      </c>
    </row>
    <row r="458" spans="1:3" x14ac:dyDescent="0.25">
      <c r="A458" t="s">
        <v>26</v>
      </c>
      <c r="B458">
        <v>2004</v>
      </c>
      <c r="C458">
        <v>333.88940200000002</v>
      </c>
    </row>
    <row r="459" spans="1:3" x14ac:dyDescent="0.25">
      <c r="A459" t="s">
        <v>26</v>
      </c>
      <c r="B459">
        <v>2005</v>
      </c>
      <c r="C459">
        <v>315.04886499999998</v>
      </c>
    </row>
    <row r="460" spans="1:3" x14ac:dyDescent="0.25">
      <c r="A460" t="s">
        <v>26</v>
      </c>
      <c r="B460">
        <v>2006</v>
      </c>
      <c r="C460">
        <v>383.70028000000002</v>
      </c>
    </row>
    <row r="461" spans="1:3" x14ac:dyDescent="0.25">
      <c r="A461" t="s">
        <v>26</v>
      </c>
      <c r="B461">
        <v>2007</v>
      </c>
      <c r="C461">
        <v>516.24128500000006</v>
      </c>
    </row>
    <row r="462" spans="1:3" x14ac:dyDescent="0.25">
      <c r="A462" t="s">
        <v>26</v>
      </c>
      <c r="B462">
        <v>2008</v>
      </c>
      <c r="C462">
        <v>455.22432700000002</v>
      </c>
    </row>
    <row r="463" spans="1:3" x14ac:dyDescent="0.25">
      <c r="A463" t="s">
        <v>26</v>
      </c>
      <c r="B463">
        <v>2009</v>
      </c>
      <c r="C463">
        <v>376.34380499999997</v>
      </c>
    </row>
    <row r="464" spans="1:3" x14ac:dyDescent="0.25">
      <c r="A464" t="s">
        <v>26</v>
      </c>
      <c r="B464">
        <v>2010</v>
      </c>
      <c r="C464">
        <v>430.36770100000001</v>
      </c>
    </row>
    <row r="465" spans="1:3" x14ac:dyDescent="0.25">
      <c r="A465" t="s">
        <v>26</v>
      </c>
      <c r="B465">
        <v>2011</v>
      </c>
      <c r="C465">
        <v>479.84833900000001</v>
      </c>
    </row>
    <row r="466" spans="1:3" x14ac:dyDescent="0.25">
      <c r="A466" t="s">
        <v>26</v>
      </c>
      <c r="B466">
        <v>2012</v>
      </c>
      <c r="C466">
        <v>493.33243900000002</v>
      </c>
    </row>
    <row r="467" spans="1:3" x14ac:dyDescent="0.25">
      <c r="A467" t="s">
        <v>26</v>
      </c>
      <c r="B467">
        <v>2013</v>
      </c>
      <c r="C467">
        <v>481.24102099999999</v>
      </c>
    </row>
    <row r="468" spans="1:3" x14ac:dyDescent="0.25">
      <c r="A468" t="s">
        <v>26</v>
      </c>
      <c r="B468">
        <v>2014</v>
      </c>
      <c r="C468">
        <v>498.57437700000003</v>
      </c>
    </row>
    <row r="469" spans="1:3" x14ac:dyDescent="0.25">
      <c r="A469" t="s">
        <v>26</v>
      </c>
      <c r="B469">
        <v>2015</v>
      </c>
      <c r="C469">
        <v>569.93756199999996</v>
      </c>
    </row>
    <row r="470" spans="1:3" x14ac:dyDescent="0.25">
      <c r="A470" t="s">
        <v>26</v>
      </c>
      <c r="B470">
        <v>2016</v>
      </c>
      <c r="C470">
        <v>520.04856699999993</v>
      </c>
    </row>
    <row r="471" spans="1:3" x14ac:dyDescent="0.25">
      <c r="A471" t="s">
        <v>26</v>
      </c>
      <c r="B471">
        <v>2017</v>
      </c>
      <c r="C471">
        <v>579.21339699999999</v>
      </c>
    </row>
    <row r="472" spans="1:3" x14ac:dyDescent="0.25">
      <c r="A472" t="s">
        <v>26</v>
      </c>
      <c r="B472">
        <v>2018</v>
      </c>
      <c r="C472">
        <v>602.64607100000001</v>
      </c>
    </row>
    <row r="473" spans="1:3" x14ac:dyDescent="0.25">
      <c r="A473" t="s">
        <v>26</v>
      </c>
      <c r="B473">
        <v>2019</v>
      </c>
      <c r="C473">
        <v>564.48285599999997</v>
      </c>
    </row>
    <row r="474" spans="1:3" x14ac:dyDescent="0.25">
      <c r="A474" t="s">
        <v>26</v>
      </c>
      <c r="B474">
        <v>2020</v>
      </c>
      <c r="C474">
        <v>598.46611499999995</v>
      </c>
    </row>
    <row r="475" spans="1:3" x14ac:dyDescent="0.25">
      <c r="A475" t="s">
        <v>26</v>
      </c>
      <c r="B475">
        <v>2021</v>
      </c>
      <c r="C475">
        <v>602.37233100000003</v>
      </c>
    </row>
    <row r="476" spans="1:3" x14ac:dyDescent="0.25">
      <c r="A476" t="s">
        <v>26</v>
      </c>
      <c r="B476">
        <v>2022</v>
      </c>
      <c r="C476">
        <v>609.87849899999992</v>
      </c>
    </row>
    <row r="477" spans="1:3" x14ac:dyDescent="0.25">
      <c r="A477" t="s">
        <v>26</v>
      </c>
      <c r="B477">
        <v>2023</v>
      </c>
      <c r="C477">
        <v>685.84846200000004</v>
      </c>
    </row>
    <row r="478" spans="1:3" x14ac:dyDescent="0.25">
      <c r="A478" t="s">
        <v>28</v>
      </c>
      <c r="B478">
        <v>1990</v>
      </c>
      <c r="C478" t="s">
        <v>96</v>
      </c>
    </row>
    <row r="479" spans="1:3" x14ac:dyDescent="0.25">
      <c r="A479" t="s">
        <v>28</v>
      </c>
      <c r="B479">
        <v>1991</v>
      </c>
      <c r="C479" t="s">
        <v>96</v>
      </c>
    </row>
    <row r="480" spans="1:3" x14ac:dyDescent="0.25">
      <c r="A480" t="s">
        <v>28</v>
      </c>
      <c r="B480">
        <v>1992</v>
      </c>
      <c r="C480" t="s">
        <v>96</v>
      </c>
    </row>
    <row r="481" spans="1:3" x14ac:dyDescent="0.25">
      <c r="A481" t="s">
        <v>28</v>
      </c>
      <c r="B481">
        <v>1993</v>
      </c>
      <c r="C481" t="s">
        <v>96</v>
      </c>
    </row>
    <row r="482" spans="1:3" x14ac:dyDescent="0.25">
      <c r="A482" t="s">
        <v>28</v>
      </c>
      <c r="B482">
        <v>1994</v>
      </c>
      <c r="C482" t="s">
        <v>96</v>
      </c>
    </row>
    <row r="483" spans="1:3" x14ac:dyDescent="0.25">
      <c r="A483" t="s">
        <v>28</v>
      </c>
      <c r="B483">
        <v>1995</v>
      </c>
      <c r="C483" t="s">
        <v>96</v>
      </c>
    </row>
    <row r="484" spans="1:3" x14ac:dyDescent="0.25">
      <c r="A484" t="s">
        <v>28</v>
      </c>
      <c r="B484">
        <v>1996</v>
      </c>
      <c r="C484" t="s">
        <v>96</v>
      </c>
    </row>
    <row r="485" spans="1:3" x14ac:dyDescent="0.25">
      <c r="A485" t="s">
        <v>28</v>
      </c>
      <c r="B485">
        <v>1997</v>
      </c>
      <c r="C485" t="s">
        <v>96</v>
      </c>
    </row>
    <row r="486" spans="1:3" x14ac:dyDescent="0.25">
      <c r="A486" t="s">
        <v>28</v>
      </c>
      <c r="B486">
        <v>1998</v>
      </c>
      <c r="C486" t="s">
        <v>96</v>
      </c>
    </row>
    <row r="487" spans="1:3" x14ac:dyDescent="0.25">
      <c r="A487" t="s">
        <v>28</v>
      </c>
      <c r="B487">
        <v>1999</v>
      </c>
      <c r="C487" t="s">
        <v>96</v>
      </c>
    </row>
    <row r="488" spans="1:3" x14ac:dyDescent="0.25">
      <c r="A488" t="s">
        <v>28</v>
      </c>
      <c r="B488">
        <v>2000</v>
      </c>
      <c r="C488" t="s">
        <v>96</v>
      </c>
    </row>
    <row r="489" spans="1:3" x14ac:dyDescent="0.25">
      <c r="A489" t="s">
        <v>28</v>
      </c>
      <c r="B489">
        <v>2001</v>
      </c>
      <c r="C489" t="s">
        <v>96</v>
      </c>
    </row>
    <row r="490" spans="1:3" x14ac:dyDescent="0.25">
      <c r="A490" t="s">
        <v>28</v>
      </c>
      <c r="B490">
        <v>2002</v>
      </c>
      <c r="C490" t="s">
        <v>96</v>
      </c>
    </row>
    <row r="491" spans="1:3" x14ac:dyDescent="0.25">
      <c r="A491" t="s">
        <v>28</v>
      </c>
      <c r="B491">
        <v>2003</v>
      </c>
      <c r="C491" t="s">
        <v>96</v>
      </c>
    </row>
    <row r="492" spans="1:3" x14ac:dyDescent="0.25">
      <c r="A492" t="s">
        <v>28</v>
      </c>
      <c r="B492">
        <v>2004</v>
      </c>
      <c r="C492" t="s">
        <v>96</v>
      </c>
    </row>
    <row r="493" spans="1:3" x14ac:dyDescent="0.25">
      <c r="A493" t="s">
        <v>28</v>
      </c>
      <c r="B493">
        <v>2005</v>
      </c>
      <c r="C493" t="s">
        <v>96</v>
      </c>
    </row>
    <row r="494" spans="1:3" x14ac:dyDescent="0.25">
      <c r="A494" t="s">
        <v>28</v>
      </c>
      <c r="B494">
        <v>2006</v>
      </c>
      <c r="C494" t="s">
        <v>96</v>
      </c>
    </row>
    <row r="495" spans="1:3" x14ac:dyDescent="0.25">
      <c r="A495" t="s">
        <v>28</v>
      </c>
      <c r="B495">
        <v>2007</v>
      </c>
      <c r="C495" t="s">
        <v>96</v>
      </c>
    </row>
    <row r="496" spans="1:3" x14ac:dyDescent="0.25">
      <c r="A496" t="s">
        <v>28</v>
      </c>
      <c r="B496">
        <v>2008</v>
      </c>
      <c r="C496" t="s">
        <v>96</v>
      </c>
    </row>
    <row r="497" spans="1:3" x14ac:dyDescent="0.25">
      <c r="A497" t="s">
        <v>28</v>
      </c>
      <c r="B497">
        <v>2009</v>
      </c>
      <c r="C497" t="s">
        <v>96</v>
      </c>
    </row>
    <row r="498" spans="1:3" x14ac:dyDescent="0.25">
      <c r="A498" t="s">
        <v>28</v>
      </c>
      <c r="B498">
        <v>2010</v>
      </c>
      <c r="C498" t="s">
        <v>96</v>
      </c>
    </row>
    <row r="499" spans="1:3" x14ac:dyDescent="0.25">
      <c r="A499" t="s">
        <v>28</v>
      </c>
      <c r="B499">
        <v>2011</v>
      </c>
      <c r="C499" t="s">
        <v>96</v>
      </c>
    </row>
    <row r="500" spans="1:3" x14ac:dyDescent="0.25">
      <c r="A500" t="s">
        <v>28</v>
      </c>
      <c r="B500">
        <v>2012</v>
      </c>
      <c r="C500" t="s">
        <v>96</v>
      </c>
    </row>
    <row r="501" spans="1:3" x14ac:dyDescent="0.25">
      <c r="A501" t="s">
        <v>28</v>
      </c>
      <c r="B501">
        <v>2013</v>
      </c>
      <c r="C501" t="s">
        <v>96</v>
      </c>
    </row>
    <row r="502" spans="1:3" x14ac:dyDescent="0.25">
      <c r="A502" t="s">
        <v>28</v>
      </c>
      <c r="B502">
        <v>2014</v>
      </c>
      <c r="C502" t="s">
        <v>96</v>
      </c>
    </row>
    <row r="503" spans="1:3" x14ac:dyDescent="0.25">
      <c r="A503" t="s">
        <v>28</v>
      </c>
      <c r="B503">
        <v>2015</v>
      </c>
      <c r="C503" t="s">
        <v>96</v>
      </c>
    </row>
    <row r="504" spans="1:3" x14ac:dyDescent="0.25">
      <c r="A504" t="s">
        <v>28</v>
      </c>
      <c r="B504">
        <v>2016</v>
      </c>
      <c r="C504" t="s">
        <v>96</v>
      </c>
    </row>
    <row r="505" spans="1:3" x14ac:dyDescent="0.25">
      <c r="A505" t="s">
        <v>28</v>
      </c>
      <c r="B505">
        <v>2017</v>
      </c>
      <c r="C505" t="s">
        <v>96</v>
      </c>
    </row>
    <row r="506" spans="1:3" x14ac:dyDescent="0.25">
      <c r="A506" t="s">
        <v>28</v>
      </c>
      <c r="B506">
        <v>2018</v>
      </c>
      <c r="C506" t="s">
        <v>96</v>
      </c>
    </row>
    <row r="507" spans="1:3" x14ac:dyDescent="0.25">
      <c r="A507" t="s">
        <v>28</v>
      </c>
      <c r="B507">
        <v>2019</v>
      </c>
      <c r="C507" t="s">
        <v>96</v>
      </c>
    </row>
    <row r="508" spans="1:3" x14ac:dyDescent="0.25">
      <c r="A508" t="s">
        <v>28</v>
      </c>
      <c r="B508">
        <v>2020</v>
      </c>
      <c r="C508" t="s">
        <v>96</v>
      </c>
    </row>
    <row r="509" spans="1:3" x14ac:dyDescent="0.25">
      <c r="A509" t="s">
        <v>28</v>
      </c>
      <c r="B509">
        <v>2021</v>
      </c>
      <c r="C509" t="s">
        <v>96</v>
      </c>
    </row>
    <row r="510" spans="1:3" x14ac:dyDescent="0.25">
      <c r="A510" t="s">
        <v>28</v>
      </c>
      <c r="B510">
        <v>2022</v>
      </c>
      <c r="C510" t="s">
        <v>96</v>
      </c>
    </row>
    <row r="511" spans="1:3" x14ac:dyDescent="0.25">
      <c r="A511" t="s">
        <v>28</v>
      </c>
      <c r="B511">
        <v>2023</v>
      </c>
      <c r="C511" t="s">
        <v>96</v>
      </c>
    </row>
    <row r="512" spans="1:3" x14ac:dyDescent="0.25">
      <c r="A512" t="s">
        <v>29</v>
      </c>
      <c r="B512">
        <v>1990</v>
      </c>
      <c r="C512">
        <v>5448.2807929000001</v>
      </c>
    </row>
    <row r="513" spans="1:3" x14ac:dyDescent="0.25">
      <c r="A513" t="s">
        <v>29</v>
      </c>
      <c r="B513">
        <v>1991</v>
      </c>
      <c r="C513">
        <v>5038.2275346000006</v>
      </c>
    </row>
    <row r="514" spans="1:3" x14ac:dyDescent="0.25">
      <c r="A514" t="s">
        <v>29</v>
      </c>
      <c r="B514">
        <v>1992</v>
      </c>
      <c r="C514">
        <v>5100.4685646999997</v>
      </c>
    </row>
    <row r="515" spans="1:3" x14ac:dyDescent="0.25">
      <c r="A515" t="s">
        <v>29</v>
      </c>
      <c r="B515">
        <v>1993</v>
      </c>
      <c r="C515">
        <v>4809.1976594999996</v>
      </c>
    </row>
    <row r="516" spans="1:3" x14ac:dyDescent="0.25">
      <c r="A516" t="s">
        <v>29</v>
      </c>
      <c r="B516">
        <v>1994</v>
      </c>
      <c r="C516">
        <v>5298.1681802999992</v>
      </c>
    </row>
    <row r="517" spans="1:3" x14ac:dyDescent="0.25">
      <c r="A517" t="s">
        <v>29</v>
      </c>
      <c r="B517">
        <v>1995</v>
      </c>
      <c r="C517">
        <v>5334.6758964000001</v>
      </c>
    </row>
    <row r="518" spans="1:3" x14ac:dyDescent="0.25">
      <c r="A518" t="s">
        <v>29</v>
      </c>
      <c r="B518">
        <v>1996</v>
      </c>
      <c r="C518">
        <v>5462.4117969999998</v>
      </c>
    </row>
    <row r="519" spans="1:3" x14ac:dyDescent="0.25">
      <c r="A519" t="s">
        <v>29</v>
      </c>
      <c r="B519">
        <v>1997</v>
      </c>
      <c r="C519">
        <v>5322.5754811999996</v>
      </c>
    </row>
    <row r="520" spans="1:3" x14ac:dyDescent="0.25">
      <c r="A520" t="s">
        <v>29</v>
      </c>
      <c r="B520">
        <v>1998</v>
      </c>
      <c r="C520">
        <v>5466.0596116999996</v>
      </c>
    </row>
    <row r="521" spans="1:3" x14ac:dyDescent="0.25">
      <c r="A521" t="s">
        <v>29</v>
      </c>
      <c r="B521">
        <v>1999</v>
      </c>
      <c r="C521">
        <v>5788.5079585000003</v>
      </c>
    </row>
    <row r="522" spans="1:3" x14ac:dyDescent="0.25">
      <c r="A522" t="s">
        <v>29</v>
      </c>
      <c r="B522">
        <v>2000</v>
      </c>
      <c r="C522">
        <v>5962.5948740000003</v>
      </c>
    </row>
    <row r="523" spans="1:3" x14ac:dyDescent="0.25">
      <c r="A523" t="s">
        <v>29</v>
      </c>
      <c r="B523">
        <v>2001</v>
      </c>
      <c r="C523">
        <v>5840.7884690000001</v>
      </c>
    </row>
    <row r="524" spans="1:3" x14ac:dyDescent="0.25">
      <c r="A524" t="s">
        <v>29</v>
      </c>
      <c r="B524">
        <v>2002</v>
      </c>
      <c r="C524">
        <v>6084.6382859999994</v>
      </c>
    </row>
    <row r="525" spans="1:3" x14ac:dyDescent="0.25">
      <c r="A525" t="s">
        <v>29</v>
      </c>
      <c r="B525">
        <v>2003</v>
      </c>
      <c r="C525">
        <v>6342.2395329999999</v>
      </c>
    </row>
    <row r="526" spans="1:3" x14ac:dyDescent="0.25">
      <c r="A526" t="s">
        <v>29</v>
      </c>
      <c r="B526">
        <v>2004</v>
      </c>
      <c r="C526">
        <v>6764.1982909999997</v>
      </c>
    </row>
    <row r="527" spans="1:3" x14ac:dyDescent="0.25">
      <c r="A527" t="s">
        <v>29</v>
      </c>
      <c r="B527">
        <v>2005</v>
      </c>
      <c r="C527">
        <v>7248.772309</v>
      </c>
    </row>
    <row r="528" spans="1:3" x14ac:dyDescent="0.25">
      <c r="A528" t="s">
        <v>29</v>
      </c>
      <c r="B528">
        <v>2006</v>
      </c>
      <c r="C528">
        <v>8029.5028499999999</v>
      </c>
    </row>
    <row r="529" spans="1:3" x14ac:dyDescent="0.25">
      <c r="A529" t="s">
        <v>29</v>
      </c>
      <c r="B529">
        <v>2007</v>
      </c>
      <c r="C529">
        <v>7643.3972240000003</v>
      </c>
    </row>
    <row r="530" spans="1:3" x14ac:dyDescent="0.25">
      <c r="A530" t="s">
        <v>29</v>
      </c>
      <c r="B530">
        <v>2008</v>
      </c>
      <c r="C530">
        <v>5260.9295139999986</v>
      </c>
    </row>
    <row r="531" spans="1:3" x14ac:dyDescent="0.25">
      <c r="A531" t="s">
        <v>29</v>
      </c>
      <c r="B531">
        <v>2009</v>
      </c>
      <c r="C531">
        <v>6439.5700359999992</v>
      </c>
    </row>
    <row r="532" spans="1:3" x14ac:dyDescent="0.25">
      <c r="A532" t="s">
        <v>29</v>
      </c>
      <c r="B532">
        <v>2010</v>
      </c>
      <c r="C532">
        <v>6350.3605699999998</v>
      </c>
    </row>
    <row r="533" spans="1:3" x14ac:dyDescent="0.25">
      <c r="A533" t="s">
        <v>29</v>
      </c>
      <c r="B533">
        <v>2011</v>
      </c>
      <c r="C533">
        <v>6390.368907</v>
      </c>
    </row>
    <row r="534" spans="1:3" x14ac:dyDescent="0.25">
      <c r="A534" t="s">
        <v>29</v>
      </c>
      <c r="B534">
        <v>2012</v>
      </c>
      <c r="C534">
        <v>6165.2365790000003</v>
      </c>
    </row>
    <row r="535" spans="1:3" x14ac:dyDescent="0.25">
      <c r="A535" t="s">
        <v>29</v>
      </c>
      <c r="B535">
        <v>2013</v>
      </c>
      <c r="C535">
        <v>6076.6317880000006</v>
      </c>
    </row>
    <row r="536" spans="1:3" x14ac:dyDescent="0.25">
      <c r="A536" t="s">
        <v>29</v>
      </c>
      <c r="B536">
        <v>2014</v>
      </c>
      <c r="C536">
        <v>6069.0403999999999</v>
      </c>
    </row>
    <row r="537" spans="1:3" x14ac:dyDescent="0.25">
      <c r="A537" t="s">
        <v>29</v>
      </c>
      <c r="B537">
        <v>2015</v>
      </c>
      <c r="C537">
        <v>5977.5255099999986</v>
      </c>
    </row>
    <row r="538" spans="1:3" x14ac:dyDescent="0.25">
      <c r="A538" t="s">
        <v>29</v>
      </c>
      <c r="B538">
        <v>2016</v>
      </c>
      <c r="C538">
        <v>5861.9816979999996</v>
      </c>
    </row>
    <row r="539" spans="1:3" x14ac:dyDescent="0.25">
      <c r="A539" t="s">
        <v>29</v>
      </c>
      <c r="B539">
        <v>2017</v>
      </c>
      <c r="C539">
        <v>5906.1433809999999</v>
      </c>
    </row>
    <row r="540" spans="1:3" x14ac:dyDescent="0.25">
      <c r="A540" t="s">
        <v>29</v>
      </c>
      <c r="B540">
        <v>2018</v>
      </c>
      <c r="C540">
        <v>6098.3871419999996</v>
      </c>
    </row>
    <row r="541" spans="1:3" x14ac:dyDescent="0.25">
      <c r="A541" t="s">
        <v>29</v>
      </c>
      <c r="B541">
        <v>2019</v>
      </c>
      <c r="C541">
        <v>6090.4155500000006</v>
      </c>
    </row>
    <row r="542" spans="1:3" x14ac:dyDescent="0.25">
      <c r="A542" t="s">
        <v>29</v>
      </c>
      <c r="B542">
        <v>2020</v>
      </c>
      <c r="C542">
        <v>6384.1775559999996</v>
      </c>
    </row>
    <row r="543" spans="1:3" x14ac:dyDescent="0.25">
      <c r="A543" t="s">
        <v>29</v>
      </c>
      <c r="B543">
        <v>2021</v>
      </c>
      <c r="C543">
        <v>6483.4460580000004</v>
      </c>
    </row>
    <row r="544" spans="1:3" x14ac:dyDescent="0.25">
      <c r="A544" t="s">
        <v>29</v>
      </c>
      <c r="B544">
        <v>2022</v>
      </c>
      <c r="C544">
        <v>5910.8949310000007</v>
      </c>
    </row>
    <row r="545" spans="1:3" x14ac:dyDescent="0.25">
      <c r="A545" t="s">
        <v>29</v>
      </c>
      <c r="B545">
        <v>2023</v>
      </c>
      <c r="C545">
        <v>5910.0121710000003</v>
      </c>
    </row>
    <row r="546" spans="1:3" x14ac:dyDescent="0.25">
      <c r="A546" t="s">
        <v>30</v>
      </c>
      <c r="B546">
        <v>1990</v>
      </c>
      <c r="C546">
        <v>109.4259138375</v>
      </c>
    </row>
    <row r="547" spans="1:3" x14ac:dyDescent="0.25">
      <c r="A547" t="s">
        <v>30</v>
      </c>
      <c r="B547">
        <v>1991</v>
      </c>
      <c r="C547">
        <v>81.83860431299999</v>
      </c>
    </row>
    <row r="548" spans="1:3" x14ac:dyDescent="0.25">
      <c r="A548" t="s">
        <v>30</v>
      </c>
      <c r="B548">
        <v>1992</v>
      </c>
      <c r="C548">
        <v>95.914438144999991</v>
      </c>
    </row>
    <row r="549" spans="1:3" x14ac:dyDescent="0.25">
      <c r="A549" t="s">
        <v>30</v>
      </c>
      <c r="B549">
        <v>1993</v>
      </c>
      <c r="C549">
        <v>167.68184404199999</v>
      </c>
    </row>
    <row r="550" spans="1:3" x14ac:dyDescent="0.25">
      <c r="A550" t="s">
        <v>30</v>
      </c>
      <c r="B550">
        <v>1994</v>
      </c>
      <c r="C550">
        <v>133.69595293200001</v>
      </c>
    </row>
    <row r="551" spans="1:3" x14ac:dyDescent="0.25">
      <c r="A551" t="s">
        <v>30</v>
      </c>
      <c r="B551">
        <v>1995</v>
      </c>
      <c r="C551">
        <v>134.173504632</v>
      </c>
    </row>
    <row r="552" spans="1:3" x14ac:dyDescent="0.25">
      <c r="A552" t="s">
        <v>30</v>
      </c>
      <c r="B552">
        <v>1996</v>
      </c>
      <c r="C552">
        <v>142.670410417</v>
      </c>
    </row>
    <row r="553" spans="1:3" x14ac:dyDescent="0.25">
      <c r="A553" t="s">
        <v>30</v>
      </c>
      <c r="B553">
        <v>1997</v>
      </c>
      <c r="C553">
        <v>97.564767678999999</v>
      </c>
    </row>
    <row r="554" spans="1:3" x14ac:dyDescent="0.25">
      <c r="A554" t="s">
        <v>30</v>
      </c>
      <c r="B554">
        <v>1998</v>
      </c>
      <c r="C554">
        <v>89.011372233000003</v>
      </c>
    </row>
    <row r="555" spans="1:3" x14ac:dyDescent="0.25">
      <c r="A555" t="s">
        <v>30</v>
      </c>
      <c r="B555">
        <v>1999</v>
      </c>
      <c r="C555">
        <v>63.359036156999998</v>
      </c>
    </row>
    <row r="556" spans="1:3" x14ac:dyDescent="0.25">
      <c r="A556" t="s">
        <v>30</v>
      </c>
      <c r="B556">
        <v>2000</v>
      </c>
      <c r="C556">
        <v>114.83448423199999</v>
      </c>
    </row>
    <row r="557" spans="1:3" x14ac:dyDescent="0.25">
      <c r="A557" t="s">
        <v>30</v>
      </c>
      <c r="B557">
        <v>2001</v>
      </c>
      <c r="C557">
        <v>91.036455508999993</v>
      </c>
    </row>
    <row r="558" spans="1:3" x14ac:dyDescent="0.25">
      <c r="A558" t="s">
        <v>30</v>
      </c>
      <c r="B558">
        <v>2002</v>
      </c>
      <c r="C558">
        <v>71.071139004999992</v>
      </c>
    </row>
    <row r="559" spans="1:3" x14ac:dyDescent="0.25">
      <c r="A559" t="s">
        <v>30</v>
      </c>
      <c r="B559">
        <v>2003</v>
      </c>
      <c r="C559">
        <v>68.353419266000003</v>
      </c>
    </row>
    <row r="560" spans="1:3" x14ac:dyDescent="0.25">
      <c r="A560" t="s">
        <v>30</v>
      </c>
      <c r="B560">
        <v>2004</v>
      </c>
      <c r="C560">
        <v>57.978636899000001</v>
      </c>
    </row>
    <row r="561" spans="1:3" x14ac:dyDescent="0.25">
      <c r="A561" t="s">
        <v>30</v>
      </c>
      <c r="B561">
        <v>2005</v>
      </c>
      <c r="C561">
        <v>81.429273225000003</v>
      </c>
    </row>
    <row r="562" spans="1:3" x14ac:dyDescent="0.25">
      <c r="A562" t="s">
        <v>30</v>
      </c>
      <c r="B562">
        <v>2006</v>
      </c>
      <c r="C562">
        <v>76.747656820999993</v>
      </c>
    </row>
    <row r="563" spans="1:3" x14ac:dyDescent="0.25">
      <c r="A563" t="s">
        <v>30</v>
      </c>
      <c r="B563">
        <v>2007</v>
      </c>
      <c r="C563">
        <v>88.379026936999992</v>
      </c>
    </row>
    <row r="564" spans="1:3" x14ac:dyDescent="0.25">
      <c r="A564" t="s">
        <v>30</v>
      </c>
      <c r="B564">
        <v>2008</v>
      </c>
      <c r="C564">
        <v>98.46975547400001</v>
      </c>
    </row>
    <row r="565" spans="1:3" x14ac:dyDescent="0.25">
      <c r="A565" t="s">
        <v>30</v>
      </c>
      <c r="B565">
        <v>2009</v>
      </c>
      <c r="C565">
        <v>105.63381096000001</v>
      </c>
    </row>
    <row r="566" spans="1:3" x14ac:dyDescent="0.25">
      <c r="A566" t="s">
        <v>30</v>
      </c>
      <c r="B566">
        <v>2010</v>
      </c>
      <c r="C566">
        <v>109.576904855</v>
      </c>
    </row>
    <row r="567" spans="1:3" x14ac:dyDescent="0.25">
      <c r="A567" t="s">
        <v>30</v>
      </c>
      <c r="B567">
        <v>2011</v>
      </c>
      <c r="C567">
        <v>155.25426324599999</v>
      </c>
    </row>
    <row r="568" spans="1:3" x14ac:dyDescent="0.25">
      <c r="A568" t="s">
        <v>30</v>
      </c>
      <c r="B568">
        <v>2012</v>
      </c>
      <c r="C568">
        <v>142.65414851</v>
      </c>
    </row>
    <row r="569" spans="1:3" x14ac:dyDescent="0.25">
      <c r="A569" t="s">
        <v>30</v>
      </c>
      <c r="B569">
        <v>2013</v>
      </c>
      <c r="C569">
        <v>144.31711218500001</v>
      </c>
    </row>
    <row r="570" spans="1:3" x14ac:dyDescent="0.25">
      <c r="A570" t="s">
        <v>30</v>
      </c>
      <c r="B570">
        <v>2014</v>
      </c>
      <c r="C570">
        <v>154.43300108599999</v>
      </c>
    </row>
    <row r="571" spans="1:3" x14ac:dyDescent="0.25">
      <c r="A571" t="s">
        <v>30</v>
      </c>
      <c r="B571">
        <v>2015</v>
      </c>
      <c r="C571">
        <v>158.21078680799999</v>
      </c>
    </row>
    <row r="572" spans="1:3" x14ac:dyDescent="0.25">
      <c r="A572" t="s">
        <v>30</v>
      </c>
      <c r="B572">
        <v>2016</v>
      </c>
      <c r="C572">
        <v>166.48257947100001</v>
      </c>
    </row>
    <row r="573" spans="1:3" x14ac:dyDescent="0.25">
      <c r="A573" t="s">
        <v>30</v>
      </c>
      <c r="B573">
        <v>2017</v>
      </c>
      <c r="C573">
        <v>163.70215448299999</v>
      </c>
    </row>
    <row r="574" spans="1:3" x14ac:dyDescent="0.25">
      <c r="A574" t="s">
        <v>30</v>
      </c>
      <c r="B574">
        <v>2018</v>
      </c>
      <c r="C574">
        <v>137.802114593</v>
      </c>
    </row>
    <row r="575" spans="1:3" x14ac:dyDescent="0.25">
      <c r="A575" t="s">
        <v>30</v>
      </c>
      <c r="B575">
        <v>2019</v>
      </c>
      <c r="C575">
        <v>149.204824245</v>
      </c>
    </row>
    <row r="576" spans="1:3" x14ac:dyDescent="0.25">
      <c r="A576" t="s">
        <v>30</v>
      </c>
      <c r="B576">
        <v>2020</v>
      </c>
      <c r="C576">
        <v>152.30841331799999</v>
      </c>
    </row>
    <row r="577" spans="1:3" x14ac:dyDescent="0.25">
      <c r="A577" t="s">
        <v>30</v>
      </c>
      <c r="B577">
        <v>2021</v>
      </c>
      <c r="C577">
        <v>134.24358924699999</v>
      </c>
    </row>
    <row r="578" spans="1:3" x14ac:dyDescent="0.25">
      <c r="A578" t="s">
        <v>30</v>
      </c>
      <c r="B578">
        <v>2022</v>
      </c>
      <c r="C578">
        <v>150.062210784</v>
      </c>
    </row>
    <row r="579" spans="1:3" x14ac:dyDescent="0.25">
      <c r="A579" t="s">
        <v>30</v>
      </c>
      <c r="B579">
        <v>2023</v>
      </c>
      <c r="C579">
        <v>151.46062233699999</v>
      </c>
    </row>
    <row r="580" spans="1:3" x14ac:dyDescent="0.25">
      <c r="A580" t="s">
        <v>31</v>
      </c>
      <c r="B580">
        <v>1990</v>
      </c>
      <c r="C580">
        <v>1768414.185312219</v>
      </c>
    </row>
    <row r="581" spans="1:3" x14ac:dyDescent="0.25">
      <c r="A581" t="s">
        <v>31</v>
      </c>
      <c r="B581">
        <v>1991</v>
      </c>
      <c r="C581">
        <v>1777717.1320246779</v>
      </c>
    </row>
    <row r="582" spans="1:3" x14ac:dyDescent="0.25">
      <c r="A582" t="s">
        <v>31</v>
      </c>
      <c r="B582">
        <v>1992</v>
      </c>
      <c r="C582">
        <v>1470348.413460939</v>
      </c>
    </row>
    <row r="583" spans="1:3" x14ac:dyDescent="0.25">
      <c r="A583" t="s">
        <v>31</v>
      </c>
      <c r="B583">
        <v>1993</v>
      </c>
      <c r="C583">
        <v>1529577.9745976881</v>
      </c>
    </row>
    <row r="584" spans="1:3" x14ac:dyDescent="0.25">
      <c r="A584" t="s">
        <v>31</v>
      </c>
      <c r="B584">
        <v>1994</v>
      </c>
      <c r="C584">
        <v>1649612.3223174349</v>
      </c>
    </row>
    <row r="585" spans="1:3" x14ac:dyDescent="0.25">
      <c r="A585" t="s">
        <v>31</v>
      </c>
      <c r="B585">
        <v>1995</v>
      </c>
      <c r="C585">
        <v>1753937.8558230109</v>
      </c>
    </row>
    <row r="586" spans="1:3" x14ac:dyDescent="0.25">
      <c r="A586" t="s">
        <v>31</v>
      </c>
      <c r="B586">
        <v>1996</v>
      </c>
      <c r="C586">
        <v>1732743.4416642829</v>
      </c>
    </row>
    <row r="587" spans="1:3" x14ac:dyDescent="0.25">
      <c r="A587" t="s">
        <v>31</v>
      </c>
      <c r="B587">
        <v>1997</v>
      </c>
      <c r="C587">
        <v>1603105.459094323</v>
      </c>
    </row>
    <row r="588" spans="1:3" x14ac:dyDescent="0.25">
      <c r="A588" t="s">
        <v>31</v>
      </c>
      <c r="B588">
        <v>1998</v>
      </c>
      <c r="C588">
        <v>1393994.268789818</v>
      </c>
    </row>
    <row r="589" spans="1:3" x14ac:dyDescent="0.25">
      <c r="A589" t="s">
        <v>31</v>
      </c>
      <c r="B589">
        <v>1999</v>
      </c>
      <c r="C589">
        <v>1821782.0299606901</v>
      </c>
    </row>
    <row r="590" spans="1:3" x14ac:dyDescent="0.25">
      <c r="A590" t="s">
        <v>31</v>
      </c>
      <c r="B590">
        <v>2000</v>
      </c>
      <c r="C590">
        <v>1946998.9351239919</v>
      </c>
    </row>
    <row r="591" spans="1:3" x14ac:dyDescent="0.25">
      <c r="A591" t="s">
        <v>31</v>
      </c>
      <c r="B591">
        <v>2001</v>
      </c>
      <c r="C591">
        <v>2000366.5172126701</v>
      </c>
    </row>
    <row r="592" spans="1:3" x14ac:dyDescent="0.25">
      <c r="A592" t="s">
        <v>31</v>
      </c>
      <c r="B592">
        <v>2002</v>
      </c>
      <c r="C592">
        <v>1989913.305780225</v>
      </c>
    </row>
    <row r="593" spans="1:3" x14ac:dyDescent="0.25">
      <c r="A593" t="s">
        <v>31</v>
      </c>
      <c r="B593">
        <v>2003</v>
      </c>
      <c r="C593">
        <v>2053716.018409292</v>
      </c>
    </row>
    <row r="594" spans="1:3" x14ac:dyDescent="0.25">
      <c r="A594" t="s">
        <v>31</v>
      </c>
      <c r="B594">
        <v>2004</v>
      </c>
      <c r="C594">
        <v>2115042.9038416762</v>
      </c>
    </row>
    <row r="595" spans="1:3" x14ac:dyDescent="0.25">
      <c r="A595" t="s">
        <v>31</v>
      </c>
      <c r="B595">
        <v>2005</v>
      </c>
      <c r="C595">
        <v>1971253.1174383941</v>
      </c>
    </row>
    <row r="596" spans="1:3" x14ac:dyDescent="0.25">
      <c r="A596" t="s">
        <v>31</v>
      </c>
      <c r="B596">
        <v>2006</v>
      </c>
      <c r="C596">
        <v>2152827.2369079222</v>
      </c>
    </row>
    <row r="597" spans="1:3" x14ac:dyDescent="0.25">
      <c r="A597" t="s">
        <v>31</v>
      </c>
      <c r="B597">
        <v>2007</v>
      </c>
      <c r="C597">
        <v>1866717.032797236</v>
      </c>
    </row>
    <row r="598" spans="1:3" x14ac:dyDescent="0.25">
      <c r="A598" t="s">
        <v>31</v>
      </c>
      <c r="B598">
        <v>2008</v>
      </c>
      <c r="C598">
        <v>1501595.4301852621</v>
      </c>
    </row>
    <row r="599" spans="1:3" x14ac:dyDescent="0.25">
      <c r="A599" t="s">
        <v>31</v>
      </c>
      <c r="B599">
        <v>2009</v>
      </c>
      <c r="C599">
        <v>1072632.7581536621</v>
      </c>
    </row>
    <row r="600" spans="1:3" x14ac:dyDescent="0.25">
      <c r="A600" t="s">
        <v>31</v>
      </c>
      <c r="B600">
        <v>2010</v>
      </c>
      <c r="C600">
        <v>1084366.0898894221</v>
      </c>
    </row>
    <row r="601" spans="1:3" x14ac:dyDescent="0.25">
      <c r="A601" t="s">
        <v>31</v>
      </c>
      <c r="B601">
        <v>2011</v>
      </c>
      <c r="C601">
        <v>1055060.073134776</v>
      </c>
    </row>
    <row r="602" spans="1:3" x14ac:dyDescent="0.25">
      <c r="A602" t="s">
        <v>31</v>
      </c>
      <c r="B602">
        <v>2012</v>
      </c>
      <c r="C602">
        <v>1010233.110696245</v>
      </c>
    </row>
    <row r="603" spans="1:3" x14ac:dyDescent="0.25">
      <c r="A603" t="s">
        <v>31</v>
      </c>
      <c r="B603">
        <v>2013</v>
      </c>
      <c r="C603">
        <v>1065910.0311048541</v>
      </c>
    </row>
    <row r="604" spans="1:3" x14ac:dyDescent="0.25">
      <c r="A604" t="s">
        <v>31</v>
      </c>
      <c r="B604">
        <v>2014</v>
      </c>
      <c r="C604">
        <v>1195596.1330832429</v>
      </c>
    </row>
    <row r="605" spans="1:3" x14ac:dyDescent="0.25">
      <c r="A605" t="s">
        <v>31</v>
      </c>
      <c r="B605">
        <v>2015</v>
      </c>
      <c r="C605">
        <v>1359267.524256093</v>
      </c>
    </row>
    <row r="606" spans="1:3" x14ac:dyDescent="0.25">
      <c r="A606" t="s">
        <v>31</v>
      </c>
      <c r="B606">
        <v>2016</v>
      </c>
      <c r="C606">
        <v>1440920.5856260911</v>
      </c>
    </row>
    <row r="607" spans="1:3" x14ac:dyDescent="0.25">
      <c r="A607" t="s">
        <v>31</v>
      </c>
      <c r="B607">
        <v>2017</v>
      </c>
      <c r="C607">
        <v>1638987.6195697191</v>
      </c>
    </row>
    <row r="608" spans="1:3" x14ac:dyDescent="0.25">
      <c r="A608" t="s">
        <v>31</v>
      </c>
      <c r="B608">
        <v>2018</v>
      </c>
      <c r="C608">
        <v>1732800.339025219</v>
      </c>
    </row>
    <row r="609" spans="1:3" x14ac:dyDescent="0.25">
      <c r="A609" t="s">
        <v>31</v>
      </c>
      <c r="B609">
        <v>2019</v>
      </c>
      <c r="C609">
        <v>1648917.4160054119</v>
      </c>
    </row>
    <row r="610" spans="1:3" x14ac:dyDescent="0.25">
      <c r="A610" t="s">
        <v>31</v>
      </c>
      <c r="B610">
        <v>2020</v>
      </c>
      <c r="C610">
        <v>1568513.69767204</v>
      </c>
    </row>
    <row r="611" spans="1:3" x14ac:dyDescent="0.25">
      <c r="A611" t="s">
        <v>31</v>
      </c>
      <c r="B611">
        <v>2021</v>
      </c>
      <c r="C611">
        <v>1680442.2412359959</v>
      </c>
    </row>
    <row r="612" spans="1:3" x14ac:dyDescent="0.25">
      <c r="A612" t="s">
        <v>31</v>
      </c>
      <c r="B612">
        <v>2022</v>
      </c>
      <c r="C612">
        <v>1837375.0437934319</v>
      </c>
    </row>
    <row r="613" spans="1:3" x14ac:dyDescent="0.25">
      <c r="A613" t="s">
        <v>31</v>
      </c>
      <c r="B613">
        <v>2023</v>
      </c>
      <c r="C613">
        <v>1837375.0437934319</v>
      </c>
    </row>
    <row r="614" spans="1:3" x14ac:dyDescent="0.25">
      <c r="A614" t="s">
        <v>32</v>
      </c>
      <c r="B614">
        <v>1990</v>
      </c>
      <c r="C614" t="s">
        <v>96</v>
      </c>
    </row>
    <row r="615" spans="1:3" x14ac:dyDescent="0.25">
      <c r="A615" t="s">
        <v>32</v>
      </c>
      <c r="B615">
        <v>1991</v>
      </c>
      <c r="C615" t="s">
        <v>96</v>
      </c>
    </row>
    <row r="616" spans="1:3" x14ac:dyDescent="0.25">
      <c r="A616" t="s">
        <v>32</v>
      </c>
      <c r="B616">
        <v>1992</v>
      </c>
      <c r="C616" t="s">
        <v>96</v>
      </c>
    </row>
    <row r="617" spans="1:3" x14ac:dyDescent="0.25">
      <c r="A617" t="s">
        <v>32</v>
      </c>
      <c r="B617">
        <v>1993</v>
      </c>
      <c r="C617" t="s">
        <v>96</v>
      </c>
    </row>
    <row r="618" spans="1:3" x14ac:dyDescent="0.25">
      <c r="A618" t="s">
        <v>32</v>
      </c>
      <c r="B618">
        <v>1994</v>
      </c>
      <c r="C618" t="s">
        <v>96</v>
      </c>
    </row>
    <row r="619" spans="1:3" x14ac:dyDescent="0.25">
      <c r="A619" t="s">
        <v>32</v>
      </c>
      <c r="B619">
        <v>1995</v>
      </c>
      <c r="C619" t="s">
        <v>96</v>
      </c>
    </row>
    <row r="620" spans="1:3" x14ac:dyDescent="0.25">
      <c r="A620" t="s">
        <v>32</v>
      </c>
      <c r="B620">
        <v>1996</v>
      </c>
      <c r="C620" t="s">
        <v>96</v>
      </c>
    </row>
    <row r="621" spans="1:3" x14ac:dyDescent="0.25">
      <c r="A621" t="s">
        <v>32</v>
      </c>
      <c r="B621">
        <v>1997</v>
      </c>
      <c r="C621" t="s">
        <v>96</v>
      </c>
    </row>
    <row r="622" spans="1:3" x14ac:dyDescent="0.25">
      <c r="A622" t="s">
        <v>32</v>
      </c>
      <c r="B622">
        <v>1998</v>
      </c>
      <c r="C622" t="s">
        <v>96</v>
      </c>
    </row>
    <row r="623" spans="1:3" x14ac:dyDescent="0.25">
      <c r="A623" t="s">
        <v>32</v>
      </c>
      <c r="B623">
        <v>1999</v>
      </c>
      <c r="C623" t="s">
        <v>96</v>
      </c>
    </row>
    <row r="624" spans="1:3" x14ac:dyDescent="0.25">
      <c r="A624" t="s">
        <v>32</v>
      </c>
      <c r="B624">
        <v>2000</v>
      </c>
      <c r="C624" t="s">
        <v>96</v>
      </c>
    </row>
    <row r="625" spans="1:3" x14ac:dyDescent="0.25">
      <c r="A625" t="s">
        <v>32</v>
      </c>
      <c r="B625">
        <v>2001</v>
      </c>
      <c r="C625" t="s">
        <v>96</v>
      </c>
    </row>
    <row r="626" spans="1:3" x14ac:dyDescent="0.25">
      <c r="A626" t="s">
        <v>32</v>
      </c>
      <c r="B626">
        <v>2002</v>
      </c>
      <c r="C626" t="s">
        <v>96</v>
      </c>
    </row>
    <row r="627" spans="1:3" x14ac:dyDescent="0.25">
      <c r="A627" t="s">
        <v>32</v>
      </c>
      <c r="B627">
        <v>2003</v>
      </c>
      <c r="C627" t="s">
        <v>96</v>
      </c>
    </row>
    <row r="628" spans="1:3" x14ac:dyDescent="0.25">
      <c r="A628" t="s">
        <v>32</v>
      </c>
      <c r="B628">
        <v>2004</v>
      </c>
      <c r="C628" t="s">
        <v>96</v>
      </c>
    </row>
    <row r="629" spans="1:3" x14ac:dyDescent="0.25">
      <c r="A629" t="s">
        <v>32</v>
      </c>
      <c r="B629">
        <v>2005</v>
      </c>
      <c r="C629" t="s">
        <v>96</v>
      </c>
    </row>
    <row r="630" spans="1:3" x14ac:dyDescent="0.25">
      <c r="A630" t="s">
        <v>32</v>
      </c>
      <c r="B630">
        <v>2006</v>
      </c>
      <c r="C630" t="s">
        <v>96</v>
      </c>
    </row>
    <row r="631" spans="1:3" x14ac:dyDescent="0.25">
      <c r="A631" t="s">
        <v>32</v>
      </c>
      <c r="B631">
        <v>2007</v>
      </c>
      <c r="C631" t="s">
        <v>96</v>
      </c>
    </row>
    <row r="632" spans="1:3" x14ac:dyDescent="0.25">
      <c r="A632" t="s">
        <v>32</v>
      </c>
      <c r="B632">
        <v>2008</v>
      </c>
      <c r="C632" t="s">
        <v>96</v>
      </c>
    </row>
    <row r="633" spans="1:3" x14ac:dyDescent="0.25">
      <c r="A633" t="s">
        <v>32</v>
      </c>
      <c r="B633">
        <v>2009</v>
      </c>
      <c r="C633" t="s">
        <v>96</v>
      </c>
    </row>
    <row r="634" spans="1:3" x14ac:dyDescent="0.25">
      <c r="A634" t="s">
        <v>32</v>
      </c>
      <c r="B634">
        <v>2010</v>
      </c>
      <c r="C634" t="s">
        <v>96</v>
      </c>
    </row>
    <row r="635" spans="1:3" x14ac:dyDescent="0.25">
      <c r="A635" t="s">
        <v>32</v>
      </c>
      <c r="B635">
        <v>2011</v>
      </c>
      <c r="C635" t="s">
        <v>96</v>
      </c>
    </row>
    <row r="636" spans="1:3" x14ac:dyDescent="0.25">
      <c r="A636" t="s">
        <v>32</v>
      </c>
      <c r="B636">
        <v>2012</v>
      </c>
      <c r="C636" t="s">
        <v>96</v>
      </c>
    </row>
    <row r="637" spans="1:3" x14ac:dyDescent="0.25">
      <c r="A637" t="s">
        <v>32</v>
      </c>
      <c r="B637">
        <v>2013</v>
      </c>
      <c r="C637" t="s">
        <v>96</v>
      </c>
    </row>
    <row r="638" spans="1:3" x14ac:dyDescent="0.25">
      <c r="A638" t="s">
        <v>32</v>
      </c>
      <c r="B638">
        <v>2014</v>
      </c>
      <c r="C638" t="s">
        <v>96</v>
      </c>
    </row>
    <row r="639" spans="1:3" x14ac:dyDescent="0.25">
      <c r="A639" t="s">
        <v>32</v>
      </c>
      <c r="B639">
        <v>2015</v>
      </c>
      <c r="C639" t="s">
        <v>96</v>
      </c>
    </row>
    <row r="640" spans="1:3" x14ac:dyDescent="0.25">
      <c r="A640" t="s">
        <v>32</v>
      </c>
      <c r="B640">
        <v>2016</v>
      </c>
      <c r="C640" t="s">
        <v>96</v>
      </c>
    </row>
    <row r="641" spans="1:3" x14ac:dyDescent="0.25">
      <c r="A641" t="s">
        <v>32</v>
      </c>
      <c r="B641">
        <v>2017</v>
      </c>
      <c r="C641" t="s">
        <v>96</v>
      </c>
    </row>
    <row r="642" spans="1:3" x14ac:dyDescent="0.25">
      <c r="A642" t="s">
        <v>32</v>
      </c>
      <c r="B642">
        <v>2018</v>
      </c>
      <c r="C642" t="s">
        <v>96</v>
      </c>
    </row>
    <row r="643" spans="1:3" x14ac:dyDescent="0.25">
      <c r="A643" t="s">
        <v>32</v>
      </c>
      <c r="B643">
        <v>2019</v>
      </c>
      <c r="C643" t="s">
        <v>96</v>
      </c>
    </row>
    <row r="644" spans="1:3" x14ac:dyDescent="0.25">
      <c r="A644" t="s">
        <v>32</v>
      </c>
      <c r="B644">
        <v>2020</v>
      </c>
      <c r="C644" t="s">
        <v>96</v>
      </c>
    </row>
    <row r="645" spans="1:3" x14ac:dyDescent="0.25">
      <c r="A645" t="s">
        <v>32</v>
      </c>
      <c r="B645">
        <v>2021</v>
      </c>
      <c r="C645" t="s">
        <v>96</v>
      </c>
    </row>
    <row r="646" spans="1:3" x14ac:dyDescent="0.25">
      <c r="A646" t="s">
        <v>32</v>
      </c>
      <c r="B646">
        <v>2022</v>
      </c>
      <c r="C646" t="s">
        <v>96</v>
      </c>
    </row>
    <row r="647" spans="1:3" x14ac:dyDescent="0.25">
      <c r="A647" t="s">
        <v>32</v>
      </c>
      <c r="B647">
        <v>2023</v>
      </c>
      <c r="C647" t="s">
        <v>96</v>
      </c>
    </row>
    <row r="648" spans="1:3" x14ac:dyDescent="0.25">
      <c r="A648" t="s">
        <v>34</v>
      </c>
      <c r="B648">
        <v>1990</v>
      </c>
      <c r="C648" t="s">
        <v>96</v>
      </c>
    </row>
    <row r="649" spans="1:3" x14ac:dyDescent="0.25">
      <c r="A649" t="s">
        <v>34</v>
      </c>
      <c r="B649">
        <v>1991</v>
      </c>
      <c r="C649" t="s">
        <v>96</v>
      </c>
    </row>
    <row r="650" spans="1:3" x14ac:dyDescent="0.25">
      <c r="A650" t="s">
        <v>34</v>
      </c>
      <c r="B650">
        <v>1992</v>
      </c>
      <c r="C650" t="s">
        <v>96</v>
      </c>
    </row>
    <row r="651" spans="1:3" x14ac:dyDescent="0.25">
      <c r="A651" t="s">
        <v>34</v>
      </c>
      <c r="B651">
        <v>1993</v>
      </c>
      <c r="C651" t="s">
        <v>96</v>
      </c>
    </row>
    <row r="652" spans="1:3" x14ac:dyDescent="0.25">
      <c r="A652" t="s">
        <v>34</v>
      </c>
      <c r="B652">
        <v>1994</v>
      </c>
      <c r="C652" t="s">
        <v>96</v>
      </c>
    </row>
    <row r="653" spans="1:3" x14ac:dyDescent="0.25">
      <c r="A653" t="s">
        <v>34</v>
      </c>
      <c r="B653">
        <v>1995</v>
      </c>
      <c r="C653" t="s">
        <v>96</v>
      </c>
    </row>
    <row r="654" spans="1:3" x14ac:dyDescent="0.25">
      <c r="A654" t="s">
        <v>34</v>
      </c>
      <c r="B654">
        <v>1996</v>
      </c>
      <c r="C654" t="s">
        <v>96</v>
      </c>
    </row>
    <row r="655" spans="1:3" x14ac:dyDescent="0.25">
      <c r="A655" t="s">
        <v>34</v>
      </c>
      <c r="B655">
        <v>1997</v>
      </c>
      <c r="C655" t="s">
        <v>96</v>
      </c>
    </row>
    <row r="656" spans="1:3" x14ac:dyDescent="0.25">
      <c r="A656" t="s">
        <v>34</v>
      </c>
      <c r="B656">
        <v>1998</v>
      </c>
      <c r="C656" t="s">
        <v>96</v>
      </c>
    </row>
    <row r="657" spans="1:3" x14ac:dyDescent="0.25">
      <c r="A657" t="s">
        <v>34</v>
      </c>
      <c r="B657">
        <v>1999</v>
      </c>
      <c r="C657" t="s">
        <v>96</v>
      </c>
    </row>
    <row r="658" spans="1:3" x14ac:dyDescent="0.25">
      <c r="A658" t="s">
        <v>34</v>
      </c>
      <c r="B658">
        <v>2000</v>
      </c>
      <c r="C658" t="s">
        <v>96</v>
      </c>
    </row>
    <row r="659" spans="1:3" x14ac:dyDescent="0.25">
      <c r="A659" t="s">
        <v>34</v>
      </c>
      <c r="B659">
        <v>2001</v>
      </c>
      <c r="C659" t="s">
        <v>96</v>
      </c>
    </row>
    <row r="660" spans="1:3" x14ac:dyDescent="0.25">
      <c r="A660" t="s">
        <v>34</v>
      </c>
      <c r="B660">
        <v>2002</v>
      </c>
      <c r="C660" t="s">
        <v>96</v>
      </c>
    </row>
    <row r="661" spans="1:3" x14ac:dyDescent="0.25">
      <c r="A661" t="s">
        <v>34</v>
      </c>
      <c r="B661">
        <v>2003</v>
      </c>
      <c r="C661" t="s">
        <v>96</v>
      </c>
    </row>
    <row r="662" spans="1:3" x14ac:dyDescent="0.25">
      <c r="A662" t="s">
        <v>34</v>
      </c>
      <c r="B662">
        <v>2004</v>
      </c>
      <c r="C662" t="s">
        <v>96</v>
      </c>
    </row>
    <row r="663" spans="1:3" x14ac:dyDescent="0.25">
      <c r="A663" t="s">
        <v>34</v>
      </c>
      <c r="B663">
        <v>2005</v>
      </c>
      <c r="C663" t="s">
        <v>96</v>
      </c>
    </row>
    <row r="664" spans="1:3" x14ac:dyDescent="0.25">
      <c r="A664" t="s">
        <v>34</v>
      </c>
      <c r="B664">
        <v>2006</v>
      </c>
      <c r="C664" t="s">
        <v>96</v>
      </c>
    </row>
    <row r="665" spans="1:3" x14ac:dyDescent="0.25">
      <c r="A665" t="s">
        <v>34</v>
      </c>
      <c r="B665">
        <v>2007</v>
      </c>
      <c r="C665" t="s">
        <v>96</v>
      </c>
    </row>
    <row r="666" spans="1:3" x14ac:dyDescent="0.25">
      <c r="A666" t="s">
        <v>34</v>
      </c>
      <c r="B666">
        <v>2008</v>
      </c>
      <c r="C666" t="s">
        <v>96</v>
      </c>
    </row>
    <row r="667" spans="1:3" x14ac:dyDescent="0.25">
      <c r="A667" t="s">
        <v>34</v>
      </c>
      <c r="B667">
        <v>2009</v>
      </c>
      <c r="C667" t="s">
        <v>96</v>
      </c>
    </row>
    <row r="668" spans="1:3" x14ac:dyDescent="0.25">
      <c r="A668" t="s">
        <v>34</v>
      </c>
      <c r="B668">
        <v>2010</v>
      </c>
      <c r="C668" t="s">
        <v>96</v>
      </c>
    </row>
    <row r="669" spans="1:3" x14ac:dyDescent="0.25">
      <c r="A669" t="s">
        <v>34</v>
      </c>
      <c r="B669">
        <v>2011</v>
      </c>
      <c r="C669" t="s">
        <v>96</v>
      </c>
    </row>
    <row r="670" spans="1:3" x14ac:dyDescent="0.25">
      <c r="A670" t="s">
        <v>34</v>
      </c>
      <c r="B670">
        <v>2012</v>
      </c>
      <c r="C670" t="s">
        <v>96</v>
      </c>
    </row>
    <row r="671" spans="1:3" x14ac:dyDescent="0.25">
      <c r="A671" t="s">
        <v>34</v>
      </c>
      <c r="B671">
        <v>2013</v>
      </c>
      <c r="C671" t="s">
        <v>96</v>
      </c>
    </row>
    <row r="672" spans="1:3" x14ac:dyDescent="0.25">
      <c r="A672" t="s">
        <v>34</v>
      </c>
      <c r="B672">
        <v>2014</v>
      </c>
      <c r="C672" t="s">
        <v>96</v>
      </c>
    </row>
    <row r="673" spans="1:3" x14ac:dyDescent="0.25">
      <c r="A673" t="s">
        <v>34</v>
      </c>
      <c r="B673">
        <v>2015</v>
      </c>
      <c r="C673" t="s">
        <v>96</v>
      </c>
    </row>
    <row r="674" spans="1:3" x14ac:dyDescent="0.25">
      <c r="A674" t="s">
        <v>34</v>
      </c>
      <c r="B674">
        <v>2016</v>
      </c>
      <c r="C674" t="s">
        <v>96</v>
      </c>
    </row>
    <row r="675" spans="1:3" x14ac:dyDescent="0.25">
      <c r="A675" t="s">
        <v>34</v>
      </c>
      <c r="B675">
        <v>2017</v>
      </c>
      <c r="C675" t="s">
        <v>96</v>
      </c>
    </row>
    <row r="676" spans="1:3" x14ac:dyDescent="0.25">
      <c r="A676" t="s">
        <v>34</v>
      </c>
      <c r="B676">
        <v>2018</v>
      </c>
      <c r="C676" t="s">
        <v>96</v>
      </c>
    </row>
    <row r="677" spans="1:3" x14ac:dyDescent="0.25">
      <c r="A677" t="s">
        <v>34</v>
      </c>
      <c r="B677">
        <v>2019</v>
      </c>
      <c r="C677" t="s">
        <v>96</v>
      </c>
    </row>
    <row r="678" spans="1:3" x14ac:dyDescent="0.25">
      <c r="A678" t="s">
        <v>34</v>
      </c>
      <c r="B678">
        <v>2020</v>
      </c>
      <c r="C678" t="s">
        <v>96</v>
      </c>
    </row>
    <row r="679" spans="1:3" x14ac:dyDescent="0.25">
      <c r="A679" t="s">
        <v>34</v>
      </c>
      <c r="B679">
        <v>2021</v>
      </c>
      <c r="C679" t="s">
        <v>96</v>
      </c>
    </row>
    <row r="680" spans="1:3" x14ac:dyDescent="0.25">
      <c r="A680" t="s">
        <v>34</v>
      </c>
      <c r="B680">
        <v>2022</v>
      </c>
      <c r="C680" t="s">
        <v>96</v>
      </c>
    </row>
    <row r="681" spans="1:3" x14ac:dyDescent="0.25">
      <c r="A681" t="s">
        <v>34</v>
      </c>
      <c r="B681">
        <v>2023</v>
      </c>
      <c r="C681" t="s">
        <v>96</v>
      </c>
    </row>
    <row r="682" spans="1:3" x14ac:dyDescent="0.25">
      <c r="A682" t="s">
        <v>36</v>
      </c>
      <c r="B682">
        <v>1990</v>
      </c>
      <c r="C682" t="s">
        <v>96</v>
      </c>
    </row>
    <row r="683" spans="1:3" x14ac:dyDescent="0.25">
      <c r="A683" t="s">
        <v>36</v>
      </c>
      <c r="B683">
        <v>1991</v>
      </c>
      <c r="C683" t="s">
        <v>96</v>
      </c>
    </row>
    <row r="684" spans="1:3" x14ac:dyDescent="0.25">
      <c r="A684" t="s">
        <v>36</v>
      </c>
      <c r="B684">
        <v>1992</v>
      </c>
      <c r="C684" t="s">
        <v>96</v>
      </c>
    </row>
    <row r="685" spans="1:3" x14ac:dyDescent="0.25">
      <c r="A685" t="s">
        <v>36</v>
      </c>
      <c r="B685">
        <v>1993</v>
      </c>
      <c r="C685" t="s">
        <v>96</v>
      </c>
    </row>
    <row r="686" spans="1:3" x14ac:dyDescent="0.25">
      <c r="A686" t="s">
        <v>36</v>
      </c>
      <c r="B686">
        <v>1994</v>
      </c>
      <c r="C686" t="s">
        <v>96</v>
      </c>
    </row>
    <row r="687" spans="1:3" x14ac:dyDescent="0.25">
      <c r="A687" t="s">
        <v>36</v>
      </c>
      <c r="B687">
        <v>1995</v>
      </c>
      <c r="C687" t="s">
        <v>96</v>
      </c>
    </row>
    <row r="688" spans="1:3" x14ac:dyDescent="0.25">
      <c r="A688" t="s">
        <v>36</v>
      </c>
      <c r="B688">
        <v>1996</v>
      </c>
      <c r="C688" t="s">
        <v>96</v>
      </c>
    </row>
    <row r="689" spans="1:3" x14ac:dyDescent="0.25">
      <c r="A689" t="s">
        <v>36</v>
      </c>
      <c r="B689">
        <v>1997</v>
      </c>
      <c r="C689" t="s">
        <v>96</v>
      </c>
    </row>
    <row r="690" spans="1:3" x14ac:dyDescent="0.25">
      <c r="A690" t="s">
        <v>36</v>
      </c>
      <c r="B690">
        <v>1998</v>
      </c>
      <c r="C690" t="s">
        <v>96</v>
      </c>
    </row>
    <row r="691" spans="1:3" x14ac:dyDescent="0.25">
      <c r="A691" t="s">
        <v>36</v>
      </c>
      <c r="B691">
        <v>1999</v>
      </c>
      <c r="C691" t="s">
        <v>96</v>
      </c>
    </row>
    <row r="692" spans="1:3" x14ac:dyDescent="0.25">
      <c r="A692" t="s">
        <v>36</v>
      </c>
      <c r="B692">
        <v>2000</v>
      </c>
      <c r="C692" t="s">
        <v>96</v>
      </c>
    </row>
    <row r="693" spans="1:3" x14ac:dyDescent="0.25">
      <c r="A693" t="s">
        <v>36</v>
      </c>
      <c r="B693">
        <v>2001</v>
      </c>
      <c r="C693" t="s">
        <v>96</v>
      </c>
    </row>
    <row r="694" spans="1:3" x14ac:dyDescent="0.25">
      <c r="A694" t="s">
        <v>36</v>
      </c>
      <c r="B694">
        <v>2002</v>
      </c>
      <c r="C694" t="s">
        <v>96</v>
      </c>
    </row>
    <row r="695" spans="1:3" x14ac:dyDescent="0.25">
      <c r="A695" t="s">
        <v>36</v>
      </c>
      <c r="B695">
        <v>2003</v>
      </c>
      <c r="C695" t="s">
        <v>96</v>
      </c>
    </row>
    <row r="696" spans="1:3" x14ac:dyDescent="0.25">
      <c r="A696" t="s">
        <v>36</v>
      </c>
      <c r="B696">
        <v>2004</v>
      </c>
      <c r="C696" t="s">
        <v>96</v>
      </c>
    </row>
    <row r="697" spans="1:3" x14ac:dyDescent="0.25">
      <c r="A697" t="s">
        <v>36</v>
      </c>
      <c r="B697">
        <v>2005</v>
      </c>
      <c r="C697" t="s">
        <v>96</v>
      </c>
    </row>
    <row r="698" spans="1:3" x14ac:dyDescent="0.25">
      <c r="A698" t="s">
        <v>36</v>
      </c>
      <c r="B698">
        <v>2006</v>
      </c>
      <c r="C698" t="s">
        <v>96</v>
      </c>
    </row>
    <row r="699" spans="1:3" x14ac:dyDescent="0.25">
      <c r="A699" t="s">
        <v>36</v>
      </c>
      <c r="B699">
        <v>2007</v>
      </c>
      <c r="C699" t="s">
        <v>96</v>
      </c>
    </row>
    <row r="700" spans="1:3" x14ac:dyDescent="0.25">
      <c r="A700" t="s">
        <v>36</v>
      </c>
      <c r="B700">
        <v>2008</v>
      </c>
      <c r="C700" t="s">
        <v>96</v>
      </c>
    </row>
    <row r="701" spans="1:3" x14ac:dyDescent="0.25">
      <c r="A701" t="s">
        <v>36</v>
      </c>
      <c r="B701">
        <v>2009</v>
      </c>
      <c r="C701" t="s">
        <v>96</v>
      </c>
    </row>
    <row r="702" spans="1:3" x14ac:dyDescent="0.25">
      <c r="A702" t="s">
        <v>36</v>
      </c>
      <c r="B702">
        <v>2010</v>
      </c>
      <c r="C702" t="s">
        <v>96</v>
      </c>
    </row>
    <row r="703" spans="1:3" x14ac:dyDescent="0.25">
      <c r="A703" t="s">
        <v>36</v>
      </c>
      <c r="B703">
        <v>2011</v>
      </c>
      <c r="C703" t="s">
        <v>96</v>
      </c>
    </row>
    <row r="704" spans="1:3" x14ac:dyDescent="0.25">
      <c r="A704" t="s">
        <v>36</v>
      </c>
      <c r="B704">
        <v>2012</v>
      </c>
      <c r="C704" t="s">
        <v>96</v>
      </c>
    </row>
    <row r="705" spans="1:3" x14ac:dyDescent="0.25">
      <c r="A705" t="s">
        <v>36</v>
      </c>
      <c r="B705">
        <v>2013</v>
      </c>
      <c r="C705" t="s">
        <v>96</v>
      </c>
    </row>
    <row r="706" spans="1:3" x14ac:dyDescent="0.25">
      <c r="A706" t="s">
        <v>36</v>
      </c>
      <c r="B706">
        <v>2014</v>
      </c>
      <c r="C706" t="s">
        <v>96</v>
      </c>
    </row>
    <row r="707" spans="1:3" x14ac:dyDescent="0.25">
      <c r="A707" t="s">
        <v>36</v>
      </c>
      <c r="B707">
        <v>2015</v>
      </c>
      <c r="C707" t="s">
        <v>96</v>
      </c>
    </row>
    <row r="708" spans="1:3" x14ac:dyDescent="0.25">
      <c r="A708" t="s">
        <v>36</v>
      </c>
      <c r="B708">
        <v>2016</v>
      </c>
      <c r="C708" t="s">
        <v>96</v>
      </c>
    </row>
    <row r="709" spans="1:3" x14ac:dyDescent="0.25">
      <c r="A709" t="s">
        <v>36</v>
      </c>
      <c r="B709">
        <v>2017</v>
      </c>
      <c r="C709" t="s">
        <v>96</v>
      </c>
    </row>
    <row r="710" spans="1:3" x14ac:dyDescent="0.25">
      <c r="A710" t="s">
        <v>36</v>
      </c>
      <c r="B710">
        <v>2018</v>
      </c>
      <c r="C710" t="s">
        <v>96</v>
      </c>
    </row>
    <row r="711" spans="1:3" x14ac:dyDescent="0.25">
      <c r="A711" t="s">
        <v>36</v>
      </c>
      <c r="B711">
        <v>2019</v>
      </c>
      <c r="C711" t="s">
        <v>96</v>
      </c>
    </row>
    <row r="712" spans="1:3" x14ac:dyDescent="0.25">
      <c r="A712" t="s">
        <v>36</v>
      </c>
      <c r="B712">
        <v>2020</v>
      </c>
      <c r="C712" t="s">
        <v>96</v>
      </c>
    </row>
    <row r="713" spans="1:3" x14ac:dyDescent="0.25">
      <c r="A713" t="s">
        <v>36</v>
      </c>
      <c r="B713">
        <v>2021</v>
      </c>
      <c r="C713" t="s">
        <v>96</v>
      </c>
    </row>
    <row r="714" spans="1:3" x14ac:dyDescent="0.25">
      <c r="A714" t="s">
        <v>36</v>
      </c>
      <c r="B714">
        <v>2022</v>
      </c>
      <c r="C714" t="s">
        <v>96</v>
      </c>
    </row>
    <row r="715" spans="1:3" x14ac:dyDescent="0.25">
      <c r="A715" t="s">
        <v>36</v>
      </c>
      <c r="B715">
        <v>2023</v>
      </c>
      <c r="C715" t="s">
        <v>96</v>
      </c>
    </row>
    <row r="716" spans="1:3" x14ac:dyDescent="0.25">
      <c r="A716" t="s">
        <v>37</v>
      </c>
      <c r="B716">
        <v>1990</v>
      </c>
      <c r="C716" t="s">
        <v>96</v>
      </c>
    </row>
    <row r="717" spans="1:3" x14ac:dyDescent="0.25">
      <c r="A717" t="s">
        <v>37</v>
      </c>
      <c r="B717">
        <v>1991</v>
      </c>
      <c r="C717" t="s">
        <v>96</v>
      </c>
    </row>
    <row r="718" spans="1:3" x14ac:dyDescent="0.25">
      <c r="A718" t="s">
        <v>37</v>
      </c>
      <c r="B718">
        <v>1992</v>
      </c>
      <c r="C718" t="s">
        <v>96</v>
      </c>
    </row>
    <row r="719" spans="1:3" x14ac:dyDescent="0.25">
      <c r="A719" t="s">
        <v>37</v>
      </c>
      <c r="B719">
        <v>1993</v>
      </c>
      <c r="C719" t="s">
        <v>96</v>
      </c>
    </row>
    <row r="720" spans="1:3" x14ac:dyDescent="0.25">
      <c r="A720" t="s">
        <v>37</v>
      </c>
      <c r="B720">
        <v>1994</v>
      </c>
      <c r="C720" t="s">
        <v>96</v>
      </c>
    </row>
    <row r="721" spans="1:3" x14ac:dyDescent="0.25">
      <c r="A721" t="s">
        <v>37</v>
      </c>
      <c r="B721">
        <v>1995</v>
      </c>
      <c r="C721" t="s">
        <v>96</v>
      </c>
    </row>
    <row r="722" spans="1:3" x14ac:dyDescent="0.25">
      <c r="A722" t="s">
        <v>37</v>
      </c>
      <c r="B722">
        <v>1996</v>
      </c>
      <c r="C722" t="s">
        <v>96</v>
      </c>
    </row>
    <row r="723" spans="1:3" x14ac:dyDescent="0.25">
      <c r="A723" t="s">
        <v>37</v>
      </c>
      <c r="B723">
        <v>1997</v>
      </c>
      <c r="C723" t="s">
        <v>96</v>
      </c>
    </row>
    <row r="724" spans="1:3" x14ac:dyDescent="0.25">
      <c r="A724" t="s">
        <v>37</v>
      </c>
      <c r="B724">
        <v>1998</v>
      </c>
      <c r="C724" t="s">
        <v>96</v>
      </c>
    </row>
    <row r="725" spans="1:3" x14ac:dyDescent="0.25">
      <c r="A725" t="s">
        <v>37</v>
      </c>
      <c r="B725">
        <v>1999</v>
      </c>
      <c r="C725" t="s">
        <v>96</v>
      </c>
    </row>
    <row r="726" spans="1:3" x14ac:dyDescent="0.25">
      <c r="A726" t="s">
        <v>37</v>
      </c>
      <c r="B726">
        <v>2000</v>
      </c>
      <c r="C726" t="s">
        <v>96</v>
      </c>
    </row>
    <row r="727" spans="1:3" x14ac:dyDescent="0.25">
      <c r="A727" t="s">
        <v>37</v>
      </c>
      <c r="B727">
        <v>2001</v>
      </c>
      <c r="C727" t="s">
        <v>96</v>
      </c>
    </row>
    <row r="728" spans="1:3" x14ac:dyDescent="0.25">
      <c r="A728" t="s">
        <v>37</v>
      </c>
      <c r="B728">
        <v>2002</v>
      </c>
      <c r="C728" t="s">
        <v>96</v>
      </c>
    </row>
    <row r="729" spans="1:3" x14ac:dyDescent="0.25">
      <c r="A729" t="s">
        <v>37</v>
      </c>
      <c r="B729">
        <v>2003</v>
      </c>
      <c r="C729" t="s">
        <v>96</v>
      </c>
    </row>
    <row r="730" spans="1:3" x14ac:dyDescent="0.25">
      <c r="A730" t="s">
        <v>37</v>
      </c>
      <c r="B730">
        <v>2004</v>
      </c>
      <c r="C730" t="s">
        <v>96</v>
      </c>
    </row>
    <row r="731" spans="1:3" x14ac:dyDescent="0.25">
      <c r="A731" t="s">
        <v>37</v>
      </c>
      <c r="B731">
        <v>2005</v>
      </c>
      <c r="C731" t="s">
        <v>96</v>
      </c>
    </row>
    <row r="732" spans="1:3" x14ac:dyDescent="0.25">
      <c r="A732" t="s">
        <v>37</v>
      </c>
      <c r="B732">
        <v>2006</v>
      </c>
      <c r="C732" t="s">
        <v>96</v>
      </c>
    </row>
    <row r="733" spans="1:3" x14ac:dyDescent="0.25">
      <c r="A733" t="s">
        <v>37</v>
      </c>
      <c r="B733">
        <v>2007</v>
      </c>
      <c r="C733" t="s">
        <v>96</v>
      </c>
    </row>
    <row r="734" spans="1:3" x14ac:dyDescent="0.25">
      <c r="A734" t="s">
        <v>37</v>
      </c>
      <c r="B734">
        <v>2008</v>
      </c>
      <c r="C734" t="s">
        <v>96</v>
      </c>
    </row>
    <row r="735" spans="1:3" x14ac:dyDescent="0.25">
      <c r="A735" t="s">
        <v>37</v>
      </c>
      <c r="B735">
        <v>2009</v>
      </c>
      <c r="C735" t="s">
        <v>96</v>
      </c>
    </row>
    <row r="736" spans="1:3" x14ac:dyDescent="0.25">
      <c r="A736" t="s">
        <v>37</v>
      </c>
      <c r="B736">
        <v>2010</v>
      </c>
      <c r="C736" t="s">
        <v>96</v>
      </c>
    </row>
    <row r="737" spans="1:3" x14ac:dyDescent="0.25">
      <c r="A737" t="s">
        <v>37</v>
      </c>
      <c r="B737">
        <v>2011</v>
      </c>
      <c r="C737" t="s">
        <v>96</v>
      </c>
    </row>
    <row r="738" spans="1:3" x14ac:dyDescent="0.25">
      <c r="A738" t="s">
        <v>37</v>
      </c>
      <c r="B738">
        <v>2012</v>
      </c>
      <c r="C738" t="s">
        <v>96</v>
      </c>
    </row>
    <row r="739" spans="1:3" x14ac:dyDescent="0.25">
      <c r="A739" t="s">
        <v>37</v>
      </c>
      <c r="B739">
        <v>2013</v>
      </c>
      <c r="C739" t="s">
        <v>96</v>
      </c>
    </row>
    <row r="740" spans="1:3" x14ac:dyDescent="0.25">
      <c r="A740" t="s">
        <v>37</v>
      </c>
      <c r="B740">
        <v>2014</v>
      </c>
      <c r="C740" t="s">
        <v>96</v>
      </c>
    </row>
    <row r="741" spans="1:3" x14ac:dyDescent="0.25">
      <c r="A741" t="s">
        <v>37</v>
      </c>
      <c r="B741">
        <v>2015</v>
      </c>
      <c r="C741" t="s">
        <v>96</v>
      </c>
    </row>
    <row r="742" spans="1:3" x14ac:dyDescent="0.25">
      <c r="A742" t="s">
        <v>37</v>
      </c>
      <c r="B742">
        <v>2016</v>
      </c>
      <c r="C742" t="s">
        <v>96</v>
      </c>
    </row>
    <row r="743" spans="1:3" x14ac:dyDescent="0.25">
      <c r="A743" t="s">
        <v>37</v>
      </c>
      <c r="B743">
        <v>2017</v>
      </c>
      <c r="C743" t="s">
        <v>96</v>
      </c>
    </row>
    <row r="744" spans="1:3" x14ac:dyDescent="0.25">
      <c r="A744" t="s">
        <v>37</v>
      </c>
      <c r="B744">
        <v>2018</v>
      </c>
      <c r="C744" t="s">
        <v>96</v>
      </c>
    </row>
    <row r="745" spans="1:3" x14ac:dyDescent="0.25">
      <c r="A745" t="s">
        <v>37</v>
      </c>
      <c r="B745">
        <v>2019</v>
      </c>
      <c r="C745" t="s">
        <v>96</v>
      </c>
    </row>
    <row r="746" spans="1:3" x14ac:dyDescent="0.25">
      <c r="A746" t="s">
        <v>37</v>
      </c>
      <c r="B746">
        <v>2020</v>
      </c>
      <c r="C746" t="s">
        <v>96</v>
      </c>
    </row>
    <row r="747" spans="1:3" x14ac:dyDescent="0.25">
      <c r="A747" t="s">
        <v>37</v>
      </c>
      <c r="B747">
        <v>2021</v>
      </c>
      <c r="C747" t="s">
        <v>96</v>
      </c>
    </row>
    <row r="748" spans="1:3" x14ac:dyDescent="0.25">
      <c r="A748" t="s">
        <v>37</v>
      </c>
      <c r="B748">
        <v>2022</v>
      </c>
      <c r="C748" t="s">
        <v>96</v>
      </c>
    </row>
    <row r="749" spans="1:3" x14ac:dyDescent="0.25">
      <c r="A749" t="s">
        <v>37</v>
      </c>
      <c r="B749">
        <v>2023</v>
      </c>
      <c r="C749" t="s">
        <v>96</v>
      </c>
    </row>
    <row r="750" spans="1:3" x14ac:dyDescent="0.25">
      <c r="A750" t="s">
        <v>38</v>
      </c>
      <c r="B750">
        <v>1990</v>
      </c>
      <c r="C750" t="s">
        <v>96</v>
      </c>
    </row>
    <row r="751" spans="1:3" x14ac:dyDescent="0.25">
      <c r="A751" t="s">
        <v>38</v>
      </c>
      <c r="B751">
        <v>1991</v>
      </c>
      <c r="C751" t="s">
        <v>96</v>
      </c>
    </row>
    <row r="752" spans="1:3" x14ac:dyDescent="0.25">
      <c r="A752" t="s">
        <v>38</v>
      </c>
      <c r="B752">
        <v>1992</v>
      </c>
      <c r="C752" t="s">
        <v>96</v>
      </c>
    </row>
    <row r="753" spans="1:3" x14ac:dyDescent="0.25">
      <c r="A753" t="s">
        <v>38</v>
      </c>
      <c r="B753">
        <v>1993</v>
      </c>
      <c r="C753" t="s">
        <v>96</v>
      </c>
    </row>
    <row r="754" spans="1:3" x14ac:dyDescent="0.25">
      <c r="A754" t="s">
        <v>38</v>
      </c>
      <c r="B754">
        <v>1994</v>
      </c>
      <c r="C754" t="s">
        <v>96</v>
      </c>
    </row>
    <row r="755" spans="1:3" x14ac:dyDescent="0.25">
      <c r="A755" t="s">
        <v>38</v>
      </c>
      <c r="B755">
        <v>1995</v>
      </c>
      <c r="C755" t="s">
        <v>96</v>
      </c>
    </row>
    <row r="756" spans="1:3" x14ac:dyDescent="0.25">
      <c r="A756" t="s">
        <v>38</v>
      </c>
      <c r="B756">
        <v>1996</v>
      </c>
      <c r="C756" t="s">
        <v>96</v>
      </c>
    </row>
    <row r="757" spans="1:3" x14ac:dyDescent="0.25">
      <c r="A757" t="s">
        <v>38</v>
      </c>
      <c r="B757">
        <v>1997</v>
      </c>
      <c r="C757" t="s">
        <v>96</v>
      </c>
    </row>
    <row r="758" spans="1:3" x14ac:dyDescent="0.25">
      <c r="A758" t="s">
        <v>38</v>
      </c>
      <c r="B758">
        <v>1998</v>
      </c>
      <c r="C758" t="s">
        <v>96</v>
      </c>
    </row>
    <row r="759" spans="1:3" x14ac:dyDescent="0.25">
      <c r="A759" t="s">
        <v>38</v>
      </c>
      <c r="B759">
        <v>1999</v>
      </c>
      <c r="C759" t="s">
        <v>96</v>
      </c>
    </row>
    <row r="760" spans="1:3" x14ac:dyDescent="0.25">
      <c r="A760" t="s">
        <v>38</v>
      </c>
      <c r="B760">
        <v>2000</v>
      </c>
      <c r="C760" t="s">
        <v>96</v>
      </c>
    </row>
    <row r="761" spans="1:3" x14ac:dyDescent="0.25">
      <c r="A761" t="s">
        <v>38</v>
      </c>
      <c r="B761">
        <v>2001</v>
      </c>
      <c r="C761" t="s">
        <v>96</v>
      </c>
    </row>
    <row r="762" spans="1:3" x14ac:dyDescent="0.25">
      <c r="A762" t="s">
        <v>38</v>
      </c>
      <c r="B762">
        <v>2002</v>
      </c>
      <c r="C762" t="s">
        <v>96</v>
      </c>
    </row>
    <row r="763" spans="1:3" x14ac:dyDescent="0.25">
      <c r="A763" t="s">
        <v>38</v>
      </c>
      <c r="B763">
        <v>2003</v>
      </c>
      <c r="C763" t="s">
        <v>96</v>
      </c>
    </row>
    <row r="764" spans="1:3" x14ac:dyDescent="0.25">
      <c r="A764" t="s">
        <v>38</v>
      </c>
      <c r="B764">
        <v>2004</v>
      </c>
      <c r="C764" t="s">
        <v>96</v>
      </c>
    </row>
    <row r="765" spans="1:3" x14ac:dyDescent="0.25">
      <c r="A765" t="s">
        <v>38</v>
      </c>
      <c r="B765">
        <v>2005</v>
      </c>
      <c r="C765" t="s">
        <v>96</v>
      </c>
    </row>
    <row r="766" spans="1:3" x14ac:dyDescent="0.25">
      <c r="A766" t="s">
        <v>38</v>
      </c>
      <c r="B766">
        <v>2006</v>
      </c>
      <c r="C766" t="s">
        <v>96</v>
      </c>
    </row>
    <row r="767" spans="1:3" x14ac:dyDescent="0.25">
      <c r="A767" t="s">
        <v>38</v>
      </c>
      <c r="B767">
        <v>2007</v>
      </c>
      <c r="C767" t="s">
        <v>96</v>
      </c>
    </row>
    <row r="768" spans="1:3" x14ac:dyDescent="0.25">
      <c r="A768" t="s">
        <v>38</v>
      </c>
      <c r="B768">
        <v>2008</v>
      </c>
      <c r="C768" t="s">
        <v>96</v>
      </c>
    </row>
    <row r="769" spans="1:3" x14ac:dyDescent="0.25">
      <c r="A769" t="s">
        <v>38</v>
      </c>
      <c r="B769">
        <v>2009</v>
      </c>
      <c r="C769" t="s">
        <v>96</v>
      </c>
    </row>
    <row r="770" spans="1:3" x14ac:dyDescent="0.25">
      <c r="A770" t="s">
        <v>38</v>
      </c>
      <c r="B770">
        <v>2010</v>
      </c>
      <c r="C770" t="s">
        <v>96</v>
      </c>
    </row>
    <row r="771" spans="1:3" x14ac:dyDescent="0.25">
      <c r="A771" t="s">
        <v>38</v>
      </c>
      <c r="B771">
        <v>2011</v>
      </c>
      <c r="C771" t="s">
        <v>96</v>
      </c>
    </row>
    <row r="772" spans="1:3" x14ac:dyDescent="0.25">
      <c r="A772" t="s">
        <v>38</v>
      </c>
      <c r="B772">
        <v>2012</v>
      </c>
      <c r="C772" t="s">
        <v>96</v>
      </c>
    </row>
    <row r="773" spans="1:3" x14ac:dyDescent="0.25">
      <c r="A773" t="s">
        <v>38</v>
      </c>
      <c r="B773">
        <v>2013</v>
      </c>
      <c r="C773" t="s">
        <v>96</v>
      </c>
    </row>
    <row r="774" spans="1:3" x14ac:dyDescent="0.25">
      <c r="A774" t="s">
        <v>38</v>
      </c>
      <c r="B774">
        <v>2014</v>
      </c>
      <c r="C774" t="s">
        <v>96</v>
      </c>
    </row>
    <row r="775" spans="1:3" x14ac:dyDescent="0.25">
      <c r="A775" t="s">
        <v>38</v>
      </c>
      <c r="B775">
        <v>2015</v>
      </c>
      <c r="C775" t="s">
        <v>96</v>
      </c>
    </row>
    <row r="776" spans="1:3" x14ac:dyDescent="0.25">
      <c r="A776" t="s">
        <v>38</v>
      </c>
      <c r="B776">
        <v>2016</v>
      </c>
      <c r="C776" t="s">
        <v>96</v>
      </c>
    </row>
    <row r="777" spans="1:3" x14ac:dyDescent="0.25">
      <c r="A777" t="s">
        <v>38</v>
      </c>
      <c r="B777">
        <v>2017</v>
      </c>
      <c r="C777" t="s">
        <v>96</v>
      </c>
    </row>
    <row r="778" spans="1:3" x14ac:dyDescent="0.25">
      <c r="A778" t="s">
        <v>38</v>
      </c>
      <c r="B778">
        <v>2018</v>
      </c>
      <c r="C778" t="s">
        <v>96</v>
      </c>
    </row>
    <row r="779" spans="1:3" x14ac:dyDescent="0.25">
      <c r="A779" t="s">
        <v>38</v>
      </c>
      <c r="B779">
        <v>2019</v>
      </c>
      <c r="C779" t="s">
        <v>96</v>
      </c>
    </row>
    <row r="780" spans="1:3" x14ac:dyDescent="0.25">
      <c r="A780" t="s">
        <v>38</v>
      </c>
      <c r="B780">
        <v>2020</v>
      </c>
      <c r="C780" t="s">
        <v>96</v>
      </c>
    </row>
    <row r="781" spans="1:3" x14ac:dyDescent="0.25">
      <c r="A781" t="s">
        <v>38</v>
      </c>
      <c r="B781">
        <v>2021</v>
      </c>
      <c r="C781" t="s">
        <v>96</v>
      </c>
    </row>
    <row r="782" spans="1:3" x14ac:dyDescent="0.25">
      <c r="A782" t="s">
        <v>38</v>
      </c>
      <c r="B782">
        <v>2022</v>
      </c>
      <c r="C782" t="s">
        <v>96</v>
      </c>
    </row>
    <row r="783" spans="1:3" x14ac:dyDescent="0.25">
      <c r="A783" t="s">
        <v>38</v>
      </c>
      <c r="B783">
        <v>2023</v>
      </c>
      <c r="C783" t="s">
        <v>96</v>
      </c>
    </row>
    <row r="784" spans="1:3" x14ac:dyDescent="0.25">
      <c r="A784" t="s">
        <v>39</v>
      </c>
      <c r="B784">
        <v>1990</v>
      </c>
      <c r="C784" t="s">
        <v>96</v>
      </c>
    </row>
    <row r="785" spans="1:3" x14ac:dyDescent="0.25">
      <c r="A785" t="s">
        <v>39</v>
      </c>
      <c r="B785">
        <v>1991</v>
      </c>
      <c r="C785" t="s">
        <v>96</v>
      </c>
    </row>
    <row r="786" spans="1:3" x14ac:dyDescent="0.25">
      <c r="A786" t="s">
        <v>39</v>
      </c>
      <c r="B786">
        <v>1992</v>
      </c>
      <c r="C786" t="s">
        <v>96</v>
      </c>
    </row>
    <row r="787" spans="1:3" x14ac:dyDescent="0.25">
      <c r="A787" t="s">
        <v>39</v>
      </c>
      <c r="B787">
        <v>1993</v>
      </c>
      <c r="C787" t="s">
        <v>96</v>
      </c>
    </row>
    <row r="788" spans="1:3" x14ac:dyDescent="0.25">
      <c r="A788" t="s">
        <v>39</v>
      </c>
      <c r="B788">
        <v>1994</v>
      </c>
      <c r="C788" t="s">
        <v>96</v>
      </c>
    </row>
    <row r="789" spans="1:3" x14ac:dyDescent="0.25">
      <c r="A789" t="s">
        <v>39</v>
      </c>
      <c r="B789">
        <v>1995</v>
      </c>
      <c r="C789" t="s">
        <v>96</v>
      </c>
    </row>
    <row r="790" spans="1:3" x14ac:dyDescent="0.25">
      <c r="A790" t="s">
        <v>39</v>
      </c>
      <c r="B790">
        <v>1996</v>
      </c>
      <c r="C790" t="s">
        <v>96</v>
      </c>
    </row>
    <row r="791" spans="1:3" x14ac:dyDescent="0.25">
      <c r="A791" t="s">
        <v>39</v>
      </c>
      <c r="B791">
        <v>1997</v>
      </c>
      <c r="C791" t="s">
        <v>96</v>
      </c>
    </row>
    <row r="792" spans="1:3" x14ac:dyDescent="0.25">
      <c r="A792" t="s">
        <v>39</v>
      </c>
      <c r="B792">
        <v>1998</v>
      </c>
      <c r="C792" t="s">
        <v>96</v>
      </c>
    </row>
    <row r="793" spans="1:3" x14ac:dyDescent="0.25">
      <c r="A793" t="s">
        <v>39</v>
      </c>
      <c r="B793">
        <v>1999</v>
      </c>
      <c r="C793" t="s">
        <v>96</v>
      </c>
    </row>
    <row r="794" spans="1:3" x14ac:dyDescent="0.25">
      <c r="A794" t="s">
        <v>39</v>
      </c>
      <c r="B794">
        <v>2000</v>
      </c>
      <c r="C794" t="s">
        <v>96</v>
      </c>
    </row>
    <row r="795" spans="1:3" x14ac:dyDescent="0.25">
      <c r="A795" t="s">
        <v>39</v>
      </c>
      <c r="B795">
        <v>2001</v>
      </c>
      <c r="C795" t="s">
        <v>96</v>
      </c>
    </row>
    <row r="796" spans="1:3" x14ac:dyDescent="0.25">
      <c r="A796" t="s">
        <v>39</v>
      </c>
      <c r="B796">
        <v>2002</v>
      </c>
      <c r="C796" t="s">
        <v>96</v>
      </c>
    </row>
    <row r="797" spans="1:3" x14ac:dyDescent="0.25">
      <c r="A797" t="s">
        <v>39</v>
      </c>
      <c r="B797">
        <v>2003</v>
      </c>
      <c r="C797" t="s">
        <v>96</v>
      </c>
    </row>
    <row r="798" spans="1:3" x14ac:dyDescent="0.25">
      <c r="A798" t="s">
        <v>39</v>
      </c>
      <c r="B798">
        <v>2004</v>
      </c>
      <c r="C798" t="s">
        <v>96</v>
      </c>
    </row>
    <row r="799" spans="1:3" x14ac:dyDescent="0.25">
      <c r="A799" t="s">
        <v>39</v>
      </c>
      <c r="B799">
        <v>2005</v>
      </c>
      <c r="C799" t="s">
        <v>96</v>
      </c>
    </row>
    <row r="800" spans="1:3" x14ac:dyDescent="0.25">
      <c r="A800" t="s">
        <v>39</v>
      </c>
      <c r="B800">
        <v>2006</v>
      </c>
      <c r="C800" t="s">
        <v>96</v>
      </c>
    </row>
    <row r="801" spans="1:3" x14ac:dyDescent="0.25">
      <c r="A801" t="s">
        <v>39</v>
      </c>
      <c r="B801">
        <v>2007</v>
      </c>
      <c r="C801" t="s">
        <v>96</v>
      </c>
    </row>
    <row r="802" spans="1:3" x14ac:dyDescent="0.25">
      <c r="A802" t="s">
        <v>39</v>
      </c>
      <c r="B802">
        <v>2008</v>
      </c>
      <c r="C802" t="s">
        <v>96</v>
      </c>
    </row>
    <row r="803" spans="1:3" x14ac:dyDescent="0.25">
      <c r="A803" t="s">
        <v>39</v>
      </c>
      <c r="B803">
        <v>2009</v>
      </c>
      <c r="C803" t="s">
        <v>96</v>
      </c>
    </row>
    <row r="804" spans="1:3" x14ac:dyDescent="0.25">
      <c r="A804" t="s">
        <v>39</v>
      </c>
      <c r="B804">
        <v>2010</v>
      </c>
      <c r="C804" t="s">
        <v>96</v>
      </c>
    </row>
    <row r="805" spans="1:3" x14ac:dyDescent="0.25">
      <c r="A805" t="s">
        <v>39</v>
      </c>
      <c r="B805">
        <v>2011</v>
      </c>
      <c r="C805" t="s">
        <v>96</v>
      </c>
    </row>
    <row r="806" spans="1:3" x14ac:dyDescent="0.25">
      <c r="A806" t="s">
        <v>39</v>
      </c>
      <c r="B806">
        <v>2012</v>
      </c>
      <c r="C806" t="s">
        <v>96</v>
      </c>
    </row>
    <row r="807" spans="1:3" x14ac:dyDescent="0.25">
      <c r="A807" t="s">
        <v>39</v>
      </c>
      <c r="B807">
        <v>2013</v>
      </c>
      <c r="C807" t="s">
        <v>96</v>
      </c>
    </row>
    <row r="808" spans="1:3" x14ac:dyDescent="0.25">
      <c r="A808" t="s">
        <v>39</v>
      </c>
      <c r="B808">
        <v>2014</v>
      </c>
      <c r="C808" t="s">
        <v>96</v>
      </c>
    </row>
    <row r="809" spans="1:3" x14ac:dyDescent="0.25">
      <c r="A809" t="s">
        <v>39</v>
      </c>
      <c r="B809">
        <v>2015</v>
      </c>
      <c r="C809" t="s">
        <v>96</v>
      </c>
    </row>
    <row r="810" spans="1:3" x14ac:dyDescent="0.25">
      <c r="A810" t="s">
        <v>39</v>
      </c>
      <c r="B810">
        <v>2016</v>
      </c>
      <c r="C810" t="s">
        <v>96</v>
      </c>
    </row>
    <row r="811" spans="1:3" x14ac:dyDescent="0.25">
      <c r="A811" t="s">
        <v>39</v>
      </c>
      <c r="B811">
        <v>2017</v>
      </c>
      <c r="C811" t="s">
        <v>96</v>
      </c>
    </row>
    <row r="812" spans="1:3" x14ac:dyDescent="0.25">
      <c r="A812" t="s">
        <v>39</v>
      </c>
      <c r="B812">
        <v>2018</v>
      </c>
      <c r="C812" t="s">
        <v>96</v>
      </c>
    </row>
    <row r="813" spans="1:3" x14ac:dyDescent="0.25">
      <c r="A813" t="s">
        <v>39</v>
      </c>
      <c r="B813">
        <v>2019</v>
      </c>
      <c r="C813" t="s">
        <v>96</v>
      </c>
    </row>
    <row r="814" spans="1:3" x14ac:dyDescent="0.25">
      <c r="A814" t="s">
        <v>39</v>
      </c>
      <c r="B814">
        <v>2020</v>
      </c>
      <c r="C814" t="s">
        <v>96</v>
      </c>
    </row>
    <row r="815" spans="1:3" x14ac:dyDescent="0.25">
      <c r="A815" t="s">
        <v>39</v>
      </c>
      <c r="B815">
        <v>2021</v>
      </c>
      <c r="C815" t="s">
        <v>96</v>
      </c>
    </row>
    <row r="816" spans="1:3" x14ac:dyDescent="0.25">
      <c r="A816" t="s">
        <v>39</v>
      </c>
      <c r="B816">
        <v>2022</v>
      </c>
      <c r="C816" t="s">
        <v>96</v>
      </c>
    </row>
    <row r="817" spans="1:3" x14ac:dyDescent="0.25">
      <c r="A817" t="s">
        <v>39</v>
      </c>
      <c r="B817">
        <v>2023</v>
      </c>
      <c r="C817" t="s">
        <v>96</v>
      </c>
    </row>
    <row r="818" spans="1:3" x14ac:dyDescent="0.25">
      <c r="A818" t="s">
        <v>40</v>
      </c>
      <c r="B818">
        <v>1990</v>
      </c>
      <c r="C818">
        <v>220.6776061052679</v>
      </c>
    </row>
    <row r="819" spans="1:3" x14ac:dyDescent="0.25">
      <c r="A819" t="s">
        <v>40</v>
      </c>
      <c r="B819">
        <v>1991</v>
      </c>
      <c r="C819">
        <v>219.75095479839499</v>
      </c>
    </row>
    <row r="820" spans="1:3" x14ac:dyDescent="0.25">
      <c r="A820" t="s">
        <v>40</v>
      </c>
      <c r="B820">
        <v>1992</v>
      </c>
      <c r="C820">
        <v>106.5170825804867</v>
      </c>
    </row>
    <row r="821" spans="1:3" x14ac:dyDescent="0.25">
      <c r="A821" t="s">
        <v>40</v>
      </c>
      <c r="B821">
        <v>1993</v>
      </c>
      <c r="C821">
        <v>199.60194192748139</v>
      </c>
    </row>
    <row r="822" spans="1:3" x14ac:dyDescent="0.25">
      <c r="A822" t="s">
        <v>40</v>
      </c>
      <c r="B822">
        <v>1994</v>
      </c>
      <c r="C822">
        <v>211.0845221962617</v>
      </c>
    </row>
    <row r="823" spans="1:3" x14ac:dyDescent="0.25">
      <c r="A823" t="s">
        <v>40</v>
      </c>
      <c r="B823">
        <v>1995</v>
      </c>
      <c r="C823">
        <v>88.753813612244087</v>
      </c>
    </row>
    <row r="824" spans="1:3" x14ac:dyDescent="0.25">
      <c r="A824" t="s">
        <v>40</v>
      </c>
      <c r="B824">
        <v>1996</v>
      </c>
      <c r="C824">
        <v>125.0588883936383</v>
      </c>
    </row>
    <row r="825" spans="1:3" x14ac:dyDescent="0.25">
      <c r="A825" t="s">
        <v>40</v>
      </c>
      <c r="B825">
        <v>1997</v>
      </c>
      <c r="C825">
        <v>92.919397590361427</v>
      </c>
    </row>
    <row r="826" spans="1:3" x14ac:dyDescent="0.25">
      <c r="A826" t="s">
        <v>40</v>
      </c>
      <c r="B826">
        <v>1998</v>
      </c>
      <c r="C826">
        <v>175.30353736606989</v>
      </c>
    </row>
    <row r="827" spans="1:3" x14ac:dyDescent="0.25">
      <c r="A827" t="s">
        <v>40</v>
      </c>
      <c r="B827">
        <v>1999</v>
      </c>
      <c r="C827">
        <v>149.82218958224431</v>
      </c>
    </row>
    <row r="828" spans="1:3" x14ac:dyDescent="0.25">
      <c r="A828" t="s">
        <v>40</v>
      </c>
      <c r="B828">
        <v>2000</v>
      </c>
      <c r="C828">
        <v>187.14997251246569</v>
      </c>
    </row>
    <row r="829" spans="1:3" x14ac:dyDescent="0.25">
      <c r="A829" t="s">
        <v>40</v>
      </c>
      <c r="B829">
        <v>2001</v>
      </c>
      <c r="C829">
        <v>192.08727400478921</v>
      </c>
    </row>
    <row r="830" spans="1:3" x14ac:dyDescent="0.25">
      <c r="A830" t="s">
        <v>40</v>
      </c>
      <c r="B830">
        <v>2002</v>
      </c>
      <c r="C830">
        <v>203.01206472186581</v>
      </c>
    </row>
    <row r="831" spans="1:3" x14ac:dyDescent="0.25">
      <c r="A831" t="s">
        <v>40</v>
      </c>
      <c r="B831">
        <v>2003</v>
      </c>
      <c r="C831">
        <v>204.60812667896559</v>
      </c>
    </row>
    <row r="832" spans="1:3" x14ac:dyDescent="0.25">
      <c r="A832" t="s">
        <v>40</v>
      </c>
      <c r="B832">
        <v>2004</v>
      </c>
      <c r="C832">
        <v>245.99907083705301</v>
      </c>
    </row>
    <row r="833" spans="1:3" x14ac:dyDescent="0.25">
      <c r="A833" t="s">
        <v>40</v>
      </c>
      <c r="B833">
        <v>2005</v>
      </c>
      <c r="C833">
        <v>242.6419847527676</v>
      </c>
    </row>
    <row r="834" spans="1:3" x14ac:dyDescent="0.25">
      <c r="A834" t="s">
        <v>40</v>
      </c>
      <c r="B834">
        <v>2006</v>
      </c>
      <c r="C834">
        <v>284.50418018255527</v>
      </c>
    </row>
    <row r="835" spans="1:3" x14ac:dyDescent="0.25">
      <c r="A835" t="s">
        <v>40</v>
      </c>
      <c r="B835">
        <v>2007</v>
      </c>
      <c r="C835">
        <v>351.71107485573202</v>
      </c>
    </row>
    <row r="836" spans="1:3" x14ac:dyDescent="0.25">
      <c r="A836" t="s">
        <v>40</v>
      </c>
      <c r="B836">
        <v>2008</v>
      </c>
      <c r="C836">
        <v>339.78425820401958</v>
      </c>
    </row>
    <row r="837" spans="1:3" x14ac:dyDescent="0.25">
      <c r="A837" t="s">
        <v>40</v>
      </c>
      <c r="B837">
        <v>2009</v>
      </c>
      <c r="C837">
        <v>291.01895516169958</v>
      </c>
    </row>
    <row r="838" spans="1:3" x14ac:dyDescent="0.25">
      <c r="A838" t="s">
        <v>40</v>
      </c>
      <c r="B838">
        <v>2010</v>
      </c>
      <c r="C838">
        <v>347.10277287075309</v>
      </c>
    </row>
    <row r="839" spans="1:3" x14ac:dyDescent="0.25">
      <c r="A839" t="s">
        <v>40</v>
      </c>
      <c r="B839">
        <v>2011</v>
      </c>
      <c r="C839">
        <v>398.4803467310681</v>
      </c>
    </row>
    <row r="840" spans="1:3" x14ac:dyDescent="0.25">
      <c r="A840" t="s">
        <v>40</v>
      </c>
      <c r="B840">
        <v>2012</v>
      </c>
      <c r="C840">
        <v>331.78123745516848</v>
      </c>
    </row>
    <row r="841" spans="1:3" x14ac:dyDescent="0.25">
      <c r="A841" t="s">
        <v>40</v>
      </c>
      <c r="B841">
        <v>2013</v>
      </c>
      <c r="C841">
        <v>346.01667357463901</v>
      </c>
    </row>
    <row r="842" spans="1:3" x14ac:dyDescent="0.25">
      <c r="A842" t="s">
        <v>40</v>
      </c>
      <c r="B842">
        <v>2014</v>
      </c>
      <c r="C842">
        <v>401.54191066830077</v>
      </c>
    </row>
    <row r="843" spans="1:3" x14ac:dyDescent="0.25">
      <c r="A843" t="s">
        <v>40</v>
      </c>
      <c r="B843">
        <v>2015</v>
      </c>
      <c r="C843">
        <v>340.13805016478761</v>
      </c>
    </row>
    <row r="844" spans="1:3" x14ac:dyDescent="0.25">
      <c r="A844" t="s">
        <v>40</v>
      </c>
      <c r="B844">
        <v>2016</v>
      </c>
      <c r="C844">
        <v>292.37909384325121</v>
      </c>
    </row>
    <row r="845" spans="1:3" x14ac:dyDescent="0.25">
      <c r="A845" t="s">
        <v>40</v>
      </c>
      <c r="B845">
        <v>2017</v>
      </c>
      <c r="C845">
        <v>298.49338202559397</v>
      </c>
    </row>
    <row r="846" spans="1:3" x14ac:dyDescent="0.25">
      <c r="A846" t="s">
        <v>40</v>
      </c>
      <c r="B846">
        <v>2018</v>
      </c>
      <c r="C846">
        <v>315.26264369729262</v>
      </c>
    </row>
    <row r="847" spans="1:3" x14ac:dyDescent="0.25">
      <c r="A847" t="s">
        <v>40</v>
      </c>
      <c r="B847">
        <v>2019</v>
      </c>
      <c r="C847">
        <v>271.87066650708022</v>
      </c>
    </row>
    <row r="848" spans="1:3" x14ac:dyDescent="0.25">
      <c r="A848" t="s">
        <v>40</v>
      </c>
      <c r="B848">
        <v>2020</v>
      </c>
      <c r="C848">
        <v>240.37166448986039</v>
      </c>
    </row>
    <row r="849" spans="1:3" x14ac:dyDescent="0.25">
      <c r="A849" t="s">
        <v>40</v>
      </c>
      <c r="B849">
        <v>2021</v>
      </c>
      <c r="C849">
        <v>307.68089151206499</v>
      </c>
    </row>
    <row r="850" spans="1:3" x14ac:dyDescent="0.25">
      <c r="A850" t="s">
        <v>40</v>
      </c>
      <c r="B850">
        <v>2022</v>
      </c>
      <c r="C850">
        <v>470.56962130292408</v>
      </c>
    </row>
    <row r="851" spans="1:3" x14ac:dyDescent="0.25">
      <c r="A851" t="s">
        <v>40</v>
      </c>
      <c r="B851">
        <v>2023</v>
      </c>
      <c r="C851">
        <v>427.23722972287737</v>
      </c>
    </row>
    <row r="852" spans="1:3" x14ac:dyDescent="0.25">
      <c r="A852" t="s">
        <v>102</v>
      </c>
      <c r="B852">
        <v>1990</v>
      </c>
      <c r="C852" t="s">
        <v>96</v>
      </c>
    </row>
    <row r="853" spans="1:3" x14ac:dyDescent="0.25">
      <c r="A853" t="s">
        <v>102</v>
      </c>
      <c r="B853">
        <v>1991</v>
      </c>
      <c r="C853" t="s">
        <v>96</v>
      </c>
    </row>
    <row r="854" spans="1:3" x14ac:dyDescent="0.25">
      <c r="A854" t="s">
        <v>102</v>
      </c>
      <c r="B854">
        <v>1992</v>
      </c>
      <c r="C854" t="s">
        <v>96</v>
      </c>
    </row>
    <row r="855" spans="1:3" x14ac:dyDescent="0.25">
      <c r="A855" t="s">
        <v>102</v>
      </c>
      <c r="B855">
        <v>1993</v>
      </c>
      <c r="C855" t="s">
        <v>96</v>
      </c>
    </row>
    <row r="856" spans="1:3" x14ac:dyDescent="0.25">
      <c r="A856" t="s">
        <v>102</v>
      </c>
      <c r="B856">
        <v>1994</v>
      </c>
      <c r="C856" t="s">
        <v>96</v>
      </c>
    </row>
    <row r="857" spans="1:3" x14ac:dyDescent="0.25">
      <c r="A857" t="s">
        <v>102</v>
      </c>
      <c r="B857">
        <v>1995</v>
      </c>
      <c r="C857" t="s">
        <v>96</v>
      </c>
    </row>
    <row r="858" spans="1:3" x14ac:dyDescent="0.25">
      <c r="A858" t="s">
        <v>102</v>
      </c>
      <c r="B858">
        <v>1996</v>
      </c>
      <c r="C858" t="s">
        <v>96</v>
      </c>
    </row>
    <row r="859" spans="1:3" x14ac:dyDescent="0.25">
      <c r="A859" t="s">
        <v>102</v>
      </c>
      <c r="B859">
        <v>1997</v>
      </c>
      <c r="C859" t="s">
        <v>96</v>
      </c>
    </row>
    <row r="860" spans="1:3" x14ac:dyDescent="0.25">
      <c r="A860" t="s">
        <v>102</v>
      </c>
      <c r="B860">
        <v>1998</v>
      </c>
      <c r="C860" t="s">
        <v>96</v>
      </c>
    </row>
    <row r="861" spans="1:3" x14ac:dyDescent="0.25">
      <c r="A861" t="s">
        <v>102</v>
      </c>
      <c r="B861">
        <v>1999</v>
      </c>
      <c r="C861" t="s">
        <v>96</v>
      </c>
    </row>
    <row r="862" spans="1:3" x14ac:dyDescent="0.25">
      <c r="A862" t="s">
        <v>102</v>
      </c>
      <c r="B862">
        <v>2000</v>
      </c>
      <c r="C862" t="s">
        <v>96</v>
      </c>
    </row>
    <row r="863" spans="1:3" x14ac:dyDescent="0.25">
      <c r="A863" t="s">
        <v>102</v>
      </c>
      <c r="B863">
        <v>2001</v>
      </c>
      <c r="C863" t="s">
        <v>96</v>
      </c>
    </row>
    <row r="864" spans="1:3" x14ac:dyDescent="0.25">
      <c r="A864" t="s">
        <v>102</v>
      </c>
      <c r="B864">
        <v>2002</v>
      </c>
      <c r="C864" t="s">
        <v>96</v>
      </c>
    </row>
    <row r="865" spans="1:3" x14ac:dyDescent="0.25">
      <c r="A865" t="s">
        <v>102</v>
      </c>
      <c r="B865">
        <v>2003</v>
      </c>
      <c r="C865" t="s">
        <v>96</v>
      </c>
    </row>
    <row r="866" spans="1:3" x14ac:dyDescent="0.25">
      <c r="A866" t="s">
        <v>102</v>
      </c>
      <c r="B866">
        <v>2004</v>
      </c>
      <c r="C866" t="s">
        <v>96</v>
      </c>
    </row>
    <row r="867" spans="1:3" x14ac:dyDescent="0.25">
      <c r="A867" t="s">
        <v>102</v>
      </c>
      <c r="B867">
        <v>2005</v>
      </c>
      <c r="C867" t="s">
        <v>96</v>
      </c>
    </row>
    <row r="868" spans="1:3" x14ac:dyDescent="0.25">
      <c r="A868" t="s">
        <v>102</v>
      </c>
      <c r="B868">
        <v>2006</v>
      </c>
      <c r="C868" t="s">
        <v>96</v>
      </c>
    </row>
    <row r="869" spans="1:3" x14ac:dyDescent="0.25">
      <c r="A869" t="s">
        <v>102</v>
      </c>
      <c r="B869">
        <v>2007</v>
      </c>
      <c r="C869" t="s">
        <v>96</v>
      </c>
    </row>
    <row r="870" spans="1:3" x14ac:dyDescent="0.25">
      <c r="A870" t="s">
        <v>102</v>
      </c>
      <c r="B870">
        <v>2008</v>
      </c>
      <c r="C870" t="s">
        <v>96</v>
      </c>
    </row>
    <row r="871" spans="1:3" x14ac:dyDescent="0.25">
      <c r="A871" t="s">
        <v>102</v>
      </c>
      <c r="B871">
        <v>2009</v>
      </c>
      <c r="C871" t="s">
        <v>96</v>
      </c>
    </row>
    <row r="872" spans="1:3" x14ac:dyDescent="0.25">
      <c r="A872" t="s">
        <v>102</v>
      </c>
      <c r="B872">
        <v>2010</v>
      </c>
      <c r="C872" t="s">
        <v>96</v>
      </c>
    </row>
    <row r="873" spans="1:3" x14ac:dyDescent="0.25">
      <c r="A873" t="s">
        <v>102</v>
      </c>
      <c r="B873">
        <v>2011</v>
      </c>
      <c r="C873" t="s">
        <v>96</v>
      </c>
    </row>
    <row r="874" spans="1:3" x14ac:dyDescent="0.25">
      <c r="A874" t="s">
        <v>102</v>
      </c>
      <c r="B874">
        <v>2012</v>
      </c>
      <c r="C874" t="s">
        <v>96</v>
      </c>
    </row>
    <row r="875" spans="1:3" x14ac:dyDescent="0.25">
      <c r="A875" t="s">
        <v>102</v>
      </c>
      <c r="B875">
        <v>2013</v>
      </c>
      <c r="C875" t="s">
        <v>96</v>
      </c>
    </row>
    <row r="876" spans="1:3" x14ac:dyDescent="0.25">
      <c r="A876" t="s">
        <v>102</v>
      </c>
      <c r="B876">
        <v>2014</v>
      </c>
      <c r="C876" t="s">
        <v>96</v>
      </c>
    </row>
    <row r="877" spans="1:3" x14ac:dyDescent="0.25">
      <c r="A877" t="s">
        <v>102</v>
      </c>
      <c r="B877">
        <v>2015</v>
      </c>
      <c r="C877" t="s">
        <v>96</v>
      </c>
    </row>
    <row r="878" spans="1:3" x14ac:dyDescent="0.25">
      <c r="A878" t="s">
        <v>102</v>
      </c>
      <c r="B878">
        <v>2016</v>
      </c>
      <c r="C878" t="s">
        <v>96</v>
      </c>
    </row>
    <row r="879" spans="1:3" x14ac:dyDescent="0.25">
      <c r="A879" t="s">
        <v>102</v>
      </c>
      <c r="B879">
        <v>2017</v>
      </c>
      <c r="C879" t="s">
        <v>96</v>
      </c>
    </row>
    <row r="880" spans="1:3" x14ac:dyDescent="0.25">
      <c r="A880" t="s">
        <v>102</v>
      </c>
      <c r="B880">
        <v>2018</v>
      </c>
      <c r="C880" t="s">
        <v>96</v>
      </c>
    </row>
    <row r="881" spans="1:3" x14ac:dyDescent="0.25">
      <c r="A881" t="s">
        <v>102</v>
      </c>
      <c r="B881">
        <v>2019</v>
      </c>
      <c r="C881" t="s">
        <v>96</v>
      </c>
    </row>
    <row r="882" spans="1:3" x14ac:dyDescent="0.25">
      <c r="A882" t="s">
        <v>102</v>
      </c>
      <c r="B882">
        <v>2020</v>
      </c>
      <c r="C882" t="s">
        <v>96</v>
      </c>
    </row>
    <row r="883" spans="1:3" x14ac:dyDescent="0.25">
      <c r="A883" t="s">
        <v>102</v>
      </c>
      <c r="B883">
        <v>2021</v>
      </c>
      <c r="C883" t="s">
        <v>96</v>
      </c>
    </row>
    <row r="884" spans="1:3" x14ac:dyDescent="0.25">
      <c r="A884" t="s">
        <v>102</v>
      </c>
      <c r="B884">
        <v>2022</v>
      </c>
      <c r="C884" t="s">
        <v>96</v>
      </c>
    </row>
    <row r="885" spans="1:3" x14ac:dyDescent="0.25">
      <c r="A885" t="s">
        <v>102</v>
      </c>
      <c r="B885">
        <v>2023</v>
      </c>
      <c r="C885" t="s">
        <v>96</v>
      </c>
    </row>
    <row r="886" spans="1:3" x14ac:dyDescent="0.25">
      <c r="A886" t="s">
        <v>41</v>
      </c>
      <c r="B886">
        <v>1990</v>
      </c>
      <c r="C886" t="s">
        <v>96</v>
      </c>
    </row>
    <row r="887" spans="1:3" x14ac:dyDescent="0.25">
      <c r="A887" t="s">
        <v>41</v>
      </c>
      <c r="B887">
        <v>1991</v>
      </c>
      <c r="C887" t="s">
        <v>96</v>
      </c>
    </row>
    <row r="888" spans="1:3" x14ac:dyDescent="0.25">
      <c r="A888" t="s">
        <v>41</v>
      </c>
      <c r="B888">
        <v>1992</v>
      </c>
      <c r="C888" t="s">
        <v>96</v>
      </c>
    </row>
    <row r="889" spans="1:3" x14ac:dyDescent="0.25">
      <c r="A889" t="s">
        <v>41</v>
      </c>
      <c r="B889">
        <v>1993</v>
      </c>
      <c r="C889" t="s">
        <v>96</v>
      </c>
    </row>
    <row r="890" spans="1:3" x14ac:dyDescent="0.25">
      <c r="A890" t="s">
        <v>41</v>
      </c>
      <c r="B890">
        <v>1994</v>
      </c>
      <c r="C890" t="s">
        <v>96</v>
      </c>
    </row>
    <row r="891" spans="1:3" x14ac:dyDescent="0.25">
      <c r="A891" t="s">
        <v>41</v>
      </c>
      <c r="B891">
        <v>1995</v>
      </c>
      <c r="C891" t="s">
        <v>96</v>
      </c>
    </row>
    <row r="892" spans="1:3" x14ac:dyDescent="0.25">
      <c r="A892" t="s">
        <v>41</v>
      </c>
      <c r="B892">
        <v>1996</v>
      </c>
      <c r="C892" t="s">
        <v>96</v>
      </c>
    </row>
    <row r="893" spans="1:3" x14ac:dyDescent="0.25">
      <c r="A893" t="s">
        <v>41</v>
      </c>
      <c r="B893">
        <v>1997</v>
      </c>
      <c r="C893" t="s">
        <v>96</v>
      </c>
    </row>
    <row r="894" spans="1:3" x14ac:dyDescent="0.25">
      <c r="A894" t="s">
        <v>41</v>
      </c>
      <c r="B894">
        <v>1998</v>
      </c>
      <c r="C894" t="s">
        <v>96</v>
      </c>
    </row>
    <row r="895" spans="1:3" x14ac:dyDescent="0.25">
      <c r="A895" t="s">
        <v>41</v>
      </c>
      <c r="B895">
        <v>1999</v>
      </c>
      <c r="C895" t="s">
        <v>96</v>
      </c>
    </row>
    <row r="896" spans="1:3" x14ac:dyDescent="0.25">
      <c r="A896" t="s">
        <v>41</v>
      </c>
      <c r="B896">
        <v>2000</v>
      </c>
      <c r="C896" t="s">
        <v>96</v>
      </c>
    </row>
    <row r="897" spans="1:3" x14ac:dyDescent="0.25">
      <c r="A897" t="s">
        <v>41</v>
      </c>
      <c r="B897">
        <v>2001</v>
      </c>
      <c r="C897" t="s">
        <v>96</v>
      </c>
    </row>
    <row r="898" spans="1:3" x14ac:dyDescent="0.25">
      <c r="A898" t="s">
        <v>41</v>
      </c>
      <c r="B898">
        <v>2002</v>
      </c>
      <c r="C898" t="s">
        <v>96</v>
      </c>
    </row>
    <row r="899" spans="1:3" x14ac:dyDescent="0.25">
      <c r="A899" t="s">
        <v>41</v>
      </c>
      <c r="B899">
        <v>2003</v>
      </c>
      <c r="C899" t="s">
        <v>96</v>
      </c>
    </row>
    <row r="900" spans="1:3" x14ac:dyDescent="0.25">
      <c r="A900" t="s">
        <v>41</v>
      </c>
      <c r="B900">
        <v>2004</v>
      </c>
      <c r="C900" t="s">
        <v>96</v>
      </c>
    </row>
    <row r="901" spans="1:3" x14ac:dyDescent="0.25">
      <c r="A901" t="s">
        <v>41</v>
      </c>
      <c r="B901">
        <v>2005</v>
      </c>
      <c r="C901" t="s">
        <v>96</v>
      </c>
    </row>
    <row r="902" spans="1:3" x14ac:dyDescent="0.25">
      <c r="A902" t="s">
        <v>41</v>
      </c>
      <c r="B902">
        <v>2006</v>
      </c>
      <c r="C902" t="s">
        <v>96</v>
      </c>
    </row>
    <row r="903" spans="1:3" x14ac:dyDescent="0.25">
      <c r="A903" t="s">
        <v>41</v>
      </c>
      <c r="B903">
        <v>2007</v>
      </c>
      <c r="C903" t="s">
        <v>96</v>
      </c>
    </row>
    <row r="904" spans="1:3" x14ac:dyDescent="0.25">
      <c r="A904" t="s">
        <v>41</v>
      </c>
      <c r="B904">
        <v>2008</v>
      </c>
      <c r="C904" t="s">
        <v>96</v>
      </c>
    </row>
    <row r="905" spans="1:3" x14ac:dyDescent="0.25">
      <c r="A905" t="s">
        <v>41</v>
      </c>
      <c r="B905">
        <v>2009</v>
      </c>
      <c r="C905" t="s">
        <v>96</v>
      </c>
    </row>
    <row r="906" spans="1:3" x14ac:dyDescent="0.25">
      <c r="A906" t="s">
        <v>41</v>
      </c>
      <c r="B906">
        <v>2010</v>
      </c>
      <c r="C906" t="s">
        <v>96</v>
      </c>
    </row>
    <row r="907" spans="1:3" x14ac:dyDescent="0.25">
      <c r="A907" t="s">
        <v>41</v>
      </c>
      <c r="B907">
        <v>2011</v>
      </c>
      <c r="C907" t="s">
        <v>96</v>
      </c>
    </row>
    <row r="908" spans="1:3" x14ac:dyDescent="0.25">
      <c r="A908" t="s">
        <v>41</v>
      </c>
      <c r="B908">
        <v>2012</v>
      </c>
      <c r="C908" t="s">
        <v>96</v>
      </c>
    </row>
    <row r="909" spans="1:3" x14ac:dyDescent="0.25">
      <c r="A909" t="s">
        <v>41</v>
      </c>
      <c r="B909">
        <v>2013</v>
      </c>
      <c r="C909" t="s">
        <v>96</v>
      </c>
    </row>
    <row r="910" spans="1:3" x14ac:dyDescent="0.25">
      <c r="A910" t="s">
        <v>41</v>
      </c>
      <c r="B910">
        <v>2014</v>
      </c>
      <c r="C910" t="s">
        <v>96</v>
      </c>
    </row>
    <row r="911" spans="1:3" x14ac:dyDescent="0.25">
      <c r="A911" t="s">
        <v>41</v>
      </c>
      <c r="B911">
        <v>2015</v>
      </c>
      <c r="C911" t="s">
        <v>96</v>
      </c>
    </row>
    <row r="912" spans="1:3" x14ac:dyDescent="0.25">
      <c r="A912" t="s">
        <v>41</v>
      </c>
      <c r="B912">
        <v>2016</v>
      </c>
      <c r="C912" t="s">
        <v>96</v>
      </c>
    </row>
    <row r="913" spans="1:3" x14ac:dyDescent="0.25">
      <c r="A913" t="s">
        <v>41</v>
      </c>
      <c r="B913">
        <v>2017</v>
      </c>
      <c r="C913" t="s">
        <v>96</v>
      </c>
    </row>
    <row r="914" spans="1:3" x14ac:dyDescent="0.25">
      <c r="A914" t="s">
        <v>41</v>
      </c>
      <c r="B914">
        <v>2018</v>
      </c>
      <c r="C914" t="s">
        <v>96</v>
      </c>
    </row>
    <row r="915" spans="1:3" x14ac:dyDescent="0.25">
      <c r="A915" t="s">
        <v>41</v>
      </c>
      <c r="B915">
        <v>2019</v>
      </c>
      <c r="C915" t="s">
        <v>96</v>
      </c>
    </row>
    <row r="916" spans="1:3" x14ac:dyDescent="0.25">
      <c r="A916" t="s">
        <v>41</v>
      </c>
      <c r="B916">
        <v>2020</v>
      </c>
      <c r="C916" t="s">
        <v>96</v>
      </c>
    </row>
    <row r="917" spans="1:3" x14ac:dyDescent="0.25">
      <c r="A917" t="s">
        <v>41</v>
      </c>
      <c r="B917">
        <v>2021</v>
      </c>
      <c r="C917" t="s">
        <v>96</v>
      </c>
    </row>
    <row r="918" spans="1:3" x14ac:dyDescent="0.25">
      <c r="A918" t="s">
        <v>41</v>
      </c>
      <c r="B918">
        <v>2022</v>
      </c>
      <c r="C918" t="s">
        <v>96</v>
      </c>
    </row>
    <row r="919" spans="1:3" x14ac:dyDescent="0.25">
      <c r="A919" t="s">
        <v>41</v>
      </c>
      <c r="B919">
        <v>2023</v>
      </c>
      <c r="C919" t="s">
        <v>96</v>
      </c>
    </row>
    <row r="920" spans="1:3" x14ac:dyDescent="0.25">
      <c r="A920" t="s">
        <v>104</v>
      </c>
      <c r="B920">
        <v>1990</v>
      </c>
      <c r="C920" t="s">
        <v>96</v>
      </c>
    </row>
    <row r="921" spans="1:3" x14ac:dyDescent="0.25">
      <c r="A921" t="s">
        <v>104</v>
      </c>
      <c r="B921">
        <v>1991</v>
      </c>
      <c r="C921" t="s">
        <v>96</v>
      </c>
    </row>
    <row r="922" spans="1:3" x14ac:dyDescent="0.25">
      <c r="A922" t="s">
        <v>104</v>
      </c>
      <c r="B922">
        <v>1992</v>
      </c>
      <c r="C922" t="s">
        <v>96</v>
      </c>
    </row>
    <row r="923" spans="1:3" x14ac:dyDescent="0.25">
      <c r="A923" t="s">
        <v>104</v>
      </c>
      <c r="B923">
        <v>1993</v>
      </c>
      <c r="C923" t="s">
        <v>96</v>
      </c>
    </row>
    <row r="924" spans="1:3" x14ac:dyDescent="0.25">
      <c r="A924" t="s">
        <v>104</v>
      </c>
      <c r="B924">
        <v>1994</v>
      </c>
      <c r="C924" t="s">
        <v>96</v>
      </c>
    </row>
    <row r="925" spans="1:3" x14ac:dyDescent="0.25">
      <c r="A925" t="s">
        <v>104</v>
      </c>
      <c r="B925">
        <v>1995</v>
      </c>
      <c r="C925" t="s">
        <v>96</v>
      </c>
    </row>
    <row r="926" spans="1:3" x14ac:dyDescent="0.25">
      <c r="A926" t="s">
        <v>104</v>
      </c>
      <c r="B926">
        <v>1996</v>
      </c>
      <c r="C926" t="s">
        <v>96</v>
      </c>
    </row>
    <row r="927" spans="1:3" x14ac:dyDescent="0.25">
      <c r="A927" t="s">
        <v>104</v>
      </c>
      <c r="B927">
        <v>1997</v>
      </c>
      <c r="C927" t="s">
        <v>96</v>
      </c>
    </row>
    <row r="928" spans="1:3" x14ac:dyDescent="0.25">
      <c r="A928" t="s">
        <v>104</v>
      </c>
      <c r="B928">
        <v>1998</v>
      </c>
      <c r="C928" t="s">
        <v>96</v>
      </c>
    </row>
    <row r="929" spans="1:3" x14ac:dyDescent="0.25">
      <c r="A929" t="s">
        <v>104</v>
      </c>
      <c r="B929">
        <v>1999</v>
      </c>
      <c r="C929" t="s">
        <v>96</v>
      </c>
    </row>
    <row r="930" spans="1:3" x14ac:dyDescent="0.25">
      <c r="A930" t="s">
        <v>104</v>
      </c>
      <c r="B930">
        <v>2000</v>
      </c>
      <c r="C930" t="s">
        <v>96</v>
      </c>
    </row>
    <row r="931" spans="1:3" x14ac:dyDescent="0.25">
      <c r="A931" t="s">
        <v>104</v>
      </c>
      <c r="B931">
        <v>2001</v>
      </c>
      <c r="C931" t="s">
        <v>96</v>
      </c>
    </row>
    <row r="932" spans="1:3" x14ac:dyDescent="0.25">
      <c r="A932" t="s">
        <v>104</v>
      </c>
      <c r="B932">
        <v>2002</v>
      </c>
      <c r="C932" t="s">
        <v>96</v>
      </c>
    </row>
    <row r="933" spans="1:3" x14ac:dyDescent="0.25">
      <c r="A933" t="s">
        <v>104</v>
      </c>
      <c r="B933">
        <v>2003</v>
      </c>
      <c r="C933" t="s">
        <v>96</v>
      </c>
    </row>
    <row r="934" spans="1:3" x14ac:dyDescent="0.25">
      <c r="A934" t="s">
        <v>104</v>
      </c>
      <c r="B934">
        <v>2004</v>
      </c>
      <c r="C934" t="s">
        <v>96</v>
      </c>
    </row>
    <row r="935" spans="1:3" x14ac:dyDescent="0.25">
      <c r="A935" t="s">
        <v>104</v>
      </c>
      <c r="B935">
        <v>2005</v>
      </c>
      <c r="C935" t="s">
        <v>96</v>
      </c>
    </row>
    <row r="936" spans="1:3" x14ac:dyDescent="0.25">
      <c r="A936" t="s">
        <v>104</v>
      </c>
      <c r="B936">
        <v>2006</v>
      </c>
      <c r="C936" t="s">
        <v>96</v>
      </c>
    </row>
    <row r="937" spans="1:3" x14ac:dyDescent="0.25">
      <c r="A937" t="s">
        <v>104</v>
      </c>
      <c r="B937">
        <v>2007</v>
      </c>
      <c r="C937" t="s">
        <v>96</v>
      </c>
    </row>
    <row r="938" spans="1:3" x14ac:dyDescent="0.25">
      <c r="A938" t="s">
        <v>104</v>
      </c>
      <c r="B938">
        <v>2008</v>
      </c>
      <c r="C938" t="s">
        <v>96</v>
      </c>
    </row>
    <row r="939" spans="1:3" x14ac:dyDescent="0.25">
      <c r="A939" t="s">
        <v>104</v>
      </c>
      <c r="B939">
        <v>2009</v>
      </c>
      <c r="C939" t="s">
        <v>96</v>
      </c>
    </row>
    <row r="940" spans="1:3" x14ac:dyDescent="0.25">
      <c r="A940" t="s">
        <v>104</v>
      </c>
      <c r="B940">
        <v>2010</v>
      </c>
      <c r="C940" t="s">
        <v>96</v>
      </c>
    </row>
    <row r="941" spans="1:3" x14ac:dyDescent="0.25">
      <c r="A941" t="s">
        <v>104</v>
      </c>
      <c r="B941">
        <v>2011</v>
      </c>
      <c r="C941" t="s">
        <v>96</v>
      </c>
    </row>
    <row r="942" spans="1:3" x14ac:dyDescent="0.25">
      <c r="A942" t="s">
        <v>104</v>
      </c>
      <c r="B942">
        <v>2012</v>
      </c>
      <c r="C942" t="s">
        <v>96</v>
      </c>
    </row>
    <row r="943" spans="1:3" x14ac:dyDescent="0.25">
      <c r="A943" t="s">
        <v>104</v>
      </c>
      <c r="B943">
        <v>2013</v>
      </c>
      <c r="C943" t="s">
        <v>96</v>
      </c>
    </row>
    <row r="944" spans="1:3" x14ac:dyDescent="0.25">
      <c r="A944" t="s">
        <v>104</v>
      </c>
      <c r="B944">
        <v>2014</v>
      </c>
      <c r="C944" t="s">
        <v>96</v>
      </c>
    </row>
    <row r="945" spans="1:3" x14ac:dyDescent="0.25">
      <c r="A945" t="s">
        <v>104</v>
      </c>
      <c r="B945">
        <v>2015</v>
      </c>
      <c r="C945" t="s">
        <v>96</v>
      </c>
    </row>
    <row r="946" spans="1:3" x14ac:dyDescent="0.25">
      <c r="A946" t="s">
        <v>104</v>
      </c>
      <c r="B946">
        <v>2016</v>
      </c>
      <c r="C946" t="s">
        <v>96</v>
      </c>
    </row>
    <row r="947" spans="1:3" x14ac:dyDescent="0.25">
      <c r="A947" t="s">
        <v>104</v>
      </c>
      <c r="B947">
        <v>2017</v>
      </c>
      <c r="C947" t="s">
        <v>96</v>
      </c>
    </row>
    <row r="948" spans="1:3" x14ac:dyDescent="0.25">
      <c r="A948" t="s">
        <v>104</v>
      </c>
      <c r="B948">
        <v>2018</v>
      </c>
      <c r="C948" t="s">
        <v>96</v>
      </c>
    </row>
    <row r="949" spans="1:3" x14ac:dyDescent="0.25">
      <c r="A949" t="s">
        <v>104</v>
      </c>
      <c r="B949">
        <v>2019</v>
      </c>
      <c r="C949" t="s">
        <v>96</v>
      </c>
    </row>
    <row r="950" spans="1:3" x14ac:dyDescent="0.25">
      <c r="A950" t="s">
        <v>104</v>
      </c>
      <c r="B950">
        <v>2020</v>
      </c>
      <c r="C950" t="s">
        <v>96</v>
      </c>
    </row>
    <row r="951" spans="1:3" x14ac:dyDescent="0.25">
      <c r="A951" t="s">
        <v>104</v>
      </c>
      <c r="B951">
        <v>2021</v>
      </c>
      <c r="C951" t="s">
        <v>96</v>
      </c>
    </row>
    <row r="952" spans="1:3" x14ac:dyDescent="0.25">
      <c r="A952" t="s">
        <v>104</v>
      </c>
      <c r="B952">
        <v>2022</v>
      </c>
      <c r="C952" t="s">
        <v>96</v>
      </c>
    </row>
    <row r="953" spans="1:3" x14ac:dyDescent="0.25">
      <c r="A953" t="s">
        <v>104</v>
      </c>
      <c r="B953">
        <v>2023</v>
      </c>
      <c r="C953" t="s">
        <v>96</v>
      </c>
    </row>
    <row r="954" spans="1:3" x14ac:dyDescent="0.25">
      <c r="A954" t="s">
        <v>105</v>
      </c>
      <c r="B954">
        <v>1990</v>
      </c>
      <c r="C954">
        <v>132.78578999999999</v>
      </c>
    </row>
    <row r="955" spans="1:3" x14ac:dyDescent="0.25">
      <c r="A955" t="s">
        <v>105</v>
      </c>
      <c r="B955">
        <v>1991</v>
      </c>
      <c r="C955">
        <v>111.811088</v>
      </c>
    </row>
    <row r="956" spans="1:3" x14ac:dyDescent="0.25">
      <c r="A956" t="s">
        <v>105</v>
      </c>
      <c r="B956">
        <v>1992</v>
      </c>
      <c r="C956">
        <v>105.60723</v>
      </c>
    </row>
    <row r="957" spans="1:3" x14ac:dyDescent="0.25">
      <c r="A957" t="s">
        <v>105</v>
      </c>
      <c r="B957">
        <v>1993</v>
      </c>
      <c r="C957">
        <v>74.769839000000005</v>
      </c>
    </row>
    <row r="958" spans="1:3" x14ac:dyDescent="0.25">
      <c r="A958" t="s">
        <v>105</v>
      </c>
      <c r="B958">
        <v>1994</v>
      </c>
      <c r="C958">
        <v>62.380450000000003</v>
      </c>
    </row>
    <row r="959" spans="1:3" x14ac:dyDescent="0.25">
      <c r="A959" t="s">
        <v>105</v>
      </c>
      <c r="B959">
        <v>1995</v>
      </c>
      <c r="C959">
        <v>75.197029999999998</v>
      </c>
    </row>
    <row r="960" spans="1:3" x14ac:dyDescent="0.25">
      <c r="A960" t="s">
        <v>105</v>
      </c>
      <c r="B960">
        <v>1996</v>
      </c>
      <c r="C960">
        <v>63.489674000000001</v>
      </c>
    </row>
    <row r="961" spans="1:3" x14ac:dyDescent="0.25">
      <c r="A961" t="s">
        <v>105</v>
      </c>
      <c r="B961">
        <v>1997</v>
      </c>
      <c r="C961">
        <v>74.653695999999997</v>
      </c>
    </row>
    <row r="962" spans="1:3" x14ac:dyDescent="0.25">
      <c r="A962" t="s">
        <v>105</v>
      </c>
      <c r="B962">
        <v>1998</v>
      </c>
      <c r="C962">
        <v>49.232740000000007</v>
      </c>
    </row>
    <row r="963" spans="1:3" x14ac:dyDescent="0.25">
      <c r="A963" t="s">
        <v>105</v>
      </c>
      <c r="B963">
        <v>1999</v>
      </c>
      <c r="C963">
        <v>64.608630000000005</v>
      </c>
    </row>
    <row r="964" spans="1:3" x14ac:dyDescent="0.25">
      <c r="A964" t="s">
        <v>105</v>
      </c>
      <c r="B964">
        <v>2000</v>
      </c>
      <c r="C964">
        <v>75.954250999999999</v>
      </c>
    </row>
    <row r="965" spans="1:3" x14ac:dyDescent="0.25">
      <c r="A965" t="s">
        <v>105</v>
      </c>
      <c r="B965">
        <v>2001</v>
      </c>
      <c r="C965">
        <v>33.485574</v>
      </c>
    </row>
    <row r="966" spans="1:3" x14ac:dyDescent="0.25">
      <c r="A966" t="s">
        <v>105</v>
      </c>
      <c r="B966">
        <v>2002</v>
      </c>
      <c r="C966">
        <v>34.000180999999998</v>
      </c>
    </row>
    <row r="967" spans="1:3" x14ac:dyDescent="0.25">
      <c r="A967" t="s">
        <v>105</v>
      </c>
      <c r="B967">
        <v>2003</v>
      </c>
      <c r="C967">
        <v>35.900206400000002</v>
      </c>
    </row>
    <row r="968" spans="1:3" x14ac:dyDescent="0.25">
      <c r="A968" t="s">
        <v>105</v>
      </c>
      <c r="B968">
        <v>2004</v>
      </c>
      <c r="C968">
        <v>22.497904299999998</v>
      </c>
    </row>
    <row r="969" spans="1:3" x14ac:dyDescent="0.25">
      <c r="A969" t="s">
        <v>105</v>
      </c>
      <c r="B969">
        <v>2005</v>
      </c>
      <c r="C969">
        <v>35.703037000000002</v>
      </c>
    </row>
    <row r="970" spans="1:3" x14ac:dyDescent="0.25">
      <c r="A970" t="s">
        <v>105</v>
      </c>
      <c r="B970">
        <v>2006</v>
      </c>
      <c r="C970">
        <v>23.715337300000002</v>
      </c>
    </row>
    <row r="971" spans="1:3" x14ac:dyDescent="0.25">
      <c r="A971" t="s">
        <v>105</v>
      </c>
      <c r="B971">
        <v>2007</v>
      </c>
      <c r="C971">
        <v>7.9763110000000008</v>
      </c>
    </row>
    <row r="972" spans="1:3" x14ac:dyDescent="0.25">
      <c r="A972" t="s">
        <v>105</v>
      </c>
      <c r="B972">
        <v>2008</v>
      </c>
      <c r="C972">
        <v>30.609983</v>
      </c>
    </row>
    <row r="973" spans="1:3" x14ac:dyDescent="0.25">
      <c r="A973" t="s">
        <v>105</v>
      </c>
      <c r="B973">
        <v>2009</v>
      </c>
      <c r="C973">
        <v>38.097562000000003</v>
      </c>
    </row>
    <row r="974" spans="1:3" x14ac:dyDescent="0.25">
      <c r="A974" t="s">
        <v>105</v>
      </c>
      <c r="B974">
        <v>2010</v>
      </c>
      <c r="C974">
        <v>42.521388000000002</v>
      </c>
    </row>
    <row r="975" spans="1:3" x14ac:dyDescent="0.25">
      <c r="A975" t="s">
        <v>105</v>
      </c>
      <c r="B975">
        <v>2011</v>
      </c>
      <c r="C975">
        <v>33.056215999999999</v>
      </c>
    </row>
    <row r="976" spans="1:3" x14ac:dyDescent="0.25">
      <c r="A976" t="s">
        <v>105</v>
      </c>
      <c r="B976">
        <v>2012</v>
      </c>
      <c r="C976">
        <v>28.027602000000002</v>
      </c>
    </row>
    <row r="977" spans="1:3" x14ac:dyDescent="0.25">
      <c r="A977" t="s">
        <v>105</v>
      </c>
      <c r="B977">
        <v>2013</v>
      </c>
      <c r="C977">
        <v>33.600960999999998</v>
      </c>
    </row>
    <row r="978" spans="1:3" x14ac:dyDescent="0.25">
      <c r="A978" t="s">
        <v>105</v>
      </c>
      <c r="B978">
        <v>2014</v>
      </c>
      <c r="C978">
        <v>31.417787000000001</v>
      </c>
    </row>
    <row r="979" spans="1:3" x14ac:dyDescent="0.25">
      <c r="A979" t="s">
        <v>105</v>
      </c>
      <c r="B979">
        <v>2015</v>
      </c>
      <c r="C979">
        <v>21.011979</v>
      </c>
    </row>
    <row r="980" spans="1:3" x14ac:dyDescent="0.25">
      <c r="A980" t="s">
        <v>105</v>
      </c>
      <c r="B980">
        <v>2016</v>
      </c>
      <c r="C980">
        <v>30.313503000000001</v>
      </c>
    </row>
    <row r="981" spans="1:3" x14ac:dyDescent="0.25">
      <c r="A981" t="s">
        <v>105</v>
      </c>
      <c r="B981">
        <v>2017</v>
      </c>
      <c r="C981">
        <v>24.222935</v>
      </c>
    </row>
    <row r="982" spans="1:3" x14ac:dyDescent="0.25">
      <c r="A982" t="s">
        <v>105</v>
      </c>
      <c r="B982">
        <v>2018</v>
      </c>
      <c r="C982">
        <v>18.354797999999999</v>
      </c>
    </row>
    <row r="983" spans="1:3" x14ac:dyDescent="0.25">
      <c r="A983" t="s">
        <v>105</v>
      </c>
      <c r="B983">
        <v>2019</v>
      </c>
      <c r="C983">
        <v>20.077836999999999</v>
      </c>
    </row>
    <row r="984" spans="1:3" x14ac:dyDescent="0.25">
      <c r="A984" t="s">
        <v>105</v>
      </c>
      <c r="B984">
        <v>2020</v>
      </c>
      <c r="C984">
        <v>18.76848</v>
      </c>
    </row>
    <row r="985" spans="1:3" x14ac:dyDescent="0.25">
      <c r="A985" t="s">
        <v>105</v>
      </c>
      <c r="B985">
        <v>2021</v>
      </c>
      <c r="C985">
        <v>20.223873000000001</v>
      </c>
    </row>
    <row r="986" spans="1:3" x14ac:dyDescent="0.25">
      <c r="A986" t="s">
        <v>105</v>
      </c>
      <c r="B986">
        <v>2022</v>
      </c>
      <c r="C986">
        <v>17.165842999999999</v>
      </c>
    </row>
    <row r="987" spans="1:3" x14ac:dyDescent="0.25">
      <c r="A987" t="s">
        <v>105</v>
      </c>
      <c r="B987">
        <v>2023</v>
      </c>
      <c r="C987">
        <v>17.383597000000002</v>
      </c>
    </row>
    <row r="988" spans="1:3" x14ac:dyDescent="0.25">
      <c r="A988" t="s">
        <v>43</v>
      </c>
      <c r="B988">
        <v>1990</v>
      </c>
      <c r="C988">
        <v>442.44409090909102</v>
      </c>
    </row>
    <row r="989" spans="1:3" x14ac:dyDescent="0.25">
      <c r="A989" t="s">
        <v>43</v>
      </c>
      <c r="B989">
        <v>1991</v>
      </c>
      <c r="C989">
        <v>400.58263636363642</v>
      </c>
    </row>
    <row r="990" spans="1:3" x14ac:dyDescent="0.25">
      <c r="A990" t="s">
        <v>43</v>
      </c>
      <c r="B990">
        <v>1992</v>
      </c>
      <c r="C990">
        <v>468.34854545454539</v>
      </c>
    </row>
    <row r="991" spans="1:3" x14ac:dyDescent="0.25">
      <c r="A991" t="s">
        <v>43</v>
      </c>
      <c r="B991">
        <v>1993</v>
      </c>
      <c r="C991">
        <v>524.24836363636359</v>
      </c>
    </row>
    <row r="992" spans="1:3" x14ac:dyDescent="0.25">
      <c r="A992" t="s">
        <v>43</v>
      </c>
      <c r="B992">
        <v>1994</v>
      </c>
      <c r="C992">
        <v>625.58181818181822</v>
      </c>
    </row>
    <row r="993" spans="1:3" x14ac:dyDescent="0.25">
      <c r="A993" t="s">
        <v>43</v>
      </c>
      <c r="B993">
        <v>1995</v>
      </c>
      <c r="C993">
        <v>540.33054545454547</v>
      </c>
    </row>
    <row r="994" spans="1:3" x14ac:dyDescent="0.25">
      <c r="A994" t="s">
        <v>43</v>
      </c>
      <c r="B994">
        <v>1996</v>
      </c>
      <c r="C994">
        <v>540.77481818181832</v>
      </c>
    </row>
    <row r="995" spans="1:3" x14ac:dyDescent="0.25">
      <c r="A995" t="s">
        <v>43</v>
      </c>
      <c r="B995">
        <v>1997</v>
      </c>
      <c r="C995">
        <v>607.09090909090924</v>
      </c>
    </row>
    <row r="996" spans="1:3" x14ac:dyDescent="0.25">
      <c r="A996" t="s">
        <v>43</v>
      </c>
      <c r="B996">
        <v>1998</v>
      </c>
      <c r="C996">
        <v>696.3725454545455</v>
      </c>
    </row>
    <row r="997" spans="1:3" x14ac:dyDescent="0.25">
      <c r="A997" t="s">
        <v>43</v>
      </c>
      <c r="B997">
        <v>1999</v>
      </c>
      <c r="C997">
        <v>873.20372727272729</v>
      </c>
    </row>
    <row r="998" spans="1:3" x14ac:dyDescent="0.25">
      <c r="A998" t="s">
        <v>43</v>
      </c>
      <c r="B998">
        <v>2000</v>
      </c>
      <c r="C998">
        <v>957.18730909090903</v>
      </c>
    </row>
    <row r="999" spans="1:3" x14ac:dyDescent="0.25">
      <c r="A999" t="s">
        <v>43</v>
      </c>
      <c r="B999">
        <v>2001</v>
      </c>
      <c r="C999">
        <v>899.72431363636372</v>
      </c>
    </row>
    <row r="1000" spans="1:3" x14ac:dyDescent="0.25">
      <c r="A1000" t="s">
        <v>43</v>
      </c>
      <c r="B1000">
        <v>2002</v>
      </c>
      <c r="C1000">
        <v>944.18672727272724</v>
      </c>
    </row>
    <row r="1001" spans="1:3" x14ac:dyDescent="0.25">
      <c r="A1001" t="s">
        <v>43</v>
      </c>
      <c r="B1001">
        <v>2003</v>
      </c>
      <c r="C1001">
        <v>1045.548</v>
      </c>
    </row>
    <row r="1002" spans="1:3" x14ac:dyDescent="0.25">
      <c r="A1002" t="s">
        <v>43</v>
      </c>
      <c r="B1002">
        <v>2004</v>
      </c>
      <c r="C1002">
        <v>1228.080272727273</v>
      </c>
    </row>
    <row r="1003" spans="1:3" x14ac:dyDescent="0.25">
      <c r="A1003" t="s">
        <v>43</v>
      </c>
      <c r="B1003">
        <v>2005</v>
      </c>
      <c r="C1003">
        <v>1151.6530909090909</v>
      </c>
    </row>
    <row r="1004" spans="1:3" x14ac:dyDescent="0.25">
      <c r="A1004" t="s">
        <v>43</v>
      </c>
      <c r="B1004">
        <v>2006</v>
      </c>
      <c r="C1004">
        <v>1241.3673818181819</v>
      </c>
    </row>
    <row r="1005" spans="1:3" x14ac:dyDescent="0.25">
      <c r="A1005" t="s">
        <v>43</v>
      </c>
      <c r="B1005">
        <v>2007</v>
      </c>
      <c r="C1005">
        <v>1419.6868609090909</v>
      </c>
    </row>
    <row r="1006" spans="1:3" x14ac:dyDescent="0.25">
      <c r="A1006" t="s">
        <v>43</v>
      </c>
      <c r="B1006">
        <v>2008</v>
      </c>
      <c r="C1006">
        <v>1330.667206363637</v>
      </c>
    </row>
    <row r="1007" spans="1:3" x14ac:dyDescent="0.25">
      <c r="A1007" t="s">
        <v>43</v>
      </c>
      <c r="B1007">
        <v>2009</v>
      </c>
      <c r="C1007">
        <v>1329.260953090909</v>
      </c>
    </row>
    <row r="1008" spans="1:3" x14ac:dyDescent="0.25">
      <c r="A1008" t="s">
        <v>43</v>
      </c>
      <c r="B1008">
        <v>2010</v>
      </c>
      <c r="C1008">
        <v>1406.393869090909</v>
      </c>
    </row>
    <row r="1009" spans="1:3" x14ac:dyDescent="0.25">
      <c r="A1009" t="s">
        <v>43</v>
      </c>
      <c r="B1009">
        <v>2011</v>
      </c>
      <c r="C1009">
        <v>1428.3792736363639</v>
      </c>
    </row>
    <row r="1010" spans="1:3" x14ac:dyDescent="0.25">
      <c r="A1010" t="s">
        <v>43</v>
      </c>
      <c r="B1010">
        <v>2012</v>
      </c>
      <c r="C1010">
        <v>1423.367041090909</v>
      </c>
    </row>
    <row r="1011" spans="1:3" x14ac:dyDescent="0.25">
      <c r="A1011" t="s">
        <v>43</v>
      </c>
      <c r="B1011">
        <v>2013</v>
      </c>
      <c r="C1011">
        <v>1461.735184909091</v>
      </c>
    </row>
    <row r="1012" spans="1:3" x14ac:dyDescent="0.25">
      <c r="A1012" t="s">
        <v>43</v>
      </c>
      <c r="B1012">
        <v>2014</v>
      </c>
      <c r="C1012">
        <v>1476.3511489090911</v>
      </c>
    </row>
    <row r="1013" spans="1:3" x14ac:dyDescent="0.25">
      <c r="A1013" t="s">
        <v>43</v>
      </c>
      <c r="B1013">
        <v>2015</v>
      </c>
      <c r="C1013">
        <v>1537.3957254545451</v>
      </c>
    </row>
    <row r="1014" spans="1:3" x14ac:dyDescent="0.25">
      <c r="A1014" t="s">
        <v>43</v>
      </c>
      <c r="B1014">
        <v>2016</v>
      </c>
      <c r="C1014">
        <v>1625.1924550909091</v>
      </c>
    </row>
    <row r="1015" spans="1:3" x14ac:dyDescent="0.25">
      <c r="A1015" t="s">
        <v>43</v>
      </c>
      <c r="B1015">
        <v>2017</v>
      </c>
      <c r="C1015">
        <v>1688.35617</v>
      </c>
    </row>
    <row r="1016" spans="1:3" x14ac:dyDescent="0.25">
      <c r="A1016" t="s">
        <v>43</v>
      </c>
      <c r="B1016">
        <v>2018</v>
      </c>
      <c r="C1016">
        <v>1729.377823090909</v>
      </c>
    </row>
    <row r="1017" spans="1:3" x14ac:dyDescent="0.25">
      <c r="A1017" t="s">
        <v>43</v>
      </c>
      <c r="B1017">
        <v>2019</v>
      </c>
      <c r="C1017">
        <v>1739.4135349090909</v>
      </c>
    </row>
    <row r="1018" spans="1:3" x14ac:dyDescent="0.25">
      <c r="A1018" t="s">
        <v>43</v>
      </c>
      <c r="B1018">
        <v>2020</v>
      </c>
      <c r="C1018">
        <v>1754.117810181818</v>
      </c>
    </row>
    <row r="1019" spans="1:3" x14ac:dyDescent="0.25">
      <c r="A1019" t="s">
        <v>43</v>
      </c>
      <c r="B1019">
        <v>2021</v>
      </c>
      <c r="C1019">
        <v>1899.5987929090909</v>
      </c>
    </row>
    <row r="1020" spans="1:3" x14ac:dyDescent="0.25">
      <c r="A1020" t="s">
        <v>43</v>
      </c>
      <c r="B1020">
        <v>2022</v>
      </c>
      <c r="C1020">
        <v>1726.805454545454</v>
      </c>
    </row>
    <row r="1021" spans="1:3" x14ac:dyDescent="0.25">
      <c r="A1021" t="s">
        <v>43</v>
      </c>
      <c r="B1021">
        <v>2023</v>
      </c>
      <c r="C1021">
        <v>1733.555454545454</v>
      </c>
    </row>
    <row r="1022" spans="1:3" x14ac:dyDescent="0.25">
      <c r="A1022" t="s">
        <v>44</v>
      </c>
      <c r="B1022">
        <v>1990</v>
      </c>
      <c r="C1022" t="s">
        <v>96</v>
      </c>
    </row>
    <row r="1023" spans="1:3" x14ac:dyDescent="0.25">
      <c r="A1023" t="s">
        <v>44</v>
      </c>
      <c r="B1023">
        <v>1991</v>
      </c>
      <c r="C1023" t="s">
        <v>96</v>
      </c>
    </row>
    <row r="1024" spans="1:3" x14ac:dyDescent="0.25">
      <c r="A1024" t="s">
        <v>44</v>
      </c>
      <c r="B1024">
        <v>1992</v>
      </c>
      <c r="C1024" t="s">
        <v>96</v>
      </c>
    </row>
    <row r="1025" spans="1:3" x14ac:dyDescent="0.25">
      <c r="A1025" t="s">
        <v>44</v>
      </c>
      <c r="B1025">
        <v>1993</v>
      </c>
      <c r="C1025" t="s">
        <v>96</v>
      </c>
    </row>
    <row r="1026" spans="1:3" x14ac:dyDescent="0.25">
      <c r="A1026" t="s">
        <v>44</v>
      </c>
      <c r="B1026">
        <v>1994</v>
      </c>
      <c r="C1026" t="s">
        <v>96</v>
      </c>
    </row>
    <row r="1027" spans="1:3" x14ac:dyDescent="0.25">
      <c r="A1027" t="s">
        <v>44</v>
      </c>
      <c r="B1027">
        <v>1995</v>
      </c>
      <c r="C1027" t="s">
        <v>96</v>
      </c>
    </row>
    <row r="1028" spans="1:3" x14ac:dyDescent="0.25">
      <c r="A1028" t="s">
        <v>44</v>
      </c>
      <c r="B1028">
        <v>1996</v>
      </c>
      <c r="C1028" t="s">
        <v>96</v>
      </c>
    </row>
    <row r="1029" spans="1:3" x14ac:dyDescent="0.25">
      <c r="A1029" t="s">
        <v>44</v>
      </c>
      <c r="B1029">
        <v>1997</v>
      </c>
      <c r="C1029" t="s">
        <v>96</v>
      </c>
    </row>
    <row r="1030" spans="1:3" x14ac:dyDescent="0.25">
      <c r="A1030" t="s">
        <v>44</v>
      </c>
      <c r="B1030">
        <v>1998</v>
      </c>
      <c r="C1030" t="s">
        <v>96</v>
      </c>
    </row>
    <row r="1031" spans="1:3" x14ac:dyDescent="0.25">
      <c r="A1031" t="s">
        <v>44</v>
      </c>
      <c r="B1031">
        <v>1999</v>
      </c>
      <c r="C1031" t="s">
        <v>96</v>
      </c>
    </row>
    <row r="1032" spans="1:3" x14ac:dyDescent="0.25">
      <c r="A1032" t="s">
        <v>44</v>
      </c>
      <c r="B1032">
        <v>2000</v>
      </c>
      <c r="C1032" t="s">
        <v>96</v>
      </c>
    </row>
    <row r="1033" spans="1:3" x14ac:dyDescent="0.25">
      <c r="A1033" t="s">
        <v>44</v>
      </c>
      <c r="B1033">
        <v>2001</v>
      </c>
      <c r="C1033" t="s">
        <v>96</v>
      </c>
    </row>
    <row r="1034" spans="1:3" x14ac:dyDescent="0.25">
      <c r="A1034" t="s">
        <v>44</v>
      </c>
      <c r="B1034">
        <v>2002</v>
      </c>
      <c r="C1034" t="s">
        <v>96</v>
      </c>
    </row>
    <row r="1035" spans="1:3" x14ac:dyDescent="0.25">
      <c r="A1035" t="s">
        <v>44</v>
      </c>
      <c r="B1035">
        <v>2003</v>
      </c>
      <c r="C1035" t="s">
        <v>96</v>
      </c>
    </row>
    <row r="1036" spans="1:3" x14ac:dyDescent="0.25">
      <c r="A1036" t="s">
        <v>44</v>
      </c>
      <c r="B1036">
        <v>2004</v>
      </c>
      <c r="C1036" t="s">
        <v>96</v>
      </c>
    </row>
    <row r="1037" spans="1:3" x14ac:dyDescent="0.25">
      <c r="A1037" t="s">
        <v>44</v>
      </c>
      <c r="B1037">
        <v>2005</v>
      </c>
      <c r="C1037" t="s">
        <v>96</v>
      </c>
    </row>
    <row r="1038" spans="1:3" x14ac:dyDescent="0.25">
      <c r="A1038" t="s">
        <v>44</v>
      </c>
      <c r="B1038">
        <v>2006</v>
      </c>
      <c r="C1038" t="s">
        <v>96</v>
      </c>
    </row>
    <row r="1039" spans="1:3" x14ac:dyDescent="0.25">
      <c r="A1039" t="s">
        <v>44</v>
      </c>
      <c r="B1039">
        <v>2007</v>
      </c>
      <c r="C1039" t="s">
        <v>96</v>
      </c>
    </row>
    <row r="1040" spans="1:3" x14ac:dyDescent="0.25">
      <c r="A1040" t="s">
        <v>44</v>
      </c>
      <c r="B1040">
        <v>2008</v>
      </c>
      <c r="C1040" t="s">
        <v>96</v>
      </c>
    </row>
    <row r="1041" spans="1:3" x14ac:dyDescent="0.25">
      <c r="A1041" t="s">
        <v>44</v>
      </c>
      <c r="B1041">
        <v>2009</v>
      </c>
      <c r="C1041" t="s">
        <v>96</v>
      </c>
    </row>
    <row r="1042" spans="1:3" x14ac:dyDescent="0.25">
      <c r="A1042" t="s">
        <v>44</v>
      </c>
      <c r="B1042">
        <v>2010</v>
      </c>
      <c r="C1042" t="s">
        <v>96</v>
      </c>
    </row>
    <row r="1043" spans="1:3" x14ac:dyDescent="0.25">
      <c r="A1043" t="s">
        <v>44</v>
      </c>
      <c r="B1043">
        <v>2011</v>
      </c>
      <c r="C1043" t="s">
        <v>96</v>
      </c>
    </row>
    <row r="1044" spans="1:3" x14ac:dyDescent="0.25">
      <c r="A1044" t="s">
        <v>44</v>
      </c>
      <c r="B1044">
        <v>2012</v>
      </c>
      <c r="C1044" t="s">
        <v>96</v>
      </c>
    </row>
    <row r="1045" spans="1:3" x14ac:dyDescent="0.25">
      <c r="A1045" t="s">
        <v>44</v>
      </c>
      <c r="B1045">
        <v>2013</v>
      </c>
      <c r="C1045" t="s">
        <v>96</v>
      </c>
    </row>
    <row r="1046" spans="1:3" x14ac:dyDescent="0.25">
      <c r="A1046" t="s">
        <v>44</v>
      </c>
      <c r="B1046">
        <v>2014</v>
      </c>
      <c r="C1046" t="s">
        <v>96</v>
      </c>
    </row>
    <row r="1047" spans="1:3" x14ac:dyDescent="0.25">
      <c r="A1047" t="s">
        <v>44</v>
      </c>
      <c r="B1047">
        <v>2015</v>
      </c>
      <c r="C1047" t="s">
        <v>96</v>
      </c>
    </row>
    <row r="1048" spans="1:3" x14ac:dyDescent="0.25">
      <c r="A1048" t="s">
        <v>44</v>
      </c>
      <c r="B1048">
        <v>2016</v>
      </c>
      <c r="C1048" t="s">
        <v>96</v>
      </c>
    </row>
    <row r="1049" spans="1:3" x14ac:dyDescent="0.25">
      <c r="A1049" t="s">
        <v>44</v>
      </c>
      <c r="B1049">
        <v>2017</v>
      </c>
      <c r="C1049" t="s">
        <v>96</v>
      </c>
    </row>
    <row r="1050" spans="1:3" x14ac:dyDescent="0.25">
      <c r="A1050" t="s">
        <v>44</v>
      </c>
      <c r="B1050">
        <v>2018</v>
      </c>
      <c r="C1050" t="s">
        <v>96</v>
      </c>
    </row>
    <row r="1051" spans="1:3" x14ac:dyDescent="0.25">
      <c r="A1051" t="s">
        <v>44</v>
      </c>
      <c r="B1051">
        <v>2019</v>
      </c>
      <c r="C1051" t="s">
        <v>96</v>
      </c>
    </row>
    <row r="1052" spans="1:3" x14ac:dyDescent="0.25">
      <c r="A1052" t="s">
        <v>44</v>
      </c>
      <c r="B1052">
        <v>2020</v>
      </c>
      <c r="C1052" t="s">
        <v>96</v>
      </c>
    </row>
    <row r="1053" spans="1:3" x14ac:dyDescent="0.25">
      <c r="A1053" t="s">
        <v>44</v>
      </c>
      <c r="B1053">
        <v>2021</v>
      </c>
      <c r="C1053" t="s">
        <v>96</v>
      </c>
    </row>
    <row r="1054" spans="1:3" x14ac:dyDescent="0.25">
      <c r="A1054" t="s">
        <v>44</v>
      </c>
      <c r="B1054">
        <v>2022</v>
      </c>
      <c r="C1054" t="s">
        <v>96</v>
      </c>
    </row>
    <row r="1055" spans="1:3" x14ac:dyDescent="0.25">
      <c r="A1055" t="s">
        <v>44</v>
      </c>
      <c r="B1055">
        <v>2023</v>
      </c>
      <c r="C1055" t="s">
        <v>96</v>
      </c>
    </row>
    <row r="1056" spans="1:3" x14ac:dyDescent="0.25">
      <c r="A1056" t="s">
        <v>45</v>
      </c>
      <c r="B1056">
        <v>1990</v>
      </c>
      <c r="C1056" t="s">
        <v>96</v>
      </c>
    </row>
    <row r="1057" spans="1:3" x14ac:dyDescent="0.25">
      <c r="A1057" t="s">
        <v>45</v>
      </c>
      <c r="B1057">
        <v>1991</v>
      </c>
      <c r="C1057" t="s">
        <v>96</v>
      </c>
    </row>
    <row r="1058" spans="1:3" x14ac:dyDescent="0.25">
      <c r="A1058" t="s">
        <v>45</v>
      </c>
      <c r="B1058">
        <v>1992</v>
      </c>
      <c r="C1058" t="s">
        <v>96</v>
      </c>
    </row>
    <row r="1059" spans="1:3" x14ac:dyDescent="0.25">
      <c r="A1059" t="s">
        <v>45</v>
      </c>
      <c r="B1059">
        <v>1993</v>
      </c>
      <c r="C1059" t="s">
        <v>96</v>
      </c>
    </row>
    <row r="1060" spans="1:3" x14ac:dyDescent="0.25">
      <c r="A1060" t="s">
        <v>45</v>
      </c>
      <c r="B1060">
        <v>1994</v>
      </c>
      <c r="C1060" t="s">
        <v>96</v>
      </c>
    </row>
    <row r="1061" spans="1:3" x14ac:dyDescent="0.25">
      <c r="A1061" t="s">
        <v>45</v>
      </c>
      <c r="B1061">
        <v>1995</v>
      </c>
      <c r="C1061" t="s">
        <v>96</v>
      </c>
    </row>
    <row r="1062" spans="1:3" x14ac:dyDescent="0.25">
      <c r="A1062" t="s">
        <v>45</v>
      </c>
      <c r="B1062">
        <v>1996</v>
      </c>
      <c r="C1062" t="s">
        <v>96</v>
      </c>
    </row>
    <row r="1063" spans="1:3" x14ac:dyDescent="0.25">
      <c r="A1063" t="s">
        <v>45</v>
      </c>
      <c r="B1063">
        <v>1997</v>
      </c>
      <c r="C1063" t="s">
        <v>96</v>
      </c>
    </row>
    <row r="1064" spans="1:3" x14ac:dyDescent="0.25">
      <c r="A1064" t="s">
        <v>45</v>
      </c>
      <c r="B1064">
        <v>1998</v>
      </c>
      <c r="C1064" t="s">
        <v>96</v>
      </c>
    </row>
    <row r="1065" spans="1:3" x14ac:dyDescent="0.25">
      <c r="A1065" t="s">
        <v>45</v>
      </c>
      <c r="B1065">
        <v>1999</v>
      </c>
      <c r="C1065" t="s">
        <v>96</v>
      </c>
    </row>
    <row r="1066" spans="1:3" x14ac:dyDescent="0.25">
      <c r="A1066" t="s">
        <v>45</v>
      </c>
      <c r="B1066">
        <v>2000</v>
      </c>
      <c r="C1066" t="s">
        <v>96</v>
      </c>
    </row>
    <row r="1067" spans="1:3" x14ac:dyDescent="0.25">
      <c r="A1067" t="s">
        <v>45</v>
      </c>
      <c r="B1067">
        <v>2001</v>
      </c>
      <c r="C1067" t="s">
        <v>96</v>
      </c>
    </row>
    <row r="1068" spans="1:3" x14ac:dyDescent="0.25">
      <c r="A1068" t="s">
        <v>45</v>
      </c>
      <c r="B1068">
        <v>2002</v>
      </c>
      <c r="C1068" t="s">
        <v>96</v>
      </c>
    </row>
    <row r="1069" spans="1:3" x14ac:dyDescent="0.25">
      <c r="A1069" t="s">
        <v>45</v>
      </c>
      <c r="B1069">
        <v>2003</v>
      </c>
      <c r="C1069" t="s">
        <v>96</v>
      </c>
    </row>
    <row r="1070" spans="1:3" x14ac:dyDescent="0.25">
      <c r="A1070" t="s">
        <v>45</v>
      </c>
      <c r="B1070">
        <v>2004</v>
      </c>
      <c r="C1070" t="s">
        <v>96</v>
      </c>
    </row>
    <row r="1071" spans="1:3" x14ac:dyDescent="0.25">
      <c r="A1071" t="s">
        <v>45</v>
      </c>
      <c r="B1071">
        <v>2005</v>
      </c>
      <c r="C1071" t="s">
        <v>96</v>
      </c>
    </row>
    <row r="1072" spans="1:3" x14ac:dyDescent="0.25">
      <c r="A1072" t="s">
        <v>45</v>
      </c>
      <c r="B1072">
        <v>2006</v>
      </c>
      <c r="C1072" t="s">
        <v>96</v>
      </c>
    </row>
    <row r="1073" spans="1:3" x14ac:dyDescent="0.25">
      <c r="A1073" t="s">
        <v>45</v>
      </c>
      <c r="B1073">
        <v>2007</v>
      </c>
      <c r="C1073" t="s">
        <v>96</v>
      </c>
    </row>
    <row r="1074" spans="1:3" x14ac:dyDescent="0.25">
      <c r="A1074" t="s">
        <v>45</v>
      </c>
      <c r="B1074">
        <v>2008</v>
      </c>
      <c r="C1074" t="s">
        <v>96</v>
      </c>
    </row>
    <row r="1075" spans="1:3" x14ac:dyDescent="0.25">
      <c r="A1075" t="s">
        <v>45</v>
      </c>
      <c r="B1075">
        <v>2009</v>
      </c>
      <c r="C1075" t="s">
        <v>96</v>
      </c>
    </row>
    <row r="1076" spans="1:3" x14ac:dyDescent="0.25">
      <c r="A1076" t="s">
        <v>45</v>
      </c>
      <c r="B1076">
        <v>2010</v>
      </c>
      <c r="C1076" t="s">
        <v>96</v>
      </c>
    </row>
    <row r="1077" spans="1:3" x14ac:dyDescent="0.25">
      <c r="A1077" t="s">
        <v>45</v>
      </c>
      <c r="B1077">
        <v>2011</v>
      </c>
      <c r="C1077" t="s">
        <v>96</v>
      </c>
    </row>
    <row r="1078" spans="1:3" x14ac:dyDescent="0.25">
      <c r="A1078" t="s">
        <v>45</v>
      </c>
      <c r="B1078">
        <v>2012</v>
      </c>
      <c r="C1078" t="s">
        <v>96</v>
      </c>
    </row>
    <row r="1079" spans="1:3" x14ac:dyDescent="0.25">
      <c r="A1079" t="s">
        <v>45</v>
      </c>
      <c r="B1079">
        <v>2013</v>
      </c>
      <c r="C1079" t="s">
        <v>96</v>
      </c>
    </row>
    <row r="1080" spans="1:3" x14ac:dyDescent="0.25">
      <c r="A1080" t="s">
        <v>45</v>
      </c>
      <c r="B1080">
        <v>2014</v>
      </c>
      <c r="C1080" t="s">
        <v>96</v>
      </c>
    </row>
    <row r="1081" spans="1:3" x14ac:dyDescent="0.25">
      <c r="A1081" t="s">
        <v>45</v>
      </c>
      <c r="B1081">
        <v>2015</v>
      </c>
      <c r="C1081" t="s">
        <v>96</v>
      </c>
    </row>
    <row r="1082" spans="1:3" x14ac:dyDescent="0.25">
      <c r="A1082" t="s">
        <v>45</v>
      </c>
      <c r="B1082">
        <v>2016</v>
      </c>
      <c r="C1082" t="s">
        <v>96</v>
      </c>
    </row>
    <row r="1083" spans="1:3" x14ac:dyDescent="0.25">
      <c r="A1083" t="s">
        <v>45</v>
      </c>
      <c r="B1083">
        <v>2017</v>
      </c>
      <c r="C1083" t="s">
        <v>96</v>
      </c>
    </row>
    <row r="1084" spans="1:3" x14ac:dyDescent="0.25">
      <c r="A1084" t="s">
        <v>45</v>
      </c>
      <c r="B1084">
        <v>2018</v>
      </c>
      <c r="C1084" t="s">
        <v>96</v>
      </c>
    </row>
    <row r="1085" spans="1:3" x14ac:dyDescent="0.25">
      <c r="A1085" t="s">
        <v>45</v>
      </c>
      <c r="B1085">
        <v>2019</v>
      </c>
      <c r="C1085" t="s">
        <v>96</v>
      </c>
    </row>
    <row r="1086" spans="1:3" x14ac:dyDescent="0.25">
      <c r="A1086" t="s">
        <v>45</v>
      </c>
      <c r="B1086">
        <v>2020</v>
      </c>
      <c r="C1086" t="s">
        <v>96</v>
      </c>
    </row>
    <row r="1087" spans="1:3" x14ac:dyDescent="0.25">
      <c r="A1087" t="s">
        <v>45</v>
      </c>
      <c r="B1087">
        <v>2021</v>
      </c>
      <c r="C1087" t="s">
        <v>96</v>
      </c>
    </row>
    <row r="1088" spans="1:3" x14ac:dyDescent="0.25">
      <c r="A1088" t="s">
        <v>45</v>
      </c>
      <c r="B1088">
        <v>2022</v>
      </c>
      <c r="C1088" t="s">
        <v>96</v>
      </c>
    </row>
    <row r="1089" spans="1:3" x14ac:dyDescent="0.25">
      <c r="A1089" t="s">
        <v>45</v>
      </c>
      <c r="B1089">
        <v>2023</v>
      </c>
      <c r="C1089" t="s">
        <v>96</v>
      </c>
    </row>
    <row r="1090" spans="1:3" x14ac:dyDescent="0.25">
      <c r="A1090" t="s">
        <v>46</v>
      </c>
      <c r="B1090">
        <v>1990</v>
      </c>
      <c r="C1090" t="s">
        <v>96</v>
      </c>
    </row>
    <row r="1091" spans="1:3" x14ac:dyDescent="0.25">
      <c r="A1091" t="s">
        <v>46</v>
      </c>
      <c r="B1091">
        <v>1991</v>
      </c>
      <c r="C1091" t="s">
        <v>96</v>
      </c>
    </row>
    <row r="1092" spans="1:3" x14ac:dyDescent="0.25">
      <c r="A1092" t="s">
        <v>46</v>
      </c>
      <c r="B1092">
        <v>1992</v>
      </c>
      <c r="C1092" t="s">
        <v>96</v>
      </c>
    </row>
    <row r="1093" spans="1:3" x14ac:dyDescent="0.25">
      <c r="A1093" t="s">
        <v>46</v>
      </c>
      <c r="B1093">
        <v>1993</v>
      </c>
      <c r="C1093" t="s">
        <v>96</v>
      </c>
    </row>
    <row r="1094" spans="1:3" x14ac:dyDescent="0.25">
      <c r="A1094" t="s">
        <v>46</v>
      </c>
      <c r="B1094">
        <v>1994</v>
      </c>
      <c r="C1094" t="s">
        <v>96</v>
      </c>
    </row>
    <row r="1095" spans="1:3" x14ac:dyDescent="0.25">
      <c r="A1095" t="s">
        <v>46</v>
      </c>
      <c r="B1095">
        <v>1995</v>
      </c>
      <c r="C1095" t="s">
        <v>96</v>
      </c>
    </row>
    <row r="1096" spans="1:3" x14ac:dyDescent="0.25">
      <c r="A1096" t="s">
        <v>46</v>
      </c>
      <c r="B1096">
        <v>1996</v>
      </c>
      <c r="C1096" t="s">
        <v>96</v>
      </c>
    </row>
    <row r="1097" spans="1:3" x14ac:dyDescent="0.25">
      <c r="A1097" t="s">
        <v>46</v>
      </c>
      <c r="B1097">
        <v>1997</v>
      </c>
      <c r="C1097" t="s">
        <v>96</v>
      </c>
    </row>
    <row r="1098" spans="1:3" x14ac:dyDescent="0.25">
      <c r="A1098" t="s">
        <v>46</v>
      </c>
      <c r="B1098">
        <v>1998</v>
      </c>
      <c r="C1098" t="s">
        <v>96</v>
      </c>
    </row>
    <row r="1099" spans="1:3" x14ac:dyDescent="0.25">
      <c r="A1099" t="s">
        <v>46</v>
      </c>
      <c r="B1099">
        <v>1999</v>
      </c>
      <c r="C1099" t="s">
        <v>96</v>
      </c>
    </row>
    <row r="1100" spans="1:3" x14ac:dyDescent="0.25">
      <c r="A1100" t="s">
        <v>46</v>
      </c>
      <c r="B1100">
        <v>2000</v>
      </c>
      <c r="C1100" t="s">
        <v>96</v>
      </c>
    </row>
    <row r="1101" spans="1:3" x14ac:dyDescent="0.25">
      <c r="A1101" t="s">
        <v>46</v>
      </c>
      <c r="B1101">
        <v>2001</v>
      </c>
      <c r="C1101" t="s">
        <v>96</v>
      </c>
    </row>
    <row r="1102" spans="1:3" x14ac:dyDescent="0.25">
      <c r="A1102" t="s">
        <v>46</v>
      </c>
      <c r="B1102">
        <v>2002</v>
      </c>
      <c r="C1102" t="s">
        <v>96</v>
      </c>
    </row>
    <row r="1103" spans="1:3" x14ac:dyDescent="0.25">
      <c r="A1103" t="s">
        <v>46</v>
      </c>
      <c r="B1103">
        <v>2003</v>
      </c>
      <c r="C1103" t="s">
        <v>96</v>
      </c>
    </row>
    <row r="1104" spans="1:3" x14ac:dyDescent="0.25">
      <c r="A1104" t="s">
        <v>46</v>
      </c>
      <c r="B1104">
        <v>2004</v>
      </c>
      <c r="C1104" t="s">
        <v>96</v>
      </c>
    </row>
    <row r="1105" spans="1:3" x14ac:dyDescent="0.25">
      <c r="A1105" t="s">
        <v>46</v>
      </c>
      <c r="B1105">
        <v>2005</v>
      </c>
      <c r="C1105" t="s">
        <v>96</v>
      </c>
    </row>
    <row r="1106" spans="1:3" x14ac:dyDescent="0.25">
      <c r="A1106" t="s">
        <v>46</v>
      </c>
      <c r="B1106">
        <v>2006</v>
      </c>
      <c r="C1106" t="s">
        <v>96</v>
      </c>
    </row>
    <row r="1107" spans="1:3" x14ac:dyDescent="0.25">
      <c r="A1107" t="s">
        <v>46</v>
      </c>
      <c r="B1107">
        <v>2007</v>
      </c>
      <c r="C1107" t="s">
        <v>96</v>
      </c>
    </row>
    <row r="1108" spans="1:3" x14ac:dyDescent="0.25">
      <c r="A1108" t="s">
        <v>46</v>
      </c>
      <c r="B1108">
        <v>2008</v>
      </c>
      <c r="C1108" t="s">
        <v>96</v>
      </c>
    </row>
    <row r="1109" spans="1:3" x14ac:dyDescent="0.25">
      <c r="A1109" t="s">
        <v>46</v>
      </c>
      <c r="B1109">
        <v>2009</v>
      </c>
      <c r="C1109" t="s">
        <v>96</v>
      </c>
    </row>
    <row r="1110" spans="1:3" x14ac:dyDescent="0.25">
      <c r="A1110" t="s">
        <v>46</v>
      </c>
      <c r="B1110">
        <v>2010</v>
      </c>
      <c r="C1110" t="s">
        <v>96</v>
      </c>
    </row>
    <row r="1111" spans="1:3" x14ac:dyDescent="0.25">
      <c r="A1111" t="s">
        <v>46</v>
      </c>
      <c r="B1111">
        <v>2011</v>
      </c>
      <c r="C1111" t="s">
        <v>96</v>
      </c>
    </row>
    <row r="1112" spans="1:3" x14ac:dyDescent="0.25">
      <c r="A1112" t="s">
        <v>46</v>
      </c>
      <c r="B1112">
        <v>2012</v>
      </c>
      <c r="C1112" t="s">
        <v>96</v>
      </c>
    </row>
    <row r="1113" spans="1:3" x14ac:dyDescent="0.25">
      <c r="A1113" t="s">
        <v>46</v>
      </c>
      <c r="B1113">
        <v>2013</v>
      </c>
      <c r="C1113" t="s">
        <v>96</v>
      </c>
    </row>
    <row r="1114" spans="1:3" x14ac:dyDescent="0.25">
      <c r="A1114" t="s">
        <v>46</v>
      </c>
      <c r="B1114">
        <v>2014</v>
      </c>
      <c r="C1114" t="s">
        <v>96</v>
      </c>
    </row>
    <row r="1115" spans="1:3" x14ac:dyDescent="0.25">
      <c r="A1115" t="s">
        <v>46</v>
      </c>
      <c r="B1115">
        <v>2015</v>
      </c>
      <c r="C1115" t="s">
        <v>96</v>
      </c>
    </row>
    <row r="1116" spans="1:3" x14ac:dyDescent="0.25">
      <c r="A1116" t="s">
        <v>46</v>
      </c>
      <c r="B1116">
        <v>2016</v>
      </c>
      <c r="C1116" t="s">
        <v>96</v>
      </c>
    </row>
    <row r="1117" spans="1:3" x14ac:dyDescent="0.25">
      <c r="A1117" t="s">
        <v>46</v>
      </c>
      <c r="B1117">
        <v>2017</v>
      </c>
      <c r="C1117" t="s">
        <v>96</v>
      </c>
    </row>
    <row r="1118" spans="1:3" x14ac:dyDescent="0.25">
      <c r="A1118" t="s">
        <v>46</v>
      </c>
      <c r="B1118">
        <v>2018</v>
      </c>
      <c r="C1118" t="s">
        <v>96</v>
      </c>
    </row>
    <row r="1119" spans="1:3" x14ac:dyDescent="0.25">
      <c r="A1119" t="s">
        <v>46</v>
      </c>
      <c r="B1119">
        <v>2019</v>
      </c>
      <c r="C1119" t="s">
        <v>96</v>
      </c>
    </row>
    <row r="1120" spans="1:3" x14ac:dyDescent="0.25">
      <c r="A1120" t="s">
        <v>46</v>
      </c>
      <c r="B1120">
        <v>2020</v>
      </c>
      <c r="C1120" t="s">
        <v>96</v>
      </c>
    </row>
    <row r="1121" spans="1:3" x14ac:dyDescent="0.25">
      <c r="A1121" t="s">
        <v>46</v>
      </c>
      <c r="B1121">
        <v>2021</v>
      </c>
      <c r="C1121" t="s">
        <v>96</v>
      </c>
    </row>
    <row r="1122" spans="1:3" x14ac:dyDescent="0.25">
      <c r="A1122" t="s">
        <v>46</v>
      </c>
      <c r="B1122">
        <v>2022</v>
      </c>
      <c r="C1122" t="s">
        <v>96</v>
      </c>
    </row>
    <row r="1123" spans="1:3" x14ac:dyDescent="0.25">
      <c r="A1123" t="s">
        <v>46</v>
      </c>
      <c r="B1123">
        <v>2023</v>
      </c>
      <c r="C1123" t="s">
        <v>96</v>
      </c>
    </row>
    <row r="1124" spans="1:3" x14ac:dyDescent="0.25">
      <c r="A1124" t="s">
        <v>47</v>
      </c>
      <c r="B1124">
        <v>1990</v>
      </c>
      <c r="C1124" t="s">
        <v>96</v>
      </c>
    </row>
    <row r="1125" spans="1:3" x14ac:dyDescent="0.25">
      <c r="A1125" t="s">
        <v>47</v>
      </c>
      <c r="B1125">
        <v>1991</v>
      </c>
      <c r="C1125" t="s">
        <v>96</v>
      </c>
    </row>
    <row r="1126" spans="1:3" x14ac:dyDescent="0.25">
      <c r="A1126" t="s">
        <v>47</v>
      </c>
      <c r="B1126">
        <v>1992</v>
      </c>
      <c r="C1126" t="s">
        <v>96</v>
      </c>
    </row>
    <row r="1127" spans="1:3" x14ac:dyDescent="0.25">
      <c r="A1127" t="s">
        <v>47</v>
      </c>
      <c r="B1127">
        <v>1993</v>
      </c>
      <c r="C1127" t="s">
        <v>96</v>
      </c>
    </row>
    <row r="1128" spans="1:3" x14ac:dyDescent="0.25">
      <c r="A1128" t="s">
        <v>47</v>
      </c>
      <c r="B1128">
        <v>1994</v>
      </c>
      <c r="C1128" t="s">
        <v>96</v>
      </c>
    </row>
    <row r="1129" spans="1:3" x14ac:dyDescent="0.25">
      <c r="A1129" t="s">
        <v>47</v>
      </c>
      <c r="B1129">
        <v>1995</v>
      </c>
      <c r="C1129" t="s">
        <v>96</v>
      </c>
    </row>
    <row r="1130" spans="1:3" x14ac:dyDescent="0.25">
      <c r="A1130" t="s">
        <v>47</v>
      </c>
      <c r="B1130">
        <v>1996</v>
      </c>
      <c r="C1130" t="s">
        <v>96</v>
      </c>
    </row>
    <row r="1131" spans="1:3" x14ac:dyDescent="0.25">
      <c r="A1131" t="s">
        <v>47</v>
      </c>
      <c r="B1131">
        <v>1997</v>
      </c>
      <c r="C1131" t="s">
        <v>96</v>
      </c>
    </row>
    <row r="1132" spans="1:3" x14ac:dyDescent="0.25">
      <c r="A1132" t="s">
        <v>47</v>
      </c>
      <c r="B1132">
        <v>1998</v>
      </c>
      <c r="C1132" t="s">
        <v>96</v>
      </c>
    </row>
    <row r="1133" spans="1:3" x14ac:dyDescent="0.25">
      <c r="A1133" t="s">
        <v>47</v>
      </c>
      <c r="B1133">
        <v>1999</v>
      </c>
      <c r="C1133" t="s">
        <v>96</v>
      </c>
    </row>
    <row r="1134" spans="1:3" x14ac:dyDescent="0.25">
      <c r="A1134" t="s">
        <v>47</v>
      </c>
      <c r="B1134">
        <v>2000</v>
      </c>
      <c r="C1134" t="s">
        <v>96</v>
      </c>
    </row>
    <row r="1135" spans="1:3" x14ac:dyDescent="0.25">
      <c r="A1135" t="s">
        <v>47</v>
      </c>
      <c r="B1135">
        <v>2001</v>
      </c>
      <c r="C1135" t="s">
        <v>96</v>
      </c>
    </row>
    <row r="1136" spans="1:3" x14ac:dyDescent="0.25">
      <c r="A1136" t="s">
        <v>47</v>
      </c>
      <c r="B1136">
        <v>2002</v>
      </c>
      <c r="C1136" t="s">
        <v>96</v>
      </c>
    </row>
    <row r="1137" spans="1:3" x14ac:dyDescent="0.25">
      <c r="A1137" t="s">
        <v>47</v>
      </c>
      <c r="B1137">
        <v>2003</v>
      </c>
      <c r="C1137" t="s">
        <v>96</v>
      </c>
    </row>
    <row r="1138" spans="1:3" x14ac:dyDescent="0.25">
      <c r="A1138" t="s">
        <v>47</v>
      </c>
      <c r="B1138">
        <v>2004</v>
      </c>
      <c r="C1138" t="s">
        <v>96</v>
      </c>
    </row>
    <row r="1139" spans="1:3" x14ac:dyDescent="0.25">
      <c r="A1139" t="s">
        <v>47</v>
      </c>
      <c r="B1139">
        <v>2005</v>
      </c>
      <c r="C1139" t="s">
        <v>96</v>
      </c>
    </row>
    <row r="1140" spans="1:3" x14ac:dyDescent="0.25">
      <c r="A1140" t="s">
        <v>47</v>
      </c>
      <c r="B1140">
        <v>2006</v>
      </c>
      <c r="C1140" t="s">
        <v>96</v>
      </c>
    </row>
    <row r="1141" spans="1:3" x14ac:dyDescent="0.25">
      <c r="A1141" t="s">
        <v>47</v>
      </c>
      <c r="B1141">
        <v>2007</v>
      </c>
      <c r="C1141" t="s">
        <v>96</v>
      </c>
    </row>
    <row r="1142" spans="1:3" x14ac:dyDescent="0.25">
      <c r="A1142" t="s">
        <v>47</v>
      </c>
      <c r="B1142">
        <v>2008</v>
      </c>
      <c r="C1142" t="s">
        <v>96</v>
      </c>
    </row>
    <row r="1143" spans="1:3" x14ac:dyDescent="0.25">
      <c r="A1143" t="s">
        <v>47</v>
      </c>
      <c r="B1143">
        <v>2009</v>
      </c>
      <c r="C1143" t="s">
        <v>96</v>
      </c>
    </row>
    <row r="1144" spans="1:3" x14ac:dyDescent="0.25">
      <c r="A1144" t="s">
        <v>47</v>
      </c>
      <c r="B1144">
        <v>2010</v>
      </c>
      <c r="C1144" t="s">
        <v>96</v>
      </c>
    </row>
    <row r="1145" spans="1:3" x14ac:dyDescent="0.25">
      <c r="A1145" t="s">
        <v>47</v>
      </c>
      <c r="B1145">
        <v>2011</v>
      </c>
      <c r="C1145" t="s">
        <v>96</v>
      </c>
    </row>
    <row r="1146" spans="1:3" x14ac:dyDescent="0.25">
      <c r="A1146" t="s">
        <v>47</v>
      </c>
      <c r="B1146">
        <v>2012</v>
      </c>
      <c r="C1146" t="s">
        <v>96</v>
      </c>
    </row>
    <row r="1147" spans="1:3" x14ac:dyDescent="0.25">
      <c r="A1147" t="s">
        <v>47</v>
      </c>
      <c r="B1147">
        <v>2013</v>
      </c>
      <c r="C1147" t="s">
        <v>96</v>
      </c>
    </row>
    <row r="1148" spans="1:3" x14ac:dyDescent="0.25">
      <c r="A1148" t="s">
        <v>47</v>
      </c>
      <c r="B1148">
        <v>2014</v>
      </c>
      <c r="C1148" t="s">
        <v>96</v>
      </c>
    </row>
    <row r="1149" spans="1:3" x14ac:dyDescent="0.25">
      <c r="A1149" t="s">
        <v>47</v>
      </c>
      <c r="B1149">
        <v>2015</v>
      </c>
      <c r="C1149" t="s">
        <v>96</v>
      </c>
    </row>
    <row r="1150" spans="1:3" x14ac:dyDescent="0.25">
      <c r="A1150" t="s">
        <v>47</v>
      </c>
      <c r="B1150">
        <v>2016</v>
      </c>
      <c r="C1150" t="s">
        <v>96</v>
      </c>
    </row>
    <row r="1151" spans="1:3" x14ac:dyDescent="0.25">
      <c r="A1151" t="s">
        <v>47</v>
      </c>
      <c r="B1151">
        <v>2017</v>
      </c>
      <c r="C1151" t="s">
        <v>96</v>
      </c>
    </row>
    <row r="1152" spans="1:3" x14ac:dyDescent="0.25">
      <c r="A1152" t="s">
        <v>47</v>
      </c>
      <c r="B1152">
        <v>2018</v>
      </c>
      <c r="C1152" t="s">
        <v>96</v>
      </c>
    </row>
    <row r="1153" spans="1:3" x14ac:dyDescent="0.25">
      <c r="A1153" t="s">
        <v>47</v>
      </c>
      <c r="B1153">
        <v>2019</v>
      </c>
      <c r="C1153" t="s">
        <v>96</v>
      </c>
    </row>
    <row r="1154" spans="1:3" x14ac:dyDescent="0.25">
      <c r="A1154" t="s">
        <v>47</v>
      </c>
      <c r="B1154">
        <v>2020</v>
      </c>
      <c r="C1154" t="s">
        <v>96</v>
      </c>
    </row>
    <row r="1155" spans="1:3" x14ac:dyDescent="0.25">
      <c r="A1155" t="s">
        <v>47</v>
      </c>
      <c r="B1155">
        <v>2021</v>
      </c>
      <c r="C1155" t="s">
        <v>96</v>
      </c>
    </row>
    <row r="1156" spans="1:3" x14ac:dyDescent="0.25">
      <c r="A1156" t="s">
        <v>47</v>
      </c>
      <c r="B1156">
        <v>2022</v>
      </c>
      <c r="C1156" t="s">
        <v>96</v>
      </c>
    </row>
    <row r="1157" spans="1:3" x14ac:dyDescent="0.25">
      <c r="A1157" t="s">
        <v>47</v>
      </c>
      <c r="B1157">
        <v>2023</v>
      </c>
      <c r="C1157" t="s">
        <v>96</v>
      </c>
    </row>
    <row r="1158" spans="1:3" x14ac:dyDescent="0.25">
      <c r="A1158" t="s">
        <v>48</v>
      </c>
      <c r="B1158">
        <v>1990</v>
      </c>
      <c r="C1158">
        <v>2427369</v>
      </c>
    </row>
    <row r="1159" spans="1:3" x14ac:dyDescent="0.25">
      <c r="A1159" t="s">
        <v>48</v>
      </c>
      <c r="B1159">
        <v>1991</v>
      </c>
      <c r="C1159">
        <v>2220245</v>
      </c>
    </row>
    <row r="1160" spans="1:3" x14ac:dyDescent="0.25">
      <c r="A1160" t="s">
        <v>48</v>
      </c>
      <c r="B1160">
        <v>1992</v>
      </c>
      <c r="C1160">
        <v>1922219</v>
      </c>
    </row>
    <row r="1161" spans="1:3" x14ac:dyDescent="0.25">
      <c r="A1161" t="s">
        <v>48</v>
      </c>
      <c r="B1161">
        <v>1993</v>
      </c>
      <c r="C1161">
        <v>1778895</v>
      </c>
    </row>
    <row r="1162" spans="1:3" x14ac:dyDescent="0.25">
      <c r="A1162" t="s">
        <v>48</v>
      </c>
      <c r="B1162">
        <v>1994</v>
      </c>
      <c r="C1162">
        <v>1797377</v>
      </c>
    </row>
    <row r="1163" spans="1:3" x14ac:dyDescent="0.25">
      <c r="A1163" t="s">
        <v>48</v>
      </c>
      <c r="B1163">
        <v>1995</v>
      </c>
      <c r="C1163">
        <v>2165690</v>
      </c>
    </row>
    <row r="1164" spans="1:3" x14ac:dyDescent="0.25">
      <c r="A1164" t="s">
        <v>48</v>
      </c>
      <c r="B1164">
        <v>1996</v>
      </c>
      <c r="C1164">
        <v>1942314</v>
      </c>
    </row>
    <row r="1165" spans="1:3" x14ac:dyDescent="0.25">
      <c r="A1165" t="s">
        <v>48</v>
      </c>
      <c r="B1165">
        <v>1997</v>
      </c>
      <c r="C1165">
        <v>2270000</v>
      </c>
    </row>
    <row r="1166" spans="1:3" x14ac:dyDescent="0.25">
      <c r="A1166" t="s">
        <v>48</v>
      </c>
      <c r="B1166">
        <v>1998</v>
      </c>
      <c r="C1166">
        <v>2173619</v>
      </c>
    </row>
    <row r="1167" spans="1:3" x14ac:dyDescent="0.25">
      <c r="A1167" t="s">
        <v>48</v>
      </c>
      <c r="B1167">
        <v>1999</v>
      </c>
      <c r="C1167">
        <v>2141935</v>
      </c>
    </row>
    <row r="1168" spans="1:3" x14ac:dyDescent="0.25">
      <c r="A1168" t="s">
        <v>48</v>
      </c>
      <c r="B1168">
        <v>2000</v>
      </c>
      <c r="C1168">
        <v>2361064</v>
      </c>
    </row>
    <row r="1169" spans="1:3" x14ac:dyDescent="0.25">
      <c r="A1169" t="s">
        <v>48</v>
      </c>
      <c r="B1169">
        <v>2001</v>
      </c>
      <c r="C1169">
        <v>2287742</v>
      </c>
    </row>
    <row r="1170" spans="1:3" x14ac:dyDescent="0.25">
      <c r="A1170" t="s">
        <v>48</v>
      </c>
      <c r="B1170">
        <v>2002</v>
      </c>
      <c r="C1170">
        <v>2232785</v>
      </c>
    </row>
    <row r="1171" spans="1:3" x14ac:dyDescent="0.25">
      <c r="A1171" t="s">
        <v>48</v>
      </c>
      <c r="B1171">
        <v>2003</v>
      </c>
      <c r="C1171">
        <v>2364579</v>
      </c>
    </row>
    <row r="1172" spans="1:3" x14ac:dyDescent="0.25">
      <c r="A1172" t="s">
        <v>48</v>
      </c>
      <c r="B1172">
        <v>2004</v>
      </c>
      <c r="C1172">
        <v>2339601</v>
      </c>
    </row>
    <row r="1173" spans="1:3" x14ac:dyDescent="0.25">
      <c r="A1173" t="s">
        <v>48</v>
      </c>
      <c r="B1173">
        <v>2005</v>
      </c>
      <c r="C1173">
        <v>2458018</v>
      </c>
    </row>
    <row r="1174" spans="1:3" x14ac:dyDescent="0.25">
      <c r="A1174" t="s">
        <v>48</v>
      </c>
      <c r="B1174">
        <v>2006</v>
      </c>
      <c r="C1174">
        <v>2392089</v>
      </c>
    </row>
    <row r="1175" spans="1:3" x14ac:dyDescent="0.25">
      <c r="A1175" t="s">
        <v>48</v>
      </c>
      <c r="B1175">
        <v>2007</v>
      </c>
      <c r="C1175">
        <v>2905255</v>
      </c>
    </row>
    <row r="1176" spans="1:3" x14ac:dyDescent="0.25">
      <c r="A1176" t="s">
        <v>48</v>
      </c>
      <c r="B1176">
        <v>2008</v>
      </c>
      <c r="C1176">
        <v>2556207</v>
      </c>
    </row>
    <row r="1177" spans="1:3" x14ac:dyDescent="0.25">
      <c r="A1177" t="s">
        <v>48</v>
      </c>
      <c r="B1177">
        <v>2009</v>
      </c>
      <c r="C1177">
        <v>2223574</v>
      </c>
    </row>
    <row r="1178" spans="1:3" x14ac:dyDescent="0.25">
      <c r="A1178" t="s">
        <v>48</v>
      </c>
      <c r="B1178">
        <v>2010</v>
      </c>
      <c r="C1178">
        <v>2497252</v>
      </c>
    </row>
    <row r="1179" spans="1:3" x14ac:dyDescent="0.25">
      <c r="A1179" t="s">
        <v>48</v>
      </c>
      <c r="B1179">
        <v>2011</v>
      </c>
      <c r="C1179">
        <v>2330287</v>
      </c>
    </row>
    <row r="1180" spans="1:3" x14ac:dyDescent="0.25">
      <c r="A1180" t="s">
        <v>48</v>
      </c>
      <c r="B1180">
        <v>2012</v>
      </c>
      <c r="C1180">
        <v>2227950</v>
      </c>
    </row>
    <row r="1181" spans="1:3" x14ac:dyDescent="0.25">
      <c r="A1181" t="s">
        <v>48</v>
      </c>
      <c r="B1181">
        <v>2013</v>
      </c>
      <c r="C1181">
        <v>2149106</v>
      </c>
    </row>
    <row r="1182" spans="1:3" x14ac:dyDescent="0.25">
      <c r="A1182" t="s">
        <v>48</v>
      </c>
      <c r="B1182">
        <v>2014</v>
      </c>
      <c r="C1182">
        <v>2395224</v>
      </c>
    </row>
    <row r="1183" spans="1:3" x14ac:dyDescent="0.25">
      <c r="A1183" t="s">
        <v>48</v>
      </c>
      <c r="B1183">
        <v>2015</v>
      </c>
      <c r="C1183">
        <v>2230900</v>
      </c>
    </row>
    <row r="1184" spans="1:3" x14ac:dyDescent="0.25">
      <c r="A1184" t="s">
        <v>48</v>
      </c>
      <c r="B1184">
        <v>2016</v>
      </c>
      <c r="C1184">
        <v>2640483</v>
      </c>
    </row>
    <row r="1185" spans="1:3" x14ac:dyDescent="0.25">
      <c r="A1185" t="s">
        <v>48</v>
      </c>
      <c r="B1185">
        <v>2017</v>
      </c>
      <c r="C1185">
        <v>2192549</v>
      </c>
    </row>
    <row r="1186" spans="1:3" x14ac:dyDescent="0.25">
      <c r="A1186" t="s">
        <v>48</v>
      </c>
      <c r="B1186">
        <v>2018</v>
      </c>
      <c r="C1186">
        <v>2523458</v>
      </c>
    </row>
    <row r="1187" spans="1:3" x14ac:dyDescent="0.25">
      <c r="A1187" t="s">
        <v>48</v>
      </c>
      <c r="B1187">
        <v>2019</v>
      </c>
      <c r="C1187">
        <v>2440322</v>
      </c>
    </row>
    <row r="1188" spans="1:3" x14ac:dyDescent="0.25">
      <c r="A1188" t="s">
        <v>48</v>
      </c>
      <c r="B1188">
        <v>2020</v>
      </c>
      <c r="C1188">
        <v>2263951</v>
      </c>
    </row>
    <row r="1189" spans="1:3" x14ac:dyDescent="0.25">
      <c r="A1189" t="s">
        <v>48</v>
      </c>
      <c r="B1189">
        <v>2021</v>
      </c>
      <c r="C1189">
        <v>2481526</v>
      </c>
    </row>
    <row r="1190" spans="1:3" x14ac:dyDescent="0.25">
      <c r="A1190" t="s">
        <v>48</v>
      </c>
      <c r="B1190">
        <v>2022</v>
      </c>
      <c r="C1190">
        <v>2265607</v>
      </c>
    </row>
    <row r="1191" spans="1:3" x14ac:dyDescent="0.25">
      <c r="A1191" t="s">
        <v>48</v>
      </c>
      <c r="B1191">
        <v>2023</v>
      </c>
      <c r="C1191">
        <v>1902255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9b636b-89e7-41cb-8d97-21955ee7ce93" xsi:nil="true"/>
    <lcf76f155ced4ddcb4097134ff3c332f xmlns="b16f901c-1ec3-44f9-beff-c2a51b0f2f1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CE45D3F8093458218BCFC035F4509" ma:contentTypeVersion="14" ma:contentTypeDescription="Create a new document." ma:contentTypeScope="" ma:versionID="a02a46fda957b52410a0d33913b088ff">
  <xsd:schema xmlns:xsd="http://www.w3.org/2001/XMLSchema" xmlns:xs="http://www.w3.org/2001/XMLSchema" xmlns:p="http://schemas.microsoft.com/office/2006/metadata/properties" xmlns:ns2="b16f901c-1ec3-44f9-beff-c2a51b0f2f12" xmlns:ns3="c69b636b-89e7-41cb-8d97-21955ee7ce93" targetNamespace="http://schemas.microsoft.com/office/2006/metadata/properties" ma:root="true" ma:fieldsID="1010072604cdc11d7d2ccfd5289ccd49" ns2:_="" ns3:_="">
    <xsd:import namespace="b16f901c-1ec3-44f9-beff-c2a51b0f2f12"/>
    <xsd:import namespace="c69b636b-89e7-41cb-8d97-21955ee7ce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f901c-1ec3-44f9-beff-c2a51b0f2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8" nillable="true" ma:taxonomy="true" ma:internalName="lcf76f155ced4ddcb4097134ff3c332f" ma:taxonomyFieldName="MediaServiceImageTags" ma:displayName="Image Tags" ma:readOnly="false" ma:fieldId="{5cf76f15-5ced-4ddc-b409-7134ff3c332f}" ma:taxonomyMulti="true" ma:sspId="22cd526b-37ab-4c79-b1e8-cbc2676fe5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b636b-89e7-41cb-8d97-21955ee7ce93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e0111a2a-a1e4-412c-ba36-de76e475d755}" ma:internalName="TaxCatchAll" ma:showField="CatchAllData" ma:web="c69b636b-89e7-41cb-8d97-21955ee7ce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92DE0D-C21D-44D4-ACDF-3187296A40FD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c69b636b-89e7-41cb-8d97-21955ee7ce93"/>
    <ds:schemaRef ds:uri="b16f901c-1ec3-44f9-beff-c2a51b0f2f1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2A090C-8BAD-448F-B521-149C2E221E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69C000-6A5A-4705-93F6-3BDE904458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6f901c-1ec3-44f9-beff-c2a51b0f2f12"/>
    <ds:schemaRef ds:uri="c69b636b-89e7-41cb-8d97-21955ee7ce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Index</vt:lpstr>
      <vt:lpstr>Tabelle2</vt:lpstr>
      <vt:lpstr>Table S4</vt:lpstr>
      <vt:lpstr>Table S5 weighted avg</vt:lpstr>
      <vt:lpstr>pivot tables</vt:lpstr>
      <vt:lpstr>Table4.A FL</vt:lpstr>
      <vt:lpstr>Total HWP Domestic gains</vt:lpstr>
    </vt:vector>
  </TitlesOfParts>
  <Manager/>
  <Company>?ko Institut e.V.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Hannes Böttcher</dc:creator>
  <cp:keywords/>
  <dc:description/>
  <cp:lastModifiedBy>Hannes Böttcher</cp:lastModifiedBy>
  <cp:revision/>
  <dcterms:created xsi:type="dcterms:W3CDTF">2026-01-26T12:42:46Z</dcterms:created>
  <dcterms:modified xsi:type="dcterms:W3CDTF">2026-01-27T14:06:59Z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0x0101002B9CE45D3F8093458218BCFC035F4509</vt:lpwstr>
  </property>
  <property fmtid="{D5CDD505-2E9C-101B-9397-08002B2CF9AE}" pid="3" name="MediaServiceImageTags">
    <vt:lpwstr/>
  </property>
</Properties>
</file>